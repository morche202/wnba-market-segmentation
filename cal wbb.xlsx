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3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omments8.xml" ContentType="application/vnd.openxmlformats-officedocument.spreadsheetml.comments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omments9.xml" ContentType="application/vnd.openxmlformats-officedocument.spreadsheetml.comments+xml"/>
  <Override PartName="/xl/charts/chart2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1eda837ab4e444f4/portfolio/"/>
    </mc:Choice>
  </mc:AlternateContent>
  <xr:revisionPtr revIDLastSave="72" documentId="8_{80C50940-ECAE-DB48-AC6E-BD8A8CB94817}" xr6:coauthVersionLast="47" xr6:coauthVersionMax="47" xr10:uidLastSave="{819C3652-F6CC-E14A-A070-ECD8BED5489F}"/>
  <bookViews>
    <workbookView xWindow="0" yWindow="600" windowWidth="28800" windowHeight="17400" xr2:uid="{00000000-000D-0000-FFFF-FFFF00000000}"/>
  </bookViews>
  <sheets>
    <sheet name="KPI Summary" sheetId="1" r:id="rId1"/>
    <sheet name="Cheung_Morgan_Work_Sample" sheetId="36" r:id="rId2"/>
    <sheet name="scrimmage and game numbers" sheetId="26" r:id="rId3"/>
    <sheet name="warmup numbers" sheetId="9" r:id="rId4"/>
    <sheet name="games" sheetId="10" r:id="rId5"/>
    <sheet name="ionna" sheetId="11" state="hidden" r:id="rId6"/>
    <sheet name="michelle" sheetId="12" state="hidden" r:id="rId7"/>
    <sheet name="jayda" sheetId="13" state="hidden" r:id="rId8"/>
    <sheet name="marta" sheetId="14" state="hidden" r:id="rId9"/>
    <sheet name="kayla" sheetId="15" state="hidden" r:id="rId10"/>
    <sheet name="gabi" sheetId="16" state="hidden" r:id="rId11"/>
    <sheet name="lulu" sheetId="17" state="hidden" r:id="rId12"/>
    <sheet name="lola" sheetId="18" state="hidden" r:id="rId13"/>
    <sheet name="dros" sheetId="19" state="hidden" r:id="rId14"/>
    <sheet name="gmaul" sheetId="20" state="hidden" r:id="rId15"/>
    <sheet name="kam" sheetId="21" state="hidden" r:id="rId16"/>
    <sheet name="nat" sheetId="22" state="hidden" r:id="rId17"/>
    <sheet name="sof" sheetId="23" state="hidden" r:id="rId18"/>
    <sheet name="zahra" sheetId="24" state="hidden" r:id="rId19"/>
    <sheet name="post scrimmage numbers" sheetId="25" r:id="rId20"/>
    <sheet name="gamemins_west" sheetId="27" r:id="rId21"/>
    <sheet name="gamemins_sac" sheetId="28" r:id="rId22"/>
    <sheet name="gamemins_pac" sheetId="29" r:id="rId23"/>
    <sheet name="gamemins_charlotte" sheetId="30" r:id="rId24"/>
    <sheet name="gamemins_harvard" sheetId="31" r:id="rId25"/>
    <sheet name="gamemins_smc" sheetId="32" r:id="rId26"/>
    <sheet name="gamemins_sjsu" sheetId="33" r:id="rId27"/>
    <sheet name="gamemins_idaho" sheetId="34" r:id="rId28"/>
    <sheet name="gamemins_stanford" sheetId="35" r:id="rId29"/>
    <sheet name="vandy boxquarter" sheetId="37" r:id="rId30"/>
    <sheet name="sac boxquarter" sheetId="38" r:id="rId31"/>
    <sheet name="pac boxquarter" sheetId="39" r:id="rId32"/>
    <sheet name="move_prof" sheetId="40" r:id="rId33"/>
    <sheet name="move_prof_visuals" sheetId="41" r:id="rId34"/>
    <sheet name="Sheet27" sheetId="42" r:id="rId35"/>
    <sheet name="PL numbers" sheetId="2" r:id="rId36"/>
    <sheet name="High IMA numbers" sheetId="3" r:id="rId37"/>
    <sheet name="MII 1 numbers" sheetId="4" r:id="rId38"/>
    <sheet name="MII 2 numbers" sheetId="5" r:id="rId39"/>
    <sheet name="MII 3 numbers" sheetId="6" r:id="rId40"/>
    <sheet name="PL 3+ numbers" sheetId="7" r:id="rId41"/>
    <sheet name="PL vs High IMA" sheetId="8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36" l="1"/>
  <c r="B75" i="36"/>
  <c r="I55" i="36"/>
  <c r="B55" i="36"/>
  <c r="I38" i="36"/>
  <c r="J38" i="36"/>
  <c r="K38" i="36"/>
  <c r="C38" i="36"/>
  <c r="B38" i="36"/>
  <c r="K55" i="36"/>
  <c r="J55" i="36"/>
  <c r="D55" i="36"/>
  <c r="C55" i="36"/>
  <c r="D75" i="36"/>
  <c r="C75" i="36"/>
  <c r="K75" i="36"/>
  <c r="J75" i="36"/>
  <c r="N76" i="41"/>
  <c r="M76" i="41"/>
  <c r="M78" i="41" s="1"/>
  <c r="M79" i="41" s="1"/>
  <c r="L76" i="41"/>
  <c r="K76" i="41"/>
  <c r="O75" i="41"/>
  <c r="O74" i="41"/>
  <c r="O73" i="41"/>
  <c r="O72" i="41"/>
  <c r="O71" i="41"/>
  <c r="O70" i="41"/>
  <c r="Y43" i="41"/>
  <c r="X43" i="41"/>
  <c r="W43" i="41"/>
  <c r="V43" i="41"/>
  <c r="Y42" i="41"/>
  <c r="X42" i="41"/>
  <c r="W42" i="41"/>
  <c r="V42" i="41"/>
  <c r="Y41" i="41"/>
  <c r="X41" i="41"/>
  <c r="W41" i="41"/>
  <c r="V41" i="41"/>
  <c r="Y40" i="41"/>
  <c r="X40" i="41"/>
  <c r="W40" i="41"/>
  <c r="V40" i="41"/>
  <c r="Y39" i="41"/>
  <c r="X39" i="41"/>
  <c r="W39" i="41"/>
  <c r="V39" i="41"/>
  <c r="Y38" i="41"/>
  <c r="X38" i="41"/>
  <c r="W38" i="41"/>
  <c r="V38" i="41"/>
  <c r="Y37" i="41"/>
  <c r="X37" i="41"/>
  <c r="W37" i="41"/>
  <c r="V37" i="41"/>
  <c r="Y36" i="41"/>
  <c r="X36" i="41"/>
  <c r="W36" i="41"/>
  <c r="V36" i="41"/>
  <c r="Y35" i="41"/>
  <c r="X35" i="41"/>
  <c r="W35" i="41"/>
  <c r="V35" i="41"/>
  <c r="Y34" i="41"/>
  <c r="X34" i="41"/>
  <c r="W34" i="41"/>
  <c r="V34" i="41"/>
  <c r="Y33" i="41"/>
  <c r="X33" i="41"/>
  <c r="W33" i="41"/>
  <c r="V33" i="41"/>
  <c r="Y32" i="41"/>
  <c r="X32" i="41"/>
  <c r="W32" i="41"/>
  <c r="V32" i="41"/>
  <c r="Y31" i="41"/>
  <c r="X31" i="41"/>
  <c r="W31" i="41"/>
  <c r="V31" i="41"/>
  <c r="Y30" i="41"/>
  <c r="X30" i="41"/>
  <c r="W30" i="41"/>
  <c r="V30" i="41"/>
  <c r="Y29" i="41"/>
  <c r="X29" i="41"/>
  <c r="W29" i="41"/>
  <c r="V29" i="41"/>
  <c r="Y28" i="41"/>
  <c r="X28" i="41"/>
  <c r="W28" i="41"/>
  <c r="V28" i="41"/>
  <c r="Y27" i="41"/>
  <c r="X27" i="41"/>
  <c r="W27" i="41"/>
  <c r="V27" i="41"/>
  <c r="Y26" i="41"/>
  <c r="X26" i="41"/>
  <c r="W26" i="41"/>
  <c r="V26" i="41"/>
  <c r="Y25" i="41"/>
  <c r="X25" i="41"/>
  <c r="W25" i="41"/>
  <c r="V25" i="41"/>
  <c r="Y24" i="41"/>
  <c r="X24" i="41"/>
  <c r="W24" i="41"/>
  <c r="V24" i="41"/>
  <c r="Y23" i="41"/>
  <c r="X23" i="41"/>
  <c r="W23" i="41"/>
  <c r="V23" i="41"/>
  <c r="Y22" i="41"/>
  <c r="X22" i="41"/>
  <c r="W22" i="41"/>
  <c r="V22" i="41"/>
  <c r="Y21" i="41"/>
  <c r="X21" i="41"/>
  <c r="W21" i="41"/>
  <c r="V21" i="41"/>
  <c r="Y20" i="41"/>
  <c r="X20" i="41"/>
  <c r="W20" i="41"/>
  <c r="V20" i="41"/>
  <c r="Y19" i="41"/>
  <c r="X19" i="41"/>
  <c r="W19" i="41"/>
  <c r="V19" i="41"/>
  <c r="Y18" i="41"/>
  <c r="X18" i="41"/>
  <c r="W18" i="41"/>
  <c r="V18" i="41"/>
  <c r="Y17" i="41"/>
  <c r="X17" i="41"/>
  <c r="W17" i="41"/>
  <c r="V17" i="41"/>
  <c r="Y16" i="41"/>
  <c r="X16" i="41"/>
  <c r="W16" i="41"/>
  <c r="V16" i="41"/>
  <c r="Y15" i="41"/>
  <c r="X15" i="41"/>
  <c r="W15" i="41"/>
  <c r="V15" i="41"/>
  <c r="Y14" i="41"/>
  <c r="X14" i="41"/>
  <c r="W14" i="41"/>
  <c r="V14" i="41"/>
  <c r="Y13" i="41"/>
  <c r="X13" i="41"/>
  <c r="W13" i="41"/>
  <c r="V13" i="41"/>
  <c r="Y12" i="41"/>
  <c r="X12" i="41"/>
  <c r="W12" i="41"/>
  <c r="V12" i="41"/>
  <c r="Y11" i="41"/>
  <c r="X11" i="41"/>
  <c r="W11" i="41"/>
  <c r="V11" i="41"/>
  <c r="Y10" i="41"/>
  <c r="X10" i="41"/>
  <c r="W10" i="41"/>
  <c r="V10" i="41"/>
  <c r="Y9" i="41"/>
  <c r="X9" i="41"/>
  <c r="W9" i="41"/>
  <c r="V9" i="41"/>
  <c r="Y8" i="41"/>
  <c r="X8" i="41"/>
  <c r="W8" i="41"/>
  <c r="V8" i="41"/>
  <c r="Y7" i="41"/>
  <c r="X7" i="41"/>
  <c r="W7" i="41"/>
  <c r="V7" i="41"/>
  <c r="Y6" i="41"/>
  <c r="X6" i="41"/>
  <c r="W6" i="41"/>
  <c r="V6" i="41"/>
  <c r="Y5" i="41"/>
  <c r="X5" i="41"/>
  <c r="W5" i="41"/>
  <c r="V5" i="41"/>
  <c r="Y4" i="41"/>
  <c r="X4" i="41"/>
  <c r="W4" i="41"/>
  <c r="V4" i="41"/>
  <c r="Y3" i="41"/>
  <c r="X3" i="41"/>
  <c r="W3" i="41"/>
  <c r="V3" i="41"/>
  <c r="Y2" i="41"/>
  <c r="X2" i="41"/>
  <c r="W2" i="41"/>
  <c r="V2" i="41"/>
  <c r="H635" i="40"/>
  <c r="H634" i="40"/>
  <c r="H633" i="40"/>
  <c r="H632" i="40"/>
  <c r="H631" i="40"/>
  <c r="H630" i="40"/>
  <c r="H629" i="40"/>
  <c r="H628" i="40"/>
  <c r="H627" i="40"/>
  <c r="H626" i="40"/>
  <c r="H625" i="40"/>
  <c r="H624" i="40"/>
  <c r="H623" i="40"/>
  <c r="H622" i="40"/>
  <c r="H621" i="40"/>
  <c r="H620" i="40"/>
  <c r="H619" i="40"/>
  <c r="H618" i="40"/>
  <c r="H617" i="40"/>
  <c r="H616" i="40"/>
  <c r="H615" i="40"/>
  <c r="H614" i="40"/>
  <c r="H613" i="40"/>
  <c r="H612" i="40"/>
  <c r="H611" i="40"/>
  <c r="H610" i="40"/>
  <c r="H609" i="40"/>
  <c r="H608" i="40"/>
  <c r="H607" i="40"/>
  <c r="H606" i="40"/>
  <c r="H605" i="40"/>
  <c r="H604" i="40"/>
  <c r="H603" i="40"/>
  <c r="H602" i="40"/>
  <c r="H601" i="40"/>
  <c r="H600" i="40"/>
  <c r="H599" i="40"/>
  <c r="H598" i="40"/>
  <c r="H597" i="40"/>
  <c r="H596" i="40"/>
  <c r="H595" i="40"/>
  <c r="H594" i="40"/>
  <c r="H593" i="40"/>
  <c r="H592" i="40"/>
  <c r="H591" i="40"/>
  <c r="H590" i="40"/>
  <c r="H589" i="40"/>
  <c r="H588" i="40"/>
  <c r="H587" i="40"/>
  <c r="H586" i="40"/>
  <c r="H585" i="40"/>
  <c r="H584" i="40"/>
  <c r="H583" i="40"/>
  <c r="H582" i="40"/>
  <c r="H581" i="40"/>
  <c r="H580" i="40"/>
  <c r="H579" i="40"/>
  <c r="H578" i="40"/>
  <c r="H577" i="40"/>
  <c r="H576" i="40"/>
  <c r="H575" i="40"/>
  <c r="H574" i="40"/>
  <c r="H573" i="40"/>
  <c r="H572" i="40"/>
  <c r="H571" i="40"/>
  <c r="H570" i="40"/>
  <c r="H569" i="40"/>
  <c r="H568" i="40"/>
  <c r="H567" i="40"/>
  <c r="H566" i="40"/>
  <c r="H565" i="40"/>
  <c r="H564" i="40"/>
  <c r="H563" i="40"/>
  <c r="H562" i="40"/>
  <c r="H561" i="40"/>
  <c r="H560" i="40"/>
  <c r="H559" i="40"/>
  <c r="H558" i="40"/>
  <c r="H557" i="40"/>
  <c r="H556" i="40"/>
  <c r="H555" i="40"/>
  <c r="H554" i="40"/>
  <c r="H553" i="40"/>
  <c r="H552" i="40"/>
  <c r="H551" i="40"/>
  <c r="H550" i="40"/>
  <c r="H549" i="40"/>
  <c r="H548" i="40"/>
  <c r="H547" i="40"/>
  <c r="H546" i="40"/>
  <c r="H545" i="40"/>
  <c r="H544" i="40"/>
  <c r="H543" i="40"/>
  <c r="H542" i="40"/>
  <c r="H541" i="40"/>
  <c r="H540" i="40"/>
  <c r="H539" i="40"/>
  <c r="H538" i="40"/>
  <c r="H537" i="40"/>
  <c r="H536" i="40"/>
  <c r="H535" i="40"/>
  <c r="H534" i="40"/>
  <c r="H533" i="40"/>
  <c r="H532" i="40"/>
  <c r="H531" i="40"/>
  <c r="H530" i="40"/>
  <c r="H529" i="40"/>
  <c r="H528" i="40"/>
  <c r="H527" i="40"/>
  <c r="H526" i="40"/>
  <c r="H525" i="40"/>
  <c r="H524" i="40"/>
  <c r="H523" i="40"/>
  <c r="H522" i="40"/>
  <c r="H521" i="40"/>
  <c r="H520" i="40"/>
  <c r="H519" i="40"/>
  <c r="H518" i="40"/>
  <c r="H517" i="40"/>
  <c r="H516" i="40"/>
  <c r="H515" i="40"/>
  <c r="H514" i="40"/>
  <c r="H513" i="40"/>
  <c r="H512" i="40"/>
  <c r="H511" i="40"/>
  <c r="H510" i="40"/>
  <c r="H509" i="40"/>
  <c r="H508" i="40"/>
  <c r="H507" i="40"/>
  <c r="H506" i="40"/>
  <c r="H505" i="40"/>
  <c r="H504" i="40"/>
  <c r="H503" i="40"/>
  <c r="H502" i="40"/>
  <c r="H501" i="40"/>
  <c r="H500" i="40"/>
  <c r="H499" i="40"/>
  <c r="H498" i="40"/>
  <c r="H497" i="40"/>
  <c r="H496" i="40"/>
  <c r="H495" i="40"/>
  <c r="H494" i="40"/>
  <c r="H493" i="40"/>
  <c r="H492" i="40"/>
  <c r="H491" i="40"/>
  <c r="H490" i="40"/>
  <c r="H489" i="40"/>
  <c r="H488" i="40"/>
  <c r="H487" i="40"/>
  <c r="H486" i="40"/>
  <c r="H485" i="40"/>
  <c r="H484" i="40"/>
  <c r="H483" i="40"/>
  <c r="H482" i="40"/>
  <c r="H481" i="40"/>
  <c r="H480" i="40"/>
  <c r="H479" i="40"/>
  <c r="H478" i="40"/>
  <c r="H477" i="40"/>
  <c r="H476" i="40"/>
  <c r="H475" i="40"/>
  <c r="H474" i="40"/>
  <c r="H473" i="40"/>
  <c r="H472" i="40"/>
  <c r="H471" i="40"/>
  <c r="H470" i="40"/>
  <c r="H469" i="40"/>
  <c r="H468" i="40"/>
  <c r="H467" i="40"/>
  <c r="H466" i="40"/>
  <c r="H465" i="40"/>
  <c r="H464" i="40"/>
  <c r="H463" i="40"/>
  <c r="H462" i="40"/>
  <c r="H461" i="40"/>
  <c r="H460" i="40"/>
  <c r="H459" i="40"/>
  <c r="H458" i="40"/>
  <c r="H457" i="40"/>
  <c r="H456" i="40"/>
  <c r="H455" i="40"/>
  <c r="H454" i="40"/>
  <c r="H453" i="40"/>
  <c r="H452" i="40"/>
  <c r="H451" i="40"/>
  <c r="H450" i="40"/>
  <c r="H449" i="40"/>
  <c r="H448" i="40"/>
  <c r="H447" i="40"/>
  <c r="H446" i="40"/>
  <c r="H445" i="40"/>
  <c r="H444" i="40"/>
  <c r="H443" i="40"/>
  <c r="H442" i="40"/>
  <c r="H441" i="40"/>
  <c r="H440" i="40"/>
  <c r="H439" i="40"/>
  <c r="H438" i="40"/>
  <c r="H437" i="40"/>
  <c r="H436" i="40"/>
  <c r="H435" i="40"/>
  <c r="H434" i="40"/>
  <c r="H433" i="40"/>
  <c r="H432" i="40"/>
  <c r="H431" i="40"/>
  <c r="H430" i="40"/>
  <c r="H429" i="40"/>
  <c r="H428" i="40"/>
  <c r="H427" i="40"/>
  <c r="H426" i="40"/>
  <c r="H425" i="40"/>
  <c r="H424" i="40"/>
  <c r="H423" i="40"/>
  <c r="H422" i="40"/>
  <c r="H421" i="40"/>
  <c r="H420" i="40"/>
  <c r="H419" i="40"/>
  <c r="H418" i="40"/>
  <c r="H417" i="40"/>
  <c r="H416" i="40"/>
  <c r="H415" i="40"/>
  <c r="H414" i="40"/>
  <c r="H413" i="40"/>
  <c r="H412" i="40"/>
  <c r="H411" i="40"/>
  <c r="H410" i="40"/>
  <c r="H409" i="40"/>
  <c r="H408" i="40"/>
  <c r="H407" i="40"/>
  <c r="H406" i="40"/>
  <c r="H405" i="40"/>
  <c r="H404" i="40"/>
  <c r="H403" i="40"/>
  <c r="H402" i="40"/>
  <c r="H401" i="40"/>
  <c r="H400" i="40"/>
  <c r="H399" i="40"/>
  <c r="H398" i="40"/>
  <c r="H397" i="40"/>
  <c r="H396" i="40"/>
  <c r="H395" i="40"/>
  <c r="H394" i="40"/>
  <c r="H393" i="40"/>
  <c r="H392" i="40"/>
  <c r="H391" i="40"/>
  <c r="H390" i="40"/>
  <c r="H389" i="40"/>
  <c r="H388" i="40"/>
  <c r="H387" i="40"/>
  <c r="H386" i="40"/>
  <c r="H385" i="40"/>
  <c r="H384" i="40"/>
  <c r="H383" i="40"/>
  <c r="H382" i="40"/>
  <c r="H381" i="40"/>
  <c r="H380" i="40"/>
  <c r="H379" i="40"/>
  <c r="H378" i="40"/>
  <c r="H377" i="40"/>
  <c r="H376" i="40"/>
  <c r="H375" i="40"/>
  <c r="H374" i="40"/>
  <c r="H373" i="40"/>
  <c r="H372" i="40"/>
  <c r="H371" i="40"/>
  <c r="H370" i="40"/>
  <c r="H369" i="40"/>
  <c r="H368" i="40"/>
  <c r="H367" i="40"/>
  <c r="H366" i="40"/>
  <c r="H365" i="40"/>
  <c r="H364" i="40"/>
  <c r="H363" i="40"/>
  <c r="H362" i="40"/>
  <c r="H361" i="40"/>
  <c r="H360" i="40"/>
  <c r="H359" i="40"/>
  <c r="H358" i="40"/>
  <c r="H357" i="40"/>
  <c r="H356" i="40"/>
  <c r="H355" i="40"/>
  <c r="H354" i="40"/>
  <c r="H353" i="40"/>
  <c r="H352" i="40"/>
  <c r="H351" i="40"/>
  <c r="H350" i="40"/>
  <c r="H349" i="40"/>
  <c r="H348" i="40"/>
  <c r="H347" i="40"/>
  <c r="H346" i="40"/>
  <c r="H345" i="40"/>
  <c r="H344" i="40"/>
  <c r="H343" i="40"/>
  <c r="H342" i="40"/>
  <c r="H341" i="40"/>
  <c r="H340" i="40"/>
  <c r="H339" i="40"/>
  <c r="H338" i="40"/>
  <c r="H337" i="40"/>
  <c r="H336" i="40"/>
  <c r="H335" i="40"/>
  <c r="H334" i="40"/>
  <c r="H333" i="40"/>
  <c r="H332" i="40"/>
  <c r="H331" i="40"/>
  <c r="H330" i="40"/>
  <c r="H329" i="40"/>
  <c r="H328" i="40"/>
  <c r="H327" i="40"/>
  <c r="H326" i="40"/>
  <c r="H325" i="40"/>
  <c r="H324" i="40"/>
  <c r="H323" i="40"/>
  <c r="H322" i="40"/>
  <c r="H321" i="40"/>
  <c r="H320" i="40"/>
  <c r="H319" i="40"/>
  <c r="H318" i="40"/>
  <c r="H317" i="40"/>
  <c r="H316" i="40"/>
  <c r="H315" i="40"/>
  <c r="H314" i="40"/>
  <c r="H313" i="40"/>
  <c r="H312" i="40"/>
  <c r="H311" i="40"/>
  <c r="H310" i="40"/>
  <c r="H309" i="40"/>
  <c r="H308" i="40"/>
  <c r="H307" i="40"/>
  <c r="H306" i="40"/>
  <c r="H305" i="40"/>
  <c r="H304" i="40"/>
  <c r="H303" i="40"/>
  <c r="H302" i="40"/>
  <c r="H301" i="40"/>
  <c r="H300" i="40"/>
  <c r="H299" i="40"/>
  <c r="H298" i="40"/>
  <c r="H297" i="40"/>
  <c r="H296" i="40"/>
  <c r="H295" i="40"/>
  <c r="H294" i="40"/>
  <c r="H293" i="40"/>
  <c r="H292" i="40"/>
  <c r="H291" i="40"/>
  <c r="H290" i="40"/>
  <c r="H289" i="40"/>
  <c r="H288" i="40"/>
  <c r="H287" i="40"/>
  <c r="H286" i="40"/>
  <c r="H285" i="40"/>
  <c r="H284" i="40"/>
  <c r="H283" i="40"/>
  <c r="H282" i="40"/>
  <c r="H281" i="40"/>
  <c r="H280" i="40"/>
  <c r="H279" i="40"/>
  <c r="H278" i="40"/>
  <c r="H277" i="40"/>
  <c r="H276" i="40"/>
  <c r="H275" i="40"/>
  <c r="H274" i="40"/>
  <c r="H273" i="40"/>
  <c r="H272" i="40"/>
  <c r="H271" i="40"/>
  <c r="H270" i="40"/>
  <c r="H269" i="40"/>
  <c r="H268" i="40"/>
  <c r="H267" i="40"/>
  <c r="H266" i="40"/>
  <c r="H265" i="40"/>
  <c r="H264" i="40"/>
  <c r="H263" i="40"/>
  <c r="H262" i="40"/>
  <c r="H261" i="40"/>
  <c r="H260" i="40"/>
  <c r="H259" i="40"/>
  <c r="H258" i="40"/>
  <c r="H257" i="40"/>
  <c r="H256" i="40"/>
  <c r="H255" i="40"/>
  <c r="H254" i="40"/>
  <c r="H253" i="40"/>
  <c r="H252" i="40"/>
  <c r="H251" i="40"/>
  <c r="H250" i="40"/>
  <c r="H249" i="40"/>
  <c r="H248" i="40"/>
  <c r="H247" i="40"/>
  <c r="H246" i="40"/>
  <c r="H245" i="40"/>
  <c r="H244" i="40"/>
  <c r="H243" i="40"/>
  <c r="H242" i="40"/>
  <c r="H241" i="40"/>
  <c r="H240" i="40"/>
  <c r="H239" i="40"/>
  <c r="H238" i="40"/>
  <c r="H237" i="40"/>
  <c r="H236" i="40"/>
  <c r="H235" i="40"/>
  <c r="H234" i="40"/>
  <c r="H233" i="40"/>
  <c r="H232" i="40"/>
  <c r="H231" i="40"/>
  <c r="H230" i="40"/>
  <c r="H229" i="40"/>
  <c r="H228" i="40"/>
  <c r="H227" i="40"/>
  <c r="H226" i="40"/>
  <c r="H225" i="40"/>
  <c r="H224" i="40"/>
  <c r="H223" i="40"/>
  <c r="H222" i="40"/>
  <c r="H221" i="40"/>
  <c r="H220" i="40"/>
  <c r="H219" i="40"/>
  <c r="H218" i="40"/>
  <c r="H217" i="40"/>
  <c r="H216" i="40"/>
  <c r="H215" i="40"/>
  <c r="H214" i="40"/>
  <c r="H213" i="40"/>
  <c r="H212" i="40"/>
  <c r="H211" i="40"/>
  <c r="H210" i="40"/>
  <c r="H209" i="40"/>
  <c r="H208" i="40"/>
  <c r="H207" i="40"/>
  <c r="H206" i="40"/>
  <c r="H205" i="40"/>
  <c r="H204" i="40"/>
  <c r="H203" i="40"/>
  <c r="H202" i="40"/>
  <c r="H201" i="40"/>
  <c r="H200" i="40"/>
  <c r="H199" i="40"/>
  <c r="H198" i="40"/>
  <c r="H197" i="40"/>
  <c r="H196" i="40"/>
  <c r="H195" i="40"/>
  <c r="H194" i="40"/>
  <c r="H193" i="40"/>
  <c r="H192" i="40"/>
  <c r="H191" i="40"/>
  <c r="H190" i="40"/>
  <c r="H189" i="40"/>
  <c r="H188" i="40"/>
  <c r="H187" i="40"/>
  <c r="H186" i="40"/>
  <c r="H185" i="40"/>
  <c r="H184" i="40"/>
  <c r="H183" i="40"/>
  <c r="H182" i="40"/>
  <c r="H181" i="40"/>
  <c r="H180" i="40"/>
  <c r="H179" i="40"/>
  <c r="H178" i="40"/>
  <c r="H177" i="40"/>
  <c r="H176" i="40"/>
  <c r="H175" i="40"/>
  <c r="H174" i="40"/>
  <c r="H173" i="40"/>
  <c r="H172" i="40"/>
  <c r="H171" i="40"/>
  <c r="H170" i="40"/>
  <c r="H169" i="40"/>
  <c r="H168" i="40"/>
  <c r="H167" i="40"/>
  <c r="H166" i="40"/>
  <c r="H165" i="40"/>
  <c r="H164" i="40"/>
  <c r="H163" i="40"/>
  <c r="H162" i="40"/>
  <c r="H161" i="40"/>
  <c r="H160" i="40"/>
  <c r="H159" i="40"/>
  <c r="H158" i="40"/>
  <c r="H157" i="40"/>
  <c r="H156" i="40"/>
  <c r="H155" i="40"/>
  <c r="H154" i="40"/>
  <c r="H153" i="40"/>
  <c r="H152" i="40"/>
  <c r="H151" i="40"/>
  <c r="H150" i="40"/>
  <c r="H149" i="40"/>
  <c r="H148" i="40"/>
  <c r="H147" i="40"/>
  <c r="H146" i="40"/>
  <c r="H145" i="40"/>
  <c r="H144" i="40"/>
  <c r="H143" i="40"/>
  <c r="H142" i="40"/>
  <c r="H141" i="40"/>
  <c r="H140" i="40"/>
  <c r="H139" i="40"/>
  <c r="H138" i="40"/>
  <c r="H137" i="40"/>
  <c r="H136" i="40"/>
  <c r="H135" i="40"/>
  <c r="H134" i="40"/>
  <c r="H133" i="40"/>
  <c r="H132" i="40"/>
  <c r="H131" i="40"/>
  <c r="H130" i="40"/>
  <c r="H129" i="40"/>
  <c r="H128" i="40"/>
  <c r="H127" i="40"/>
  <c r="H126" i="40"/>
  <c r="H125" i="40"/>
  <c r="H124" i="40"/>
  <c r="H123" i="40"/>
  <c r="H122" i="40"/>
  <c r="H121" i="40"/>
  <c r="H120" i="40"/>
  <c r="H119" i="40"/>
  <c r="H118" i="40"/>
  <c r="H117" i="40"/>
  <c r="H116" i="40"/>
  <c r="H115" i="40"/>
  <c r="H114" i="40"/>
  <c r="H113" i="40"/>
  <c r="H112" i="40"/>
  <c r="H111" i="40"/>
  <c r="H110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5" i="40"/>
  <c r="H4" i="40"/>
  <c r="H3" i="40"/>
  <c r="H2" i="40"/>
  <c r="Z41" i="37"/>
  <c r="Y41" i="37"/>
  <c r="V41" i="37"/>
  <c r="W41" i="37" s="1"/>
  <c r="U41" i="37"/>
  <c r="S41" i="37"/>
  <c r="T41" i="37" s="1"/>
  <c r="R41" i="37"/>
  <c r="AA40" i="37"/>
  <c r="Z40" i="37"/>
  <c r="Y40" i="37"/>
  <c r="V40" i="37"/>
  <c r="W40" i="37" s="1"/>
  <c r="U40" i="37"/>
  <c r="S40" i="37"/>
  <c r="T40" i="37" s="1"/>
  <c r="R40" i="37"/>
  <c r="Z39" i="37"/>
  <c r="Y39" i="37"/>
  <c r="V39" i="37"/>
  <c r="U39" i="37"/>
  <c r="W39" i="37" s="1"/>
  <c r="T39" i="37"/>
  <c r="S39" i="37"/>
  <c r="R39" i="37"/>
  <c r="Z38" i="37"/>
  <c r="AA38" i="37" s="1"/>
  <c r="Y38" i="37"/>
  <c r="V38" i="37"/>
  <c r="W38" i="37" s="1"/>
  <c r="U38" i="37"/>
  <c r="S38" i="37"/>
  <c r="R38" i="37"/>
  <c r="Z37" i="37"/>
  <c r="Y37" i="37"/>
  <c r="AA37" i="37" s="1"/>
  <c r="V37" i="37"/>
  <c r="U37" i="37"/>
  <c r="S37" i="37"/>
  <c r="T37" i="37" s="1"/>
  <c r="R37" i="37"/>
  <c r="Z36" i="37"/>
  <c r="Y36" i="37"/>
  <c r="AA36" i="37" s="1"/>
  <c r="W36" i="37"/>
  <c r="V36" i="37"/>
  <c r="U36" i="37"/>
  <c r="S36" i="37"/>
  <c r="T36" i="37" s="1"/>
  <c r="R36" i="37"/>
  <c r="Z35" i="37"/>
  <c r="Y35" i="37"/>
  <c r="V35" i="37"/>
  <c r="U35" i="37"/>
  <c r="S35" i="37"/>
  <c r="T35" i="37" s="1"/>
  <c r="R35" i="37"/>
  <c r="Z34" i="37"/>
  <c r="AA34" i="37" s="1"/>
  <c r="Y34" i="37"/>
  <c r="W34" i="37"/>
  <c r="V34" i="37"/>
  <c r="U34" i="37"/>
  <c r="S34" i="37"/>
  <c r="R34" i="37"/>
  <c r="Z33" i="37"/>
  <c r="Y33" i="37"/>
  <c r="AA33" i="37" s="1"/>
  <c r="V33" i="37"/>
  <c r="U33" i="37"/>
  <c r="W33" i="37" s="1"/>
  <c r="X33" i="37" s="1"/>
  <c r="T33" i="37"/>
  <c r="S33" i="37"/>
  <c r="R33" i="37"/>
  <c r="AA32" i="37"/>
  <c r="Z32" i="37"/>
  <c r="Y32" i="37"/>
  <c r="V32" i="37"/>
  <c r="W32" i="37" s="1"/>
  <c r="U32" i="37"/>
  <c r="S32" i="37"/>
  <c r="R32" i="37"/>
  <c r="Z31" i="37"/>
  <c r="Y31" i="37"/>
  <c r="V31" i="37"/>
  <c r="U31" i="37"/>
  <c r="T31" i="37"/>
  <c r="S31" i="37"/>
  <c r="R31" i="37"/>
  <c r="Z30" i="37"/>
  <c r="AA30" i="37" s="1"/>
  <c r="Y30" i="37"/>
  <c r="V30" i="37"/>
  <c r="W30" i="37" s="1"/>
  <c r="U30" i="37"/>
  <c r="S30" i="37"/>
  <c r="T30" i="37" s="1"/>
  <c r="X30" i="37" s="1"/>
  <c r="R30" i="37"/>
  <c r="Z29" i="37"/>
  <c r="Y29" i="37"/>
  <c r="AA29" i="37" s="1"/>
  <c r="V29" i="37"/>
  <c r="U29" i="37"/>
  <c r="S29" i="37"/>
  <c r="T29" i="37" s="1"/>
  <c r="R29" i="37"/>
  <c r="Z28" i="37"/>
  <c r="AA28" i="37" s="1"/>
  <c r="Y28" i="37"/>
  <c r="V28" i="37"/>
  <c r="W28" i="37" s="1"/>
  <c r="U28" i="37"/>
  <c r="S28" i="37"/>
  <c r="R28" i="37"/>
  <c r="Z27" i="37"/>
  <c r="Y27" i="37"/>
  <c r="AA27" i="37" s="1"/>
  <c r="V27" i="37"/>
  <c r="U27" i="37"/>
  <c r="S27" i="37"/>
  <c r="T27" i="37" s="1"/>
  <c r="R27" i="37"/>
  <c r="Z26" i="37"/>
  <c r="Y26" i="37"/>
  <c r="AA26" i="37" s="1"/>
  <c r="V26" i="37"/>
  <c r="W26" i="37" s="1"/>
  <c r="U26" i="37"/>
  <c r="S26" i="37"/>
  <c r="R26" i="37"/>
  <c r="Z25" i="37"/>
  <c r="Y25" i="37"/>
  <c r="AA25" i="37" s="1"/>
  <c r="V25" i="37"/>
  <c r="U25" i="37"/>
  <c r="W25" i="37" s="1"/>
  <c r="S25" i="37"/>
  <c r="T25" i="37" s="1"/>
  <c r="R25" i="37"/>
  <c r="Z24" i="37"/>
  <c r="Y24" i="37"/>
  <c r="V24" i="37"/>
  <c r="W24" i="37" s="1"/>
  <c r="U24" i="37"/>
  <c r="S24" i="37"/>
  <c r="T24" i="37" s="1"/>
  <c r="R24" i="37"/>
  <c r="Z23" i="37"/>
  <c r="Y23" i="37"/>
  <c r="AA23" i="37" s="1"/>
  <c r="V23" i="37"/>
  <c r="U23" i="37"/>
  <c r="S23" i="37"/>
  <c r="R23" i="37"/>
  <c r="T23" i="37" s="1"/>
  <c r="AA22" i="37"/>
  <c r="Z22" i="37"/>
  <c r="Y22" i="37"/>
  <c r="V22" i="37"/>
  <c r="W22" i="37" s="1"/>
  <c r="U22" i="37"/>
  <c r="S22" i="37"/>
  <c r="T22" i="37" s="1"/>
  <c r="R22" i="37"/>
  <c r="Z21" i="37"/>
  <c r="Y21" i="37"/>
  <c r="V21" i="37"/>
  <c r="U21" i="37"/>
  <c r="W21" i="37" s="1"/>
  <c r="S21" i="37"/>
  <c r="T21" i="37" s="1"/>
  <c r="R21" i="37"/>
  <c r="Z20" i="37"/>
  <c r="AA20" i="37" s="1"/>
  <c r="Y20" i="37"/>
  <c r="W20" i="37"/>
  <c r="V20" i="37"/>
  <c r="U20" i="37"/>
  <c r="S20" i="37"/>
  <c r="R20" i="37"/>
  <c r="Z19" i="37"/>
  <c r="Y19" i="37"/>
  <c r="AA19" i="37" s="1"/>
  <c r="V19" i="37"/>
  <c r="W19" i="37" s="1"/>
  <c r="U19" i="37"/>
  <c r="S19" i="37"/>
  <c r="T19" i="37" s="1"/>
  <c r="X19" i="37" s="1"/>
  <c r="R19" i="37"/>
  <c r="Z18" i="37"/>
  <c r="AA18" i="37" s="1"/>
  <c r="Y18" i="37"/>
  <c r="V18" i="37"/>
  <c r="W18" i="37" s="1"/>
  <c r="U18" i="37"/>
  <c r="S18" i="37"/>
  <c r="R18" i="37"/>
  <c r="AA17" i="37"/>
  <c r="Z17" i="37"/>
  <c r="Y17" i="37"/>
  <c r="V17" i="37"/>
  <c r="U17" i="37"/>
  <c r="W17" i="37" s="1"/>
  <c r="S17" i="37"/>
  <c r="T17" i="37" s="1"/>
  <c r="R17" i="37"/>
  <c r="Z16" i="37"/>
  <c r="Y16" i="37"/>
  <c r="V16" i="37"/>
  <c r="W16" i="37" s="1"/>
  <c r="U16" i="37"/>
  <c r="S16" i="37"/>
  <c r="T16" i="37" s="1"/>
  <c r="R16" i="37"/>
  <c r="Z15" i="37"/>
  <c r="Y15" i="37"/>
  <c r="AA15" i="37" s="1"/>
  <c r="W15" i="37"/>
  <c r="V15" i="37"/>
  <c r="U15" i="37"/>
  <c r="S15" i="37"/>
  <c r="T15" i="37" s="1"/>
  <c r="X15" i="37" s="1"/>
  <c r="R15" i="37"/>
  <c r="Z14" i="37"/>
  <c r="AA14" i="37" s="1"/>
  <c r="Y14" i="37"/>
  <c r="V14" i="37"/>
  <c r="U14" i="37"/>
  <c r="S14" i="37"/>
  <c r="R14" i="37"/>
  <c r="AA13" i="37"/>
  <c r="Z13" i="37"/>
  <c r="Y13" i="37"/>
  <c r="V13" i="37"/>
  <c r="U13" i="37"/>
  <c r="S13" i="37"/>
  <c r="T13" i="37" s="1"/>
  <c r="R13" i="37"/>
  <c r="Z12" i="37"/>
  <c r="AA12" i="37" s="1"/>
  <c r="Y12" i="37"/>
  <c r="V12" i="37"/>
  <c r="W12" i="37" s="1"/>
  <c r="U12" i="37"/>
  <c r="S12" i="37"/>
  <c r="R12" i="37"/>
  <c r="Z11" i="37"/>
  <c r="Y11" i="37"/>
  <c r="W11" i="37"/>
  <c r="V11" i="37"/>
  <c r="U11" i="37"/>
  <c r="T11" i="37"/>
  <c r="S11" i="37"/>
  <c r="R11" i="37"/>
  <c r="Z10" i="37"/>
  <c r="AA10" i="37" s="1"/>
  <c r="Y10" i="37"/>
  <c r="V10" i="37"/>
  <c r="U10" i="37"/>
  <c r="S10" i="37"/>
  <c r="T10" i="37" s="1"/>
  <c r="R10" i="37"/>
  <c r="Z9" i="37"/>
  <c r="Y9" i="37"/>
  <c r="AA9" i="37" s="1"/>
  <c r="V9" i="37"/>
  <c r="W9" i="37" s="1"/>
  <c r="U9" i="37"/>
  <c r="S9" i="37"/>
  <c r="T9" i="37" s="1"/>
  <c r="R9" i="37"/>
  <c r="Z8" i="37"/>
  <c r="Y8" i="37"/>
  <c r="V8" i="37"/>
  <c r="W8" i="37" s="1"/>
  <c r="U8" i="37"/>
  <c r="S8" i="37"/>
  <c r="R8" i="37"/>
  <c r="Z7" i="37"/>
  <c r="AA7" i="37" s="1"/>
  <c r="Y7" i="37"/>
  <c r="V7" i="37"/>
  <c r="U7" i="37"/>
  <c r="W7" i="37" s="1"/>
  <c r="T7" i="37"/>
  <c r="S7" i="37"/>
  <c r="R7" i="37"/>
  <c r="AA6" i="37"/>
  <c r="Z6" i="37"/>
  <c r="Y6" i="37"/>
  <c r="V6" i="37"/>
  <c r="U6" i="37"/>
  <c r="S6" i="37"/>
  <c r="T6" i="37" s="1"/>
  <c r="R6" i="37"/>
  <c r="AA5" i="37"/>
  <c r="Z5" i="37"/>
  <c r="Y5" i="37"/>
  <c r="V5" i="37"/>
  <c r="W5" i="37" s="1"/>
  <c r="U5" i="37"/>
  <c r="S5" i="37"/>
  <c r="T5" i="37" s="1"/>
  <c r="X5" i="37" s="1"/>
  <c r="R5" i="37"/>
  <c r="Z4" i="37"/>
  <c r="Y4" i="37"/>
  <c r="W4" i="37"/>
  <c r="V4" i="37"/>
  <c r="U4" i="37"/>
  <c r="S4" i="37"/>
  <c r="R4" i="37"/>
  <c r="Z3" i="37"/>
  <c r="AA3" i="37" s="1"/>
  <c r="Y3" i="37"/>
  <c r="W3" i="37"/>
  <c r="V3" i="37"/>
  <c r="U3" i="37"/>
  <c r="S3" i="37"/>
  <c r="R3" i="37"/>
  <c r="T3" i="37" s="1"/>
  <c r="X3" i="37" s="1"/>
  <c r="AA2" i="37"/>
  <c r="Z2" i="37"/>
  <c r="Y2" i="37"/>
  <c r="V2" i="37"/>
  <c r="W2" i="37" s="1"/>
  <c r="U2" i="37"/>
  <c r="S2" i="37"/>
  <c r="T2" i="37" s="1"/>
  <c r="R2" i="37"/>
  <c r="K74" i="36"/>
  <c r="J74" i="36"/>
  <c r="F74" i="36"/>
  <c r="E74" i="36"/>
  <c r="B74" i="36"/>
  <c r="K73" i="36"/>
  <c r="J73" i="36"/>
  <c r="F73" i="36"/>
  <c r="E73" i="36"/>
  <c r="B73" i="36"/>
  <c r="K72" i="36"/>
  <c r="J72" i="36"/>
  <c r="F72" i="36"/>
  <c r="E72" i="36"/>
  <c r="B72" i="36"/>
  <c r="K71" i="36"/>
  <c r="J71" i="36"/>
  <c r="F71" i="36"/>
  <c r="E71" i="36"/>
  <c r="B71" i="36"/>
  <c r="K70" i="36"/>
  <c r="J70" i="36"/>
  <c r="F70" i="36"/>
  <c r="E70" i="36"/>
  <c r="B70" i="36"/>
  <c r="K69" i="36"/>
  <c r="J69" i="36"/>
  <c r="F69" i="36"/>
  <c r="E69" i="36"/>
  <c r="B69" i="36"/>
  <c r="K68" i="36"/>
  <c r="J68" i="36"/>
  <c r="F68" i="36"/>
  <c r="E68" i="36"/>
  <c r="B68" i="36"/>
  <c r="K67" i="36"/>
  <c r="J67" i="36"/>
  <c r="F67" i="36"/>
  <c r="E67" i="36"/>
  <c r="B67" i="36"/>
  <c r="K66" i="36"/>
  <c r="J66" i="36"/>
  <c r="F66" i="36"/>
  <c r="E66" i="36"/>
  <c r="B66" i="36"/>
  <c r="K65" i="36"/>
  <c r="J65" i="36"/>
  <c r="F65" i="36"/>
  <c r="E65" i="36"/>
  <c r="B65" i="36"/>
  <c r="K64" i="36"/>
  <c r="J64" i="36"/>
  <c r="F64" i="36"/>
  <c r="E64" i="36"/>
  <c r="B64" i="36"/>
  <c r="K63" i="36"/>
  <c r="J63" i="36"/>
  <c r="F63" i="36"/>
  <c r="E63" i="36"/>
  <c r="B63" i="36"/>
  <c r="K62" i="36"/>
  <c r="J62" i="36"/>
  <c r="F62" i="36"/>
  <c r="E62" i="36"/>
  <c r="B62" i="36"/>
  <c r="M54" i="36"/>
  <c r="L54" i="36"/>
  <c r="I54" i="36"/>
  <c r="F54" i="36"/>
  <c r="E54" i="36"/>
  <c r="B54" i="36"/>
  <c r="M53" i="36"/>
  <c r="L53" i="36"/>
  <c r="I53" i="36"/>
  <c r="F53" i="36"/>
  <c r="E53" i="36"/>
  <c r="B53" i="36"/>
  <c r="M52" i="36"/>
  <c r="L52" i="36"/>
  <c r="I52" i="36"/>
  <c r="F52" i="36"/>
  <c r="E52" i="36"/>
  <c r="B52" i="36"/>
  <c r="M51" i="36"/>
  <c r="L51" i="36"/>
  <c r="I51" i="36"/>
  <c r="F51" i="36"/>
  <c r="E51" i="36"/>
  <c r="B51" i="36"/>
  <c r="M50" i="36"/>
  <c r="L50" i="36"/>
  <c r="I50" i="36"/>
  <c r="F50" i="36"/>
  <c r="E50" i="36"/>
  <c r="B50" i="36"/>
  <c r="M49" i="36"/>
  <c r="L49" i="36"/>
  <c r="I49" i="36"/>
  <c r="F49" i="36"/>
  <c r="E49" i="36"/>
  <c r="B49" i="36"/>
  <c r="M48" i="36"/>
  <c r="L48" i="36"/>
  <c r="I48" i="36"/>
  <c r="F48" i="36"/>
  <c r="E48" i="36"/>
  <c r="B48" i="36"/>
  <c r="M47" i="36"/>
  <c r="L47" i="36"/>
  <c r="I47" i="36"/>
  <c r="F47" i="36"/>
  <c r="E47" i="36"/>
  <c r="B47" i="36"/>
  <c r="M46" i="36"/>
  <c r="L46" i="36"/>
  <c r="I46" i="36"/>
  <c r="F46" i="36"/>
  <c r="E46" i="36"/>
  <c r="B46" i="36"/>
  <c r="M45" i="36"/>
  <c r="L45" i="36"/>
  <c r="I45" i="36"/>
  <c r="F45" i="36"/>
  <c r="E45" i="36"/>
  <c r="B45" i="36"/>
  <c r="M44" i="36"/>
  <c r="L44" i="36"/>
  <c r="I44" i="36"/>
  <c r="F44" i="36"/>
  <c r="E44" i="36"/>
  <c r="B44" i="36"/>
  <c r="M43" i="36"/>
  <c r="L43" i="36"/>
  <c r="I43" i="36"/>
  <c r="F43" i="36"/>
  <c r="E43" i="36"/>
  <c r="B43" i="36"/>
  <c r="M42" i="36"/>
  <c r="L42" i="36"/>
  <c r="I42" i="36"/>
  <c r="F42" i="36"/>
  <c r="E42" i="36"/>
  <c r="B42" i="36"/>
  <c r="M37" i="36"/>
  <c r="L37" i="36"/>
  <c r="I37" i="36"/>
  <c r="E37" i="36"/>
  <c r="D37" i="36"/>
  <c r="M36" i="36"/>
  <c r="L36" i="36"/>
  <c r="I36" i="36"/>
  <c r="E36" i="36"/>
  <c r="D36" i="36"/>
  <c r="M35" i="36"/>
  <c r="L35" i="36"/>
  <c r="I35" i="36"/>
  <c r="E35" i="36"/>
  <c r="D35" i="36"/>
  <c r="L72" i="36" s="1"/>
  <c r="M34" i="36"/>
  <c r="L34" i="36"/>
  <c r="I34" i="36"/>
  <c r="E34" i="36"/>
  <c r="D34" i="36"/>
  <c r="M33" i="36"/>
  <c r="L33" i="36"/>
  <c r="I33" i="36"/>
  <c r="I70" i="36" s="1"/>
  <c r="E33" i="36"/>
  <c r="D33" i="36"/>
  <c r="M32" i="36"/>
  <c r="L32" i="36"/>
  <c r="I32" i="36"/>
  <c r="E32" i="36"/>
  <c r="D32" i="36"/>
  <c r="M31" i="36"/>
  <c r="L31" i="36"/>
  <c r="I31" i="36"/>
  <c r="E31" i="36"/>
  <c r="D31" i="36"/>
  <c r="M30" i="36"/>
  <c r="L30" i="36"/>
  <c r="I30" i="36"/>
  <c r="E30" i="36"/>
  <c r="M67" i="36" s="1"/>
  <c r="D30" i="36"/>
  <c r="M29" i="36"/>
  <c r="L29" i="36"/>
  <c r="I29" i="36"/>
  <c r="E29" i="36"/>
  <c r="D29" i="36"/>
  <c r="M28" i="36"/>
  <c r="L28" i="36"/>
  <c r="I28" i="36"/>
  <c r="E28" i="36"/>
  <c r="D28" i="36"/>
  <c r="M27" i="36"/>
  <c r="L27" i="36"/>
  <c r="I27" i="36"/>
  <c r="E27" i="36"/>
  <c r="D27" i="36"/>
  <c r="M26" i="36"/>
  <c r="L26" i="36"/>
  <c r="I26" i="36"/>
  <c r="E26" i="36"/>
  <c r="D26" i="36"/>
  <c r="M25" i="36"/>
  <c r="L25" i="36"/>
  <c r="I25" i="36"/>
  <c r="I62" i="36" s="1"/>
  <c r="E25" i="36"/>
  <c r="D25" i="36"/>
  <c r="K54" i="35"/>
  <c r="K53" i="35"/>
  <c r="J53" i="35"/>
  <c r="F53" i="35"/>
  <c r="E53" i="35"/>
  <c r="B53" i="35"/>
  <c r="K52" i="35"/>
  <c r="J52" i="35"/>
  <c r="F52" i="35"/>
  <c r="E52" i="35"/>
  <c r="B52" i="35"/>
  <c r="K51" i="35"/>
  <c r="J51" i="35"/>
  <c r="F51" i="35"/>
  <c r="E51" i="35"/>
  <c r="B51" i="35"/>
  <c r="K50" i="35"/>
  <c r="J50" i="35"/>
  <c r="F50" i="35"/>
  <c r="E50" i="35"/>
  <c r="B50" i="35"/>
  <c r="K49" i="35"/>
  <c r="J49" i="35"/>
  <c r="F49" i="35"/>
  <c r="E49" i="35"/>
  <c r="B49" i="35"/>
  <c r="K48" i="35"/>
  <c r="J48" i="35"/>
  <c r="F48" i="35"/>
  <c r="E48" i="35"/>
  <c r="B48" i="35"/>
  <c r="K47" i="35"/>
  <c r="J47" i="35"/>
  <c r="F47" i="35"/>
  <c r="E47" i="35"/>
  <c r="B47" i="35"/>
  <c r="K46" i="35"/>
  <c r="J46" i="35"/>
  <c r="F46" i="35"/>
  <c r="E46" i="35"/>
  <c r="B46" i="35"/>
  <c r="K45" i="35"/>
  <c r="J45" i="35"/>
  <c r="F45" i="35"/>
  <c r="E45" i="35"/>
  <c r="B45" i="35"/>
  <c r="K44" i="35"/>
  <c r="J44" i="35"/>
  <c r="F44" i="35"/>
  <c r="E44" i="35"/>
  <c r="B44" i="35"/>
  <c r="K43" i="35"/>
  <c r="J43" i="35"/>
  <c r="F43" i="35"/>
  <c r="E43" i="35"/>
  <c r="B43" i="35"/>
  <c r="K42" i="35"/>
  <c r="J42" i="35"/>
  <c r="F42" i="35"/>
  <c r="E42" i="35"/>
  <c r="B42" i="35"/>
  <c r="K41" i="35"/>
  <c r="J41" i="35"/>
  <c r="F41" i="35"/>
  <c r="E41" i="35"/>
  <c r="B41" i="35"/>
  <c r="B37" i="35"/>
  <c r="J54" i="35" s="1"/>
  <c r="Z36" i="35"/>
  <c r="Y36" i="35"/>
  <c r="V36" i="35"/>
  <c r="I53" i="35" s="1"/>
  <c r="S36" i="35"/>
  <c r="R36" i="35"/>
  <c r="O36" i="35"/>
  <c r="L36" i="35"/>
  <c r="K36" i="35"/>
  <c r="H36" i="35"/>
  <c r="E36" i="35"/>
  <c r="D36" i="35"/>
  <c r="L53" i="35" s="1"/>
  <c r="Z35" i="35"/>
  <c r="Y35" i="35"/>
  <c r="V35" i="35"/>
  <c r="S35" i="35"/>
  <c r="R35" i="35"/>
  <c r="O35" i="35"/>
  <c r="L35" i="35"/>
  <c r="K35" i="35"/>
  <c r="H35" i="35"/>
  <c r="I52" i="35" s="1"/>
  <c r="E35" i="35"/>
  <c r="D35" i="35"/>
  <c r="Z34" i="35"/>
  <c r="Y34" i="35"/>
  <c r="V34" i="35"/>
  <c r="S34" i="35"/>
  <c r="R34" i="35"/>
  <c r="O34" i="35"/>
  <c r="I51" i="35" s="1"/>
  <c r="L34" i="35"/>
  <c r="K34" i="35"/>
  <c r="H34" i="35"/>
  <c r="E34" i="35"/>
  <c r="D34" i="35"/>
  <c r="Z33" i="35"/>
  <c r="Y33" i="35"/>
  <c r="V33" i="35"/>
  <c r="S33" i="35"/>
  <c r="R33" i="35"/>
  <c r="O33" i="35"/>
  <c r="L33" i="35"/>
  <c r="K33" i="35"/>
  <c r="H33" i="35"/>
  <c r="E33" i="35"/>
  <c r="M50" i="35" s="1"/>
  <c r="D33" i="35"/>
  <c r="L50" i="35" s="1"/>
  <c r="Z32" i="35"/>
  <c r="Y32" i="35"/>
  <c r="V32" i="35"/>
  <c r="S32" i="35"/>
  <c r="R32" i="35"/>
  <c r="O32" i="35"/>
  <c r="L32" i="35"/>
  <c r="K32" i="35"/>
  <c r="H32" i="35"/>
  <c r="E32" i="35"/>
  <c r="D32" i="35"/>
  <c r="Z31" i="35"/>
  <c r="Y31" i="35"/>
  <c r="V31" i="35"/>
  <c r="S31" i="35"/>
  <c r="R31" i="35"/>
  <c r="O31" i="35"/>
  <c r="L31" i="35"/>
  <c r="K31" i="35"/>
  <c r="H31" i="35"/>
  <c r="E31" i="35"/>
  <c r="D31" i="35"/>
  <c r="Z30" i="35"/>
  <c r="Y30" i="35"/>
  <c r="V30" i="35"/>
  <c r="S30" i="35"/>
  <c r="R30" i="35"/>
  <c r="O30" i="35"/>
  <c r="L30" i="35"/>
  <c r="K30" i="35"/>
  <c r="H30" i="35"/>
  <c r="I47" i="35" s="1"/>
  <c r="E30" i="35"/>
  <c r="M47" i="35" s="1"/>
  <c r="D30" i="35"/>
  <c r="Z29" i="35"/>
  <c r="Y29" i="35"/>
  <c r="V29" i="35"/>
  <c r="S29" i="35"/>
  <c r="R29" i="35"/>
  <c r="O29" i="35"/>
  <c r="I46" i="35" s="1"/>
  <c r="L29" i="35"/>
  <c r="M46" i="35" s="1"/>
  <c r="K29" i="35"/>
  <c r="H29" i="35"/>
  <c r="E29" i="35"/>
  <c r="D29" i="35"/>
  <c r="Z28" i="35"/>
  <c r="Y28" i="35"/>
  <c r="V28" i="35"/>
  <c r="I45" i="35" s="1"/>
  <c r="S28" i="35"/>
  <c r="R28" i="35"/>
  <c r="O28" i="35"/>
  <c r="L28" i="35"/>
  <c r="K28" i="35"/>
  <c r="H28" i="35"/>
  <c r="E28" i="35"/>
  <c r="D28" i="35"/>
  <c r="L45" i="35" s="1"/>
  <c r="Z27" i="35"/>
  <c r="Y27" i="35"/>
  <c r="V27" i="35"/>
  <c r="S27" i="35"/>
  <c r="R27" i="35"/>
  <c r="O27" i="35"/>
  <c r="L27" i="35"/>
  <c r="K27" i="35"/>
  <c r="H27" i="35"/>
  <c r="I44" i="35" s="1"/>
  <c r="E27" i="35"/>
  <c r="D27" i="35"/>
  <c r="Z26" i="35"/>
  <c r="Y26" i="35"/>
  <c r="V26" i="35"/>
  <c r="S26" i="35"/>
  <c r="R26" i="35"/>
  <c r="O26" i="35"/>
  <c r="I43" i="35" s="1"/>
  <c r="L26" i="35"/>
  <c r="K26" i="35"/>
  <c r="H26" i="35"/>
  <c r="E26" i="35"/>
  <c r="D26" i="35"/>
  <c r="Z25" i="35"/>
  <c r="Y25" i="35"/>
  <c r="V25" i="35"/>
  <c r="S25" i="35"/>
  <c r="R25" i="35"/>
  <c r="O25" i="35"/>
  <c r="L25" i="35"/>
  <c r="K25" i="35"/>
  <c r="H25" i="35"/>
  <c r="E25" i="35"/>
  <c r="M42" i="35" s="1"/>
  <c r="D25" i="35"/>
  <c r="L42" i="35" s="1"/>
  <c r="Z24" i="35"/>
  <c r="Y24" i="35"/>
  <c r="V24" i="35"/>
  <c r="S24" i="35"/>
  <c r="R24" i="35"/>
  <c r="O24" i="35"/>
  <c r="L24" i="35"/>
  <c r="K24" i="35"/>
  <c r="K37" i="35" s="1"/>
  <c r="H24" i="35"/>
  <c r="E24" i="35"/>
  <c r="D24" i="35"/>
  <c r="K53" i="34"/>
  <c r="J53" i="34"/>
  <c r="F53" i="34"/>
  <c r="E53" i="34"/>
  <c r="B53" i="34"/>
  <c r="K52" i="34"/>
  <c r="J52" i="34"/>
  <c r="F52" i="34"/>
  <c r="E52" i="34"/>
  <c r="B52" i="34"/>
  <c r="K51" i="34"/>
  <c r="J51" i="34"/>
  <c r="F51" i="34"/>
  <c r="E51" i="34"/>
  <c r="B51" i="34"/>
  <c r="K50" i="34"/>
  <c r="J50" i="34"/>
  <c r="F50" i="34"/>
  <c r="E50" i="34"/>
  <c r="B50" i="34"/>
  <c r="K49" i="34"/>
  <c r="J49" i="34"/>
  <c r="F49" i="34"/>
  <c r="E49" i="34"/>
  <c r="B49" i="34"/>
  <c r="K48" i="34"/>
  <c r="J48" i="34"/>
  <c r="F48" i="34"/>
  <c r="E48" i="34"/>
  <c r="B48" i="34"/>
  <c r="K47" i="34"/>
  <c r="J47" i="34"/>
  <c r="F47" i="34"/>
  <c r="E47" i="34"/>
  <c r="B47" i="34"/>
  <c r="K46" i="34"/>
  <c r="J46" i="34"/>
  <c r="F46" i="34"/>
  <c r="E46" i="34"/>
  <c r="B46" i="34"/>
  <c r="K45" i="34"/>
  <c r="J45" i="34"/>
  <c r="F45" i="34"/>
  <c r="E45" i="34"/>
  <c r="B45" i="34"/>
  <c r="K44" i="34"/>
  <c r="J44" i="34"/>
  <c r="F44" i="34"/>
  <c r="E44" i="34"/>
  <c r="B44" i="34"/>
  <c r="K43" i="34"/>
  <c r="J43" i="34"/>
  <c r="F43" i="34"/>
  <c r="E43" i="34"/>
  <c r="B43" i="34"/>
  <c r="K42" i="34"/>
  <c r="J42" i="34"/>
  <c r="F42" i="34"/>
  <c r="E42" i="34"/>
  <c r="B42" i="34"/>
  <c r="K41" i="34"/>
  <c r="J41" i="34"/>
  <c r="F41" i="34"/>
  <c r="F54" i="34" s="1"/>
  <c r="E41" i="34"/>
  <c r="B41" i="34"/>
  <c r="C37" i="34"/>
  <c r="K54" i="34" s="1"/>
  <c r="B37" i="34"/>
  <c r="J54" i="34" s="1"/>
  <c r="Z36" i="34"/>
  <c r="Y36" i="34"/>
  <c r="V36" i="34"/>
  <c r="S36" i="34"/>
  <c r="R36" i="34"/>
  <c r="O36" i="34"/>
  <c r="L36" i="34"/>
  <c r="K36" i="34"/>
  <c r="L53" i="34" s="1"/>
  <c r="H36" i="34"/>
  <c r="I53" i="34" s="1"/>
  <c r="E36" i="34"/>
  <c r="D36" i="34"/>
  <c r="Z35" i="34"/>
  <c r="Y35" i="34"/>
  <c r="V35" i="34"/>
  <c r="S35" i="34"/>
  <c r="R35" i="34"/>
  <c r="O35" i="34"/>
  <c r="I52" i="34" s="1"/>
  <c r="L35" i="34"/>
  <c r="K35" i="34"/>
  <c r="H35" i="34"/>
  <c r="E35" i="34"/>
  <c r="D35" i="34"/>
  <c r="Z34" i="34"/>
  <c r="Y34" i="34"/>
  <c r="V34" i="34"/>
  <c r="I51" i="34" s="1"/>
  <c r="S34" i="34"/>
  <c r="R34" i="34"/>
  <c r="O34" i="34"/>
  <c r="L34" i="34"/>
  <c r="K34" i="34"/>
  <c r="H34" i="34"/>
  <c r="E34" i="34"/>
  <c r="M51" i="34" s="1"/>
  <c r="D34" i="34"/>
  <c r="Z33" i="34"/>
  <c r="Y33" i="34"/>
  <c r="V33" i="34"/>
  <c r="S33" i="34"/>
  <c r="R33" i="34"/>
  <c r="O33" i="34"/>
  <c r="L33" i="34"/>
  <c r="M50" i="34" s="1"/>
  <c r="K33" i="34"/>
  <c r="H33" i="34"/>
  <c r="I50" i="34" s="1"/>
  <c r="E33" i="34"/>
  <c r="D33" i="34"/>
  <c r="Z32" i="34"/>
  <c r="Y32" i="34"/>
  <c r="V32" i="34"/>
  <c r="S32" i="34"/>
  <c r="R32" i="34"/>
  <c r="O32" i="34"/>
  <c r="L32" i="34"/>
  <c r="K32" i="34"/>
  <c r="H32" i="34"/>
  <c r="I49" i="34" s="1"/>
  <c r="E32" i="34"/>
  <c r="D32" i="34"/>
  <c r="Z31" i="34"/>
  <c r="Y31" i="34"/>
  <c r="L48" i="34" s="1"/>
  <c r="V31" i="34"/>
  <c r="S31" i="34"/>
  <c r="R31" i="34"/>
  <c r="O31" i="34"/>
  <c r="L31" i="34"/>
  <c r="K31" i="34"/>
  <c r="H31" i="34"/>
  <c r="I48" i="34" s="1"/>
  <c r="E31" i="34"/>
  <c r="M48" i="34" s="1"/>
  <c r="D31" i="34"/>
  <c r="Z30" i="34"/>
  <c r="Y30" i="34"/>
  <c r="V30" i="34"/>
  <c r="S30" i="34"/>
  <c r="R30" i="34"/>
  <c r="O30" i="34"/>
  <c r="L30" i="34"/>
  <c r="K30" i="34"/>
  <c r="H30" i="34"/>
  <c r="E30" i="34"/>
  <c r="D30" i="34"/>
  <c r="L47" i="34" s="1"/>
  <c r="Z29" i="34"/>
  <c r="Y29" i="34"/>
  <c r="V29" i="34"/>
  <c r="S29" i="34"/>
  <c r="R29" i="34"/>
  <c r="O29" i="34"/>
  <c r="L29" i="34"/>
  <c r="K29" i="34"/>
  <c r="H29" i="34"/>
  <c r="E29" i="34"/>
  <c r="D29" i="34"/>
  <c r="L46" i="34" s="1"/>
  <c r="Z28" i="34"/>
  <c r="Y28" i="34"/>
  <c r="V28" i="34"/>
  <c r="S28" i="34"/>
  <c r="R28" i="34"/>
  <c r="O28" i="34"/>
  <c r="L28" i="34"/>
  <c r="K28" i="34"/>
  <c r="H28" i="34"/>
  <c r="I45" i="34" s="1"/>
  <c r="E28" i="34"/>
  <c r="D28" i="34"/>
  <c r="L45" i="34" s="1"/>
  <c r="Z27" i="34"/>
  <c r="Y27" i="34"/>
  <c r="V27" i="34"/>
  <c r="S27" i="34"/>
  <c r="R27" i="34"/>
  <c r="O27" i="34"/>
  <c r="I44" i="34" s="1"/>
  <c r="L27" i="34"/>
  <c r="K27" i="34"/>
  <c r="H27" i="34"/>
  <c r="E27" i="34"/>
  <c r="D27" i="34"/>
  <c r="Z26" i="34"/>
  <c r="Y26" i="34"/>
  <c r="V26" i="34"/>
  <c r="I43" i="34" s="1"/>
  <c r="S26" i="34"/>
  <c r="R26" i="34"/>
  <c r="O26" i="34"/>
  <c r="L26" i="34"/>
  <c r="K26" i="34"/>
  <c r="H26" i="34"/>
  <c r="E26" i="34"/>
  <c r="M43" i="34" s="1"/>
  <c r="D26" i="34"/>
  <c r="Z25" i="34"/>
  <c r="Y25" i="34"/>
  <c r="V25" i="34"/>
  <c r="S25" i="34"/>
  <c r="R25" i="34"/>
  <c r="O25" i="34"/>
  <c r="L25" i="34"/>
  <c r="M42" i="34" s="1"/>
  <c r="K25" i="34"/>
  <c r="H25" i="34"/>
  <c r="I42" i="34" s="1"/>
  <c r="E25" i="34"/>
  <c r="D25" i="34"/>
  <c r="Z24" i="34"/>
  <c r="Y24" i="34"/>
  <c r="V24" i="34"/>
  <c r="S24" i="34"/>
  <c r="R24" i="34"/>
  <c r="R37" i="34" s="1"/>
  <c r="O24" i="34"/>
  <c r="L24" i="34"/>
  <c r="K24" i="34"/>
  <c r="H24" i="34"/>
  <c r="I41" i="34" s="1"/>
  <c r="E24" i="34"/>
  <c r="D24" i="34"/>
  <c r="K53" i="33"/>
  <c r="J53" i="33"/>
  <c r="F53" i="33"/>
  <c r="E53" i="33"/>
  <c r="B53" i="33"/>
  <c r="K52" i="33"/>
  <c r="J52" i="33"/>
  <c r="F52" i="33"/>
  <c r="E52" i="33"/>
  <c r="B52" i="33"/>
  <c r="K51" i="33"/>
  <c r="J51" i="33"/>
  <c r="F51" i="33"/>
  <c r="E51" i="33"/>
  <c r="B51" i="33"/>
  <c r="K50" i="33"/>
  <c r="J50" i="33"/>
  <c r="F50" i="33"/>
  <c r="E50" i="33"/>
  <c r="B50" i="33"/>
  <c r="K49" i="33"/>
  <c r="J49" i="33"/>
  <c r="F49" i="33"/>
  <c r="E49" i="33"/>
  <c r="B49" i="33"/>
  <c r="K48" i="33"/>
  <c r="J48" i="33"/>
  <c r="F48" i="33"/>
  <c r="E48" i="33"/>
  <c r="B48" i="33"/>
  <c r="K47" i="33"/>
  <c r="J47" i="33"/>
  <c r="F47" i="33"/>
  <c r="E47" i="33"/>
  <c r="B47" i="33"/>
  <c r="K46" i="33"/>
  <c r="J46" i="33"/>
  <c r="F46" i="33"/>
  <c r="E46" i="33"/>
  <c r="B46" i="33"/>
  <c r="K45" i="33"/>
  <c r="J45" i="33"/>
  <c r="F45" i="33"/>
  <c r="E45" i="33"/>
  <c r="B45" i="33"/>
  <c r="K44" i="33"/>
  <c r="J44" i="33"/>
  <c r="F44" i="33"/>
  <c r="E44" i="33"/>
  <c r="B44" i="33"/>
  <c r="K43" i="33"/>
  <c r="J43" i="33"/>
  <c r="F43" i="33"/>
  <c r="E43" i="33"/>
  <c r="B43" i="33"/>
  <c r="K42" i="33"/>
  <c r="J42" i="33"/>
  <c r="F42" i="33"/>
  <c r="E42" i="33"/>
  <c r="B42" i="33"/>
  <c r="K41" i="33"/>
  <c r="J41" i="33"/>
  <c r="F41" i="33"/>
  <c r="E41" i="33"/>
  <c r="E54" i="33" s="1"/>
  <c r="B41" i="33"/>
  <c r="C37" i="33"/>
  <c r="K54" i="33" s="1"/>
  <c r="B37" i="33"/>
  <c r="J54" i="33" s="1"/>
  <c r="Z36" i="33"/>
  <c r="Y36" i="33"/>
  <c r="V36" i="33"/>
  <c r="S36" i="33"/>
  <c r="R36" i="33"/>
  <c r="O36" i="33"/>
  <c r="L36" i="33"/>
  <c r="K36" i="33"/>
  <c r="H36" i="33"/>
  <c r="E36" i="33"/>
  <c r="D36" i="33"/>
  <c r="Z35" i="33"/>
  <c r="Y35" i="33"/>
  <c r="V35" i="33"/>
  <c r="S35" i="33"/>
  <c r="R35" i="33"/>
  <c r="O35" i="33"/>
  <c r="L35" i="33"/>
  <c r="K35" i="33"/>
  <c r="H35" i="33"/>
  <c r="E35" i="33"/>
  <c r="M52" i="33" s="1"/>
  <c r="D35" i="33"/>
  <c r="Z34" i="33"/>
  <c r="Y34" i="33"/>
  <c r="V34" i="33"/>
  <c r="S34" i="33"/>
  <c r="R34" i="33"/>
  <c r="O34" i="33"/>
  <c r="L34" i="33"/>
  <c r="M51" i="33" s="1"/>
  <c r="K34" i="33"/>
  <c r="H34" i="33"/>
  <c r="E34" i="33"/>
  <c r="D34" i="33"/>
  <c r="Z33" i="33"/>
  <c r="Y33" i="33"/>
  <c r="V33" i="33"/>
  <c r="S33" i="33"/>
  <c r="R33" i="33"/>
  <c r="O33" i="33"/>
  <c r="L33" i="33"/>
  <c r="K33" i="33"/>
  <c r="H33" i="33"/>
  <c r="E33" i="33"/>
  <c r="D33" i="33"/>
  <c r="Z32" i="33"/>
  <c r="Y32" i="33"/>
  <c r="V32" i="33"/>
  <c r="S32" i="33"/>
  <c r="R32" i="33"/>
  <c r="O32" i="33"/>
  <c r="L32" i="33"/>
  <c r="K32" i="33"/>
  <c r="H32" i="33"/>
  <c r="E32" i="33"/>
  <c r="D32" i="33"/>
  <c r="Z31" i="33"/>
  <c r="Y31" i="33"/>
  <c r="V31" i="33"/>
  <c r="S31" i="33"/>
  <c r="R31" i="33"/>
  <c r="O31" i="33"/>
  <c r="L31" i="33"/>
  <c r="K31" i="33"/>
  <c r="H31" i="33"/>
  <c r="E31" i="33"/>
  <c r="D31" i="33"/>
  <c r="Z30" i="33"/>
  <c r="Y30" i="33"/>
  <c r="V30" i="33"/>
  <c r="S30" i="33"/>
  <c r="R30" i="33"/>
  <c r="O30" i="33"/>
  <c r="I47" i="33" s="1"/>
  <c r="L30" i="33"/>
  <c r="K30" i="33"/>
  <c r="H30" i="33"/>
  <c r="E30" i="33"/>
  <c r="D30" i="33"/>
  <c r="L47" i="33" s="1"/>
  <c r="Z29" i="33"/>
  <c r="Y29" i="33"/>
  <c r="V29" i="33"/>
  <c r="S29" i="33"/>
  <c r="R29" i="33"/>
  <c r="O29" i="33"/>
  <c r="L29" i="33"/>
  <c r="K29" i="33"/>
  <c r="L46" i="33" s="1"/>
  <c r="H29" i="33"/>
  <c r="I46" i="33" s="1"/>
  <c r="E29" i="33"/>
  <c r="D29" i="33"/>
  <c r="Z28" i="33"/>
  <c r="Y28" i="33"/>
  <c r="V28" i="33"/>
  <c r="S28" i="33"/>
  <c r="R28" i="33"/>
  <c r="O28" i="33"/>
  <c r="L28" i="33"/>
  <c r="K28" i="33"/>
  <c r="H28" i="33"/>
  <c r="E28" i="33"/>
  <c r="D28" i="33"/>
  <c r="Z27" i="33"/>
  <c r="Y27" i="33"/>
  <c r="V27" i="33"/>
  <c r="S27" i="33"/>
  <c r="R27" i="33"/>
  <c r="O27" i="33"/>
  <c r="L27" i="33"/>
  <c r="K27" i="33"/>
  <c r="H27" i="33"/>
  <c r="E27" i="33"/>
  <c r="M44" i="33" s="1"/>
  <c r="D27" i="33"/>
  <c r="Z26" i="33"/>
  <c r="Y26" i="33"/>
  <c r="V26" i="33"/>
  <c r="S26" i="33"/>
  <c r="R26" i="33"/>
  <c r="O26" i="33"/>
  <c r="L26" i="33"/>
  <c r="M43" i="33" s="1"/>
  <c r="K26" i="33"/>
  <c r="H26" i="33"/>
  <c r="E26" i="33"/>
  <c r="D26" i="33"/>
  <c r="Z25" i="33"/>
  <c r="Y25" i="33"/>
  <c r="V25" i="33"/>
  <c r="S25" i="33"/>
  <c r="R25" i="33"/>
  <c r="O25" i="33"/>
  <c r="L25" i="33"/>
  <c r="K25" i="33"/>
  <c r="H25" i="33"/>
  <c r="E25" i="33"/>
  <c r="D25" i="33"/>
  <c r="Z24" i="33"/>
  <c r="Z37" i="33" s="1"/>
  <c r="Y24" i="33"/>
  <c r="V24" i="33"/>
  <c r="S24" i="33"/>
  <c r="R24" i="33"/>
  <c r="O24" i="33"/>
  <c r="L24" i="33"/>
  <c r="K24" i="33"/>
  <c r="H24" i="33"/>
  <c r="H37" i="33" s="1"/>
  <c r="E24" i="33"/>
  <c r="D24" i="33"/>
  <c r="K53" i="32"/>
  <c r="J53" i="32"/>
  <c r="F53" i="32"/>
  <c r="E53" i="32"/>
  <c r="B53" i="32"/>
  <c r="K52" i="32"/>
  <c r="J52" i="32"/>
  <c r="F52" i="32"/>
  <c r="E52" i="32"/>
  <c r="B52" i="32"/>
  <c r="K51" i="32"/>
  <c r="J51" i="32"/>
  <c r="F51" i="32"/>
  <c r="E51" i="32"/>
  <c r="B51" i="32"/>
  <c r="K50" i="32"/>
  <c r="J50" i="32"/>
  <c r="F50" i="32"/>
  <c r="E50" i="32"/>
  <c r="B50" i="32"/>
  <c r="K49" i="32"/>
  <c r="J49" i="32"/>
  <c r="F49" i="32"/>
  <c r="E49" i="32"/>
  <c r="B49" i="32"/>
  <c r="K48" i="32"/>
  <c r="J48" i="32"/>
  <c r="F48" i="32"/>
  <c r="E48" i="32"/>
  <c r="B48" i="32"/>
  <c r="K47" i="32"/>
  <c r="J47" i="32"/>
  <c r="F47" i="32"/>
  <c r="E47" i="32"/>
  <c r="B47" i="32"/>
  <c r="K46" i="32"/>
  <c r="J46" i="32"/>
  <c r="F46" i="32"/>
  <c r="E46" i="32"/>
  <c r="B46" i="32"/>
  <c r="K45" i="32"/>
  <c r="J45" i="32"/>
  <c r="F45" i="32"/>
  <c r="E45" i="32"/>
  <c r="B45" i="32"/>
  <c r="K44" i="32"/>
  <c r="J44" i="32"/>
  <c r="F44" i="32"/>
  <c r="E44" i="32"/>
  <c r="B44" i="32"/>
  <c r="K43" i="32"/>
  <c r="J43" i="32"/>
  <c r="F43" i="32"/>
  <c r="E43" i="32"/>
  <c r="B43" i="32"/>
  <c r="K42" i="32"/>
  <c r="J42" i="32"/>
  <c r="F42" i="32"/>
  <c r="E42" i="32"/>
  <c r="B42" i="32"/>
  <c r="K41" i="32"/>
  <c r="J41" i="32"/>
  <c r="F41" i="32"/>
  <c r="E41" i="32"/>
  <c r="B41" i="32"/>
  <c r="C37" i="32"/>
  <c r="K54" i="32" s="1"/>
  <c r="B37" i="32"/>
  <c r="J54" i="32" s="1"/>
  <c r="Z36" i="32"/>
  <c r="Y36" i="32"/>
  <c r="V36" i="32"/>
  <c r="S36" i="32"/>
  <c r="R36" i="32"/>
  <c r="O36" i="32"/>
  <c r="L36" i="32"/>
  <c r="K36" i="32"/>
  <c r="H36" i="32"/>
  <c r="E36" i="32"/>
  <c r="D36" i="32"/>
  <c r="L53" i="32" s="1"/>
  <c r="Z35" i="32"/>
  <c r="Y35" i="32"/>
  <c r="V35" i="32"/>
  <c r="S35" i="32"/>
  <c r="R35" i="32"/>
  <c r="O35" i="32"/>
  <c r="L35" i="32"/>
  <c r="K35" i="32"/>
  <c r="L52" i="32" s="1"/>
  <c r="H35" i="32"/>
  <c r="E35" i="32"/>
  <c r="D35" i="32"/>
  <c r="Z34" i="32"/>
  <c r="Y34" i="32"/>
  <c r="V34" i="32"/>
  <c r="S34" i="32"/>
  <c r="R34" i="32"/>
  <c r="O34" i="32"/>
  <c r="L34" i="32"/>
  <c r="K34" i="32"/>
  <c r="L51" i="32" s="1"/>
  <c r="H34" i="32"/>
  <c r="E34" i="32"/>
  <c r="D34" i="32"/>
  <c r="Z33" i="32"/>
  <c r="Y33" i="32"/>
  <c r="V33" i="32"/>
  <c r="S33" i="32"/>
  <c r="R33" i="32"/>
  <c r="O33" i="32"/>
  <c r="L33" i="32"/>
  <c r="K33" i="32"/>
  <c r="H33" i="32"/>
  <c r="E33" i="32"/>
  <c r="M50" i="32" s="1"/>
  <c r="D33" i="32"/>
  <c r="L50" i="32" s="1"/>
  <c r="Z32" i="32"/>
  <c r="Y32" i="32"/>
  <c r="V32" i="32"/>
  <c r="S32" i="32"/>
  <c r="R32" i="32"/>
  <c r="O32" i="32"/>
  <c r="L32" i="32"/>
  <c r="K32" i="32"/>
  <c r="H32" i="32"/>
  <c r="E32" i="32"/>
  <c r="D32" i="32"/>
  <c r="Z31" i="32"/>
  <c r="Y31" i="32"/>
  <c r="V31" i="32"/>
  <c r="S31" i="32"/>
  <c r="R31" i="32"/>
  <c r="O31" i="32"/>
  <c r="L31" i="32"/>
  <c r="K31" i="32"/>
  <c r="H31" i="32"/>
  <c r="E31" i="32"/>
  <c r="D31" i="32"/>
  <c r="Z30" i="32"/>
  <c r="Y30" i="32"/>
  <c r="V30" i="32"/>
  <c r="S30" i="32"/>
  <c r="R30" i="32"/>
  <c r="O30" i="32"/>
  <c r="L30" i="32"/>
  <c r="K30" i="32"/>
  <c r="H30" i="32"/>
  <c r="I47" i="32" s="1"/>
  <c r="E30" i="32"/>
  <c r="D30" i="32"/>
  <c r="Z29" i="32"/>
  <c r="Y29" i="32"/>
  <c r="V29" i="32"/>
  <c r="S29" i="32"/>
  <c r="R29" i="32"/>
  <c r="O29" i="32"/>
  <c r="L29" i="32"/>
  <c r="K29" i="32"/>
  <c r="H29" i="32"/>
  <c r="E29" i="32"/>
  <c r="D29" i="32"/>
  <c r="Z28" i="32"/>
  <c r="Y28" i="32"/>
  <c r="V28" i="32"/>
  <c r="S28" i="32"/>
  <c r="R28" i="32"/>
  <c r="O28" i="32"/>
  <c r="L28" i="32"/>
  <c r="K28" i="32"/>
  <c r="H28" i="32"/>
  <c r="E28" i="32"/>
  <c r="D28" i="32"/>
  <c r="L45" i="32" s="1"/>
  <c r="Z27" i="32"/>
  <c r="Y27" i="32"/>
  <c r="V27" i="32"/>
  <c r="S27" i="32"/>
  <c r="R27" i="32"/>
  <c r="O27" i="32"/>
  <c r="L27" i="32"/>
  <c r="K27" i="32"/>
  <c r="H27" i="32"/>
  <c r="E27" i="32"/>
  <c r="D27" i="32"/>
  <c r="L44" i="32" s="1"/>
  <c r="Z26" i="32"/>
  <c r="Y26" i="32"/>
  <c r="V26" i="32"/>
  <c r="S26" i="32"/>
  <c r="R26" i="32"/>
  <c r="O26" i="32"/>
  <c r="L26" i="32"/>
  <c r="K26" i="32"/>
  <c r="L43" i="32" s="1"/>
  <c r="H26" i="32"/>
  <c r="E26" i="32"/>
  <c r="D26" i="32"/>
  <c r="Z25" i="32"/>
  <c r="Y25" i="32"/>
  <c r="V25" i="32"/>
  <c r="S25" i="32"/>
  <c r="R25" i="32"/>
  <c r="O25" i="32"/>
  <c r="L25" i="32"/>
  <c r="K25" i="32"/>
  <c r="H25" i="32"/>
  <c r="E25" i="32"/>
  <c r="M42" i="32" s="1"/>
  <c r="D25" i="32"/>
  <c r="L42" i="32" s="1"/>
  <c r="Z24" i="32"/>
  <c r="Y24" i="32"/>
  <c r="V24" i="32"/>
  <c r="S24" i="32"/>
  <c r="R24" i="32"/>
  <c r="O24" i="32"/>
  <c r="L24" i="32"/>
  <c r="L37" i="32" s="1"/>
  <c r="K24" i="32"/>
  <c r="H24" i="32"/>
  <c r="E24" i="32"/>
  <c r="D24" i="32"/>
  <c r="K54" i="31"/>
  <c r="K53" i="31"/>
  <c r="J53" i="31"/>
  <c r="F53" i="31"/>
  <c r="E53" i="31"/>
  <c r="B53" i="31"/>
  <c r="K52" i="31"/>
  <c r="J52" i="31"/>
  <c r="F52" i="31"/>
  <c r="E52" i="31"/>
  <c r="B52" i="31"/>
  <c r="K51" i="31"/>
  <c r="J51" i="31"/>
  <c r="F51" i="31"/>
  <c r="E51" i="31"/>
  <c r="B51" i="31"/>
  <c r="K50" i="31"/>
  <c r="J50" i="31"/>
  <c r="F50" i="31"/>
  <c r="E50" i="31"/>
  <c r="B50" i="31"/>
  <c r="K49" i="31"/>
  <c r="J49" i="31"/>
  <c r="F49" i="31"/>
  <c r="E49" i="31"/>
  <c r="B49" i="31"/>
  <c r="K48" i="31"/>
  <c r="J48" i="31"/>
  <c r="F48" i="31"/>
  <c r="E48" i="31"/>
  <c r="B48" i="31"/>
  <c r="K47" i="31"/>
  <c r="J47" i="31"/>
  <c r="F47" i="31"/>
  <c r="E47" i="31"/>
  <c r="B47" i="31"/>
  <c r="K46" i="31"/>
  <c r="J46" i="31"/>
  <c r="F46" i="31"/>
  <c r="E46" i="31"/>
  <c r="B46" i="31"/>
  <c r="K45" i="31"/>
  <c r="J45" i="31"/>
  <c r="F45" i="31"/>
  <c r="E45" i="31"/>
  <c r="B45" i="31"/>
  <c r="K44" i="31"/>
  <c r="J44" i="31"/>
  <c r="F44" i="31"/>
  <c r="E44" i="31"/>
  <c r="B44" i="31"/>
  <c r="K43" i="31"/>
  <c r="J43" i="31"/>
  <c r="F43" i="31"/>
  <c r="E43" i="31"/>
  <c r="B43" i="31"/>
  <c r="K42" i="31"/>
  <c r="J42" i="31"/>
  <c r="F42" i="31"/>
  <c r="E42" i="31"/>
  <c r="B42" i="31"/>
  <c r="K41" i="31"/>
  <c r="J41" i="31"/>
  <c r="F41" i="31"/>
  <c r="E41" i="31"/>
  <c r="B41" i="31"/>
  <c r="B37" i="31"/>
  <c r="J54" i="31" s="1"/>
  <c r="Z36" i="31"/>
  <c r="Y36" i="31"/>
  <c r="V36" i="31"/>
  <c r="S36" i="31"/>
  <c r="R36" i="31"/>
  <c r="O36" i="31"/>
  <c r="L36" i="31"/>
  <c r="K36" i="31"/>
  <c r="H36" i="31"/>
  <c r="I53" i="31" s="1"/>
  <c r="E36" i="31"/>
  <c r="D36" i="31"/>
  <c r="Z35" i="31"/>
  <c r="Y35" i="31"/>
  <c r="V35" i="31"/>
  <c r="S35" i="31"/>
  <c r="R35" i="31"/>
  <c r="O35" i="31"/>
  <c r="L35" i="31"/>
  <c r="K35" i="31"/>
  <c r="H35" i="31"/>
  <c r="E35" i="31"/>
  <c r="D35" i="31"/>
  <c r="Z34" i="31"/>
  <c r="Y34" i="31"/>
  <c r="V34" i="31"/>
  <c r="S34" i="31"/>
  <c r="R34" i="31"/>
  <c r="O34" i="31"/>
  <c r="L34" i="31"/>
  <c r="K34" i="31"/>
  <c r="H34" i="31"/>
  <c r="E34" i="31"/>
  <c r="D34" i="31"/>
  <c r="Z33" i="31"/>
  <c r="Y33" i="31"/>
  <c r="V33" i="31"/>
  <c r="S33" i="31"/>
  <c r="R33" i="31"/>
  <c r="O33" i="31"/>
  <c r="L33" i="31"/>
  <c r="K33" i="31"/>
  <c r="H33" i="31"/>
  <c r="E33" i="31"/>
  <c r="D33" i="31"/>
  <c r="Z32" i="31"/>
  <c r="Y32" i="31"/>
  <c r="V32" i="31"/>
  <c r="S32" i="31"/>
  <c r="R32" i="31"/>
  <c r="O32" i="31"/>
  <c r="L32" i="31"/>
  <c r="K32" i="31"/>
  <c r="H32" i="31"/>
  <c r="E32" i="31"/>
  <c r="D32" i="31"/>
  <c r="Z31" i="31"/>
  <c r="Y31" i="31"/>
  <c r="V31" i="31"/>
  <c r="S31" i="31"/>
  <c r="R31" i="31"/>
  <c r="O31" i="31"/>
  <c r="L31" i="31"/>
  <c r="K31" i="31"/>
  <c r="H31" i="31"/>
  <c r="E31" i="31"/>
  <c r="D31" i="31"/>
  <c r="Z30" i="31"/>
  <c r="Y30" i="31"/>
  <c r="V30" i="31"/>
  <c r="S30" i="31"/>
  <c r="R30" i="31"/>
  <c r="O30" i="31"/>
  <c r="L30" i="31"/>
  <c r="K30" i="31"/>
  <c r="H30" i="31"/>
  <c r="E30" i="31"/>
  <c r="D30" i="31"/>
  <c r="Z29" i="31"/>
  <c r="Y29" i="31"/>
  <c r="V29" i="31"/>
  <c r="S29" i="31"/>
  <c r="R29" i="31"/>
  <c r="O29" i="31"/>
  <c r="L29" i="31"/>
  <c r="K29" i="31"/>
  <c r="H29" i="31"/>
  <c r="E29" i="31"/>
  <c r="D29" i="31"/>
  <c r="Z28" i="31"/>
  <c r="Y28" i="31"/>
  <c r="V28" i="31"/>
  <c r="S28" i="31"/>
  <c r="R28" i="31"/>
  <c r="O28" i="31"/>
  <c r="L28" i="31"/>
  <c r="K28" i="31"/>
  <c r="H28" i="31"/>
  <c r="I45" i="31" s="1"/>
  <c r="E28" i="31"/>
  <c r="D28" i="31"/>
  <c r="Z27" i="31"/>
  <c r="Y27" i="31"/>
  <c r="V27" i="31"/>
  <c r="S27" i="31"/>
  <c r="R27" i="31"/>
  <c r="O27" i="31"/>
  <c r="L27" i="31"/>
  <c r="K27" i="31"/>
  <c r="H27" i="31"/>
  <c r="E27" i="31"/>
  <c r="D27" i="31"/>
  <c r="Z26" i="31"/>
  <c r="Y26" i="31"/>
  <c r="V26" i="31"/>
  <c r="S26" i="31"/>
  <c r="R26" i="31"/>
  <c r="O26" i="31"/>
  <c r="L26" i="31"/>
  <c r="K26" i="31"/>
  <c r="H26" i="31"/>
  <c r="E26" i="31"/>
  <c r="D26" i="31"/>
  <c r="Z25" i="31"/>
  <c r="Y25" i="31"/>
  <c r="V25" i="31"/>
  <c r="S25" i="31"/>
  <c r="R25" i="31"/>
  <c r="O25" i="31"/>
  <c r="L25" i="31"/>
  <c r="K25" i="31"/>
  <c r="H25" i="31"/>
  <c r="E25" i="31"/>
  <c r="D25" i="31"/>
  <c r="Z24" i="31"/>
  <c r="Y24" i="31"/>
  <c r="V24" i="31"/>
  <c r="S24" i="31"/>
  <c r="R24" i="31"/>
  <c r="O24" i="31"/>
  <c r="L24" i="31"/>
  <c r="K24" i="31"/>
  <c r="H24" i="31"/>
  <c r="E24" i="31"/>
  <c r="D24" i="31"/>
  <c r="K54" i="30"/>
  <c r="AF53" i="30"/>
  <c r="AE53" i="30"/>
  <c r="AD53" i="30"/>
  <c r="AA53" i="30"/>
  <c r="Z53" i="30"/>
  <c r="Y53" i="30"/>
  <c r="M53" i="30"/>
  <c r="K53" i="30"/>
  <c r="J53" i="30"/>
  <c r="F53" i="30"/>
  <c r="E53" i="30"/>
  <c r="B53" i="30"/>
  <c r="AF52" i="30"/>
  <c r="AE52" i="30"/>
  <c r="AD52" i="30"/>
  <c r="AA52" i="30"/>
  <c r="Z52" i="30"/>
  <c r="Y52" i="30"/>
  <c r="M52" i="30"/>
  <c r="K52" i="30"/>
  <c r="J52" i="30"/>
  <c r="F52" i="30"/>
  <c r="E52" i="30"/>
  <c r="B52" i="30"/>
  <c r="AF51" i="30"/>
  <c r="AE51" i="30"/>
  <c r="AD51" i="30"/>
  <c r="AA51" i="30"/>
  <c r="Z51" i="30"/>
  <c r="Y51" i="30"/>
  <c r="K51" i="30"/>
  <c r="J51" i="30"/>
  <c r="F51" i="30"/>
  <c r="E51" i="30"/>
  <c r="B51" i="30"/>
  <c r="AF50" i="30"/>
  <c r="AE50" i="30"/>
  <c r="AD50" i="30"/>
  <c r="AA50" i="30"/>
  <c r="Z50" i="30"/>
  <c r="Y50" i="30"/>
  <c r="K50" i="30"/>
  <c r="J50" i="30"/>
  <c r="F50" i="30"/>
  <c r="E50" i="30"/>
  <c r="B50" i="30"/>
  <c r="AF49" i="30"/>
  <c r="AE49" i="30"/>
  <c r="AD49" i="30"/>
  <c r="AA49" i="30"/>
  <c r="Z49" i="30"/>
  <c r="Y49" i="30"/>
  <c r="K49" i="30"/>
  <c r="J49" i="30"/>
  <c r="F49" i="30"/>
  <c r="E49" i="30"/>
  <c r="B49" i="30"/>
  <c r="AF48" i="30"/>
  <c r="AE48" i="30"/>
  <c r="AD48" i="30"/>
  <c r="AA48" i="30"/>
  <c r="Z48" i="30"/>
  <c r="Y48" i="30"/>
  <c r="K48" i="30"/>
  <c r="J48" i="30"/>
  <c r="F48" i="30"/>
  <c r="E48" i="30"/>
  <c r="B48" i="30"/>
  <c r="AF47" i="30"/>
  <c r="AE47" i="30"/>
  <c r="AD47" i="30"/>
  <c r="AA47" i="30"/>
  <c r="Z47" i="30"/>
  <c r="Y47" i="30"/>
  <c r="K47" i="30"/>
  <c r="J47" i="30"/>
  <c r="F47" i="30"/>
  <c r="E47" i="30"/>
  <c r="B47" i="30"/>
  <c r="AF46" i="30"/>
  <c r="AE46" i="30"/>
  <c r="AD46" i="30"/>
  <c r="AA46" i="30"/>
  <c r="Z46" i="30"/>
  <c r="Y46" i="30"/>
  <c r="K46" i="30"/>
  <c r="J46" i="30"/>
  <c r="F46" i="30"/>
  <c r="E46" i="30"/>
  <c r="B46" i="30"/>
  <c r="AF45" i="30"/>
  <c r="AE45" i="30"/>
  <c r="AD45" i="30"/>
  <c r="AA45" i="30"/>
  <c r="Z45" i="30"/>
  <c r="Y45" i="30"/>
  <c r="K45" i="30"/>
  <c r="J45" i="30"/>
  <c r="F45" i="30"/>
  <c r="E45" i="30"/>
  <c r="B45" i="30"/>
  <c r="AF44" i="30"/>
  <c r="AE44" i="30"/>
  <c r="AD44" i="30"/>
  <c r="AA44" i="30"/>
  <c r="Z44" i="30"/>
  <c r="Y44" i="30"/>
  <c r="M44" i="30"/>
  <c r="K44" i="30"/>
  <c r="J44" i="30"/>
  <c r="F44" i="30"/>
  <c r="E44" i="30"/>
  <c r="B44" i="30"/>
  <c r="AF43" i="30"/>
  <c r="AE43" i="30"/>
  <c r="AD43" i="30"/>
  <c r="AA43" i="30"/>
  <c r="Z43" i="30"/>
  <c r="Y43" i="30"/>
  <c r="K43" i="30"/>
  <c r="J43" i="30"/>
  <c r="F43" i="30"/>
  <c r="E43" i="30"/>
  <c r="B43" i="30"/>
  <c r="AF42" i="30"/>
  <c r="AE42" i="30"/>
  <c r="AD42" i="30"/>
  <c r="AA42" i="30"/>
  <c r="Z42" i="30"/>
  <c r="Y42" i="30"/>
  <c r="K42" i="30"/>
  <c r="J42" i="30"/>
  <c r="F42" i="30"/>
  <c r="E42" i="30"/>
  <c r="B42" i="30"/>
  <c r="AF41" i="30"/>
  <c r="AE41" i="30"/>
  <c r="AD41" i="30"/>
  <c r="AA41" i="30"/>
  <c r="Z41" i="30"/>
  <c r="Y41" i="30"/>
  <c r="K41" i="30"/>
  <c r="J41" i="30"/>
  <c r="F41" i="30"/>
  <c r="E41" i="30"/>
  <c r="B41" i="30"/>
  <c r="B37" i="30"/>
  <c r="J54" i="30" s="1"/>
  <c r="Z36" i="30"/>
  <c r="Y36" i="30"/>
  <c r="V36" i="30"/>
  <c r="S36" i="30"/>
  <c r="R36" i="30"/>
  <c r="O36" i="30"/>
  <c r="L36" i="30"/>
  <c r="K36" i="30"/>
  <c r="H36" i="30"/>
  <c r="I53" i="30" s="1"/>
  <c r="E36" i="30"/>
  <c r="D36" i="30"/>
  <c r="Z35" i="30"/>
  <c r="Y35" i="30"/>
  <c r="V35" i="30"/>
  <c r="S35" i="30"/>
  <c r="R35" i="30"/>
  <c r="O35" i="30"/>
  <c r="L35" i="30"/>
  <c r="K35" i="30"/>
  <c r="H35" i="30"/>
  <c r="E35" i="30"/>
  <c r="D35" i="30"/>
  <c r="Z34" i="30"/>
  <c r="Y34" i="30"/>
  <c r="V34" i="30"/>
  <c r="I51" i="30" s="1"/>
  <c r="S34" i="30"/>
  <c r="R34" i="30"/>
  <c r="O34" i="30"/>
  <c r="L34" i="30"/>
  <c r="K34" i="30"/>
  <c r="H34" i="30"/>
  <c r="E34" i="30"/>
  <c r="M51" i="30" s="1"/>
  <c r="D34" i="30"/>
  <c r="Z33" i="30"/>
  <c r="Y33" i="30"/>
  <c r="V33" i="30"/>
  <c r="S33" i="30"/>
  <c r="R33" i="30"/>
  <c r="O33" i="30"/>
  <c r="L33" i="30"/>
  <c r="K33" i="30"/>
  <c r="H33" i="30"/>
  <c r="E33" i="30"/>
  <c r="D33" i="30"/>
  <c r="Z32" i="30"/>
  <c r="Y32" i="30"/>
  <c r="V32" i="30"/>
  <c r="S32" i="30"/>
  <c r="R32" i="30"/>
  <c r="O32" i="30"/>
  <c r="L32" i="30"/>
  <c r="K32" i="30"/>
  <c r="H32" i="30"/>
  <c r="E32" i="30"/>
  <c r="D32" i="30"/>
  <c r="Z31" i="30"/>
  <c r="Y31" i="30"/>
  <c r="L48" i="30" s="1"/>
  <c r="V31" i="30"/>
  <c r="S31" i="30"/>
  <c r="R31" i="30"/>
  <c r="O31" i="30"/>
  <c r="L31" i="30"/>
  <c r="K31" i="30"/>
  <c r="H31" i="30"/>
  <c r="I48" i="30" s="1"/>
  <c r="E31" i="30"/>
  <c r="D31" i="30"/>
  <c r="Z30" i="30"/>
  <c r="Y30" i="30"/>
  <c r="V30" i="30"/>
  <c r="S30" i="30"/>
  <c r="R30" i="30"/>
  <c r="O30" i="30"/>
  <c r="L30" i="30"/>
  <c r="K30" i="30"/>
  <c r="H30" i="30"/>
  <c r="I47" i="30" s="1"/>
  <c r="E30" i="30"/>
  <c r="D30" i="30"/>
  <c r="Z29" i="30"/>
  <c r="Y29" i="30"/>
  <c r="V29" i="30"/>
  <c r="S29" i="30"/>
  <c r="R29" i="30"/>
  <c r="O29" i="30"/>
  <c r="I46" i="30" s="1"/>
  <c r="L29" i="30"/>
  <c r="K29" i="30"/>
  <c r="H29" i="30"/>
  <c r="E29" i="30"/>
  <c r="D29" i="30"/>
  <c r="L46" i="30" s="1"/>
  <c r="Z28" i="30"/>
  <c r="Y28" i="30"/>
  <c r="V28" i="30"/>
  <c r="S28" i="30"/>
  <c r="R28" i="30"/>
  <c r="O28" i="30"/>
  <c r="L28" i="30"/>
  <c r="K28" i="30"/>
  <c r="H28" i="30"/>
  <c r="I45" i="30" s="1"/>
  <c r="E28" i="30"/>
  <c r="D28" i="30"/>
  <c r="Z27" i="30"/>
  <c r="Y27" i="30"/>
  <c r="V27" i="30"/>
  <c r="S27" i="30"/>
  <c r="R27" i="30"/>
  <c r="O27" i="30"/>
  <c r="L27" i="30"/>
  <c r="K27" i="30"/>
  <c r="H27" i="30"/>
  <c r="E27" i="30"/>
  <c r="D27" i="30"/>
  <c r="Z26" i="30"/>
  <c r="Y26" i="30"/>
  <c r="V26" i="30"/>
  <c r="S26" i="30"/>
  <c r="R26" i="30"/>
  <c r="O26" i="30"/>
  <c r="L26" i="30"/>
  <c r="K26" i="30"/>
  <c r="H26" i="30"/>
  <c r="E26" i="30"/>
  <c r="M43" i="30" s="1"/>
  <c r="D26" i="30"/>
  <c r="Z25" i="30"/>
  <c r="Y25" i="30"/>
  <c r="V25" i="30"/>
  <c r="S25" i="30"/>
  <c r="R25" i="30"/>
  <c r="O25" i="30"/>
  <c r="L25" i="30"/>
  <c r="M42" i="30" s="1"/>
  <c r="K25" i="30"/>
  <c r="H25" i="30"/>
  <c r="E25" i="30"/>
  <c r="E37" i="30" s="1"/>
  <c r="D25" i="30"/>
  <c r="Z24" i="30"/>
  <c r="Y24" i="30"/>
  <c r="V24" i="30"/>
  <c r="S24" i="30"/>
  <c r="R24" i="30"/>
  <c r="O24" i="30"/>
  <c r="L24" i="30"/>
  <c r="K24" i="30"/>
  <c r="H24" i="30"/>
  <c r="E24" i="30"/>
  <c r="D24" i="30"/>
  <c r="D54" i="29"/>
  <c r="C54" i="29"/>
  <c r="K53" i="29"/>
  <c r="J53" i="29"/>
  <c r="F53" i="29"/>
  <c r="E53" i="29"/>
  <c r="B53" i="29"/>
  <c r="K52" i="29"/>
  <c r="J52" i="29"/>
  <c r="F52" i="29"/>
  <c r="E52" i="29"/>
  <c r="B52" i="29"/>
  <c r="K51" i="29"/>
  <c r="J51" i="29"/>
  <c r="F51" i="29"/>
  <c r="E51" i="29"/>
  <c r="B51" i="29"/>
  <c r="K50" i="29"/>
  <c r="J50" i="29"/>
  <c r="F50" i="29"/>
  <c r="E50" i="29"/>
  <c r="B50" i="29"/>
  <c r="K49" i="29"/>
  <c r="J49" i="29"/>
  <c r="F49" i="29"/>
  <c r="E49" i="29"/>
  <c r="B49" i="29"/>
  <c r="K48" i="29"/>
  <c r="J48" i="29"/>
  <c r="F48" i="29"/>
  <c r="E48" i="29"/>
  <c r="B48" i="29"/>
  <c r="K47" i="29"/>
  <c r="J47" i="29"/>
  <c r="F47" i="29"/>
  <c r="E47" i="29"/>
  <c r="B47" i="29"/>
  <c r="K46" i="29"/>
  <c r="J46" i="29"/>
  <c r="F46" i="29"/>
  <c r="E46" i="29"/>
  <c r="B46" i="29"/>
  <c r="K45" i="29"/>
  <c r="J45" i="29"/>
  <c r="F45" i="29"/>
  <c r="E45" i="29"/>
  <c r="B45" i="29"/>
  <c r="K44" i="29"/>
  <c r="J44" i="29"/>
  <c r="F44" i="29"/>
  <c r="E44" i="29"/>
  <c r="B44" i="29"/>
  <c r="K43" i="29"/>
  <c r="J43" i="29"/>
  <c r="F43" i="29"/>
  <c r="F54" i="29" s="1"/>
  <c r="E43" i="29"/>
  <c r="E54" i="29" s="1"/>
  <c r="B43" i="29"/>
  <c r="K42" i="29"/>
  <c r="J42" i="29"/>
  <c r="F42" i="29"/>
  <c r="E42" i="29"/>
  <c r="B42" i="29"/>
  <c r="K41" i="29"/>
  <c r="J41" i="29"/>
  <c r="F41" i="29"/>
  <c r="E41" i="29"/>
  <c r="B41" i="29"/>
  <c r="X37" i="29"/>
  <c r="W37" i="29"/>
  <c r="Q37" i="29"/>
  <c r="P37" i="29"/>
  <c r="J37" i="29"/>
  <c r="I37" i="29"/>
  <c r="E37" i="29"/>
  <c r="D37" i="29"/>
  <c r="C37" i="29"/>
  <c r="B37" i="29"/>
  <c r="Z36" i="29"/>
  <c r="Y36" i="29"/>
  <c r="V36" i="29"/>
  <c r="S36" i="29"/>
  <c r="R36" i="29"/>
  <c r="O36" i="29"/>
  <c r="L36" i="29"/>
  <c r="K36" i="29"/>
  <c r="H36" i="29"/>
  <c r="Z35" i="29"/>
  <c r="Y35" i="29"/>
  <c r="V35" i="29"/>
  <c r="S35" i="29"/>
  <c r="R35" i="29"/>
  <c r="O35" i="29"/>
  <c r="L35" i="29"/>
  <c r="K35" i="29"/>
  <c r="H35" i="29"/>
  <c r="I52" i="29" s="1"/>
  <c r="Z34" i="29"/>
  <c r="Y34" i="29"/>
  <c r="V34" i="29"/>
  <c r="S34" i="29"/>
  <c r="R34" i="29"/>
  <c r="O34" i="29"/>
  <c r="L34" i="29"/>
  <c r="K34" i="29"/>
  <c r="L51" i="29" s="1"/>
  <c r="H34" i="29"/>
  <c r="Z33" i="29"/>
  <c r="Y33" i="29"/>
  <c r="V33" i="29"/>
  <c r="S33" i="29"/>
  <c r="R33" i="29"/>
  <c r="O33" i="29"/>
  <c r="I50" i="29" s="1"/>
  <c r="L33" i="29"/>
  <c r="M50" i="29" s="1"/>
  <c r="K33" i="29"/>
  <c r="L50" i="29" s="1"/>
  <c r="H33" i="29"/>
  <c r="Z32" i="29"/>
  <c r="Y32" i="29"/>
  <c r="V32" i="29"/>
  <c r="S32" i="29"/>
  <c r="R32" i="29"/>
  <c r="O32" i="29"/>
  <c r="I49" i="29" s="1"/>
  <c r="L32" i="29"/>
  <c r="M49" i="29" s="1"/>
  <c r="K32" i="29"/>
  <c r="H32" i="29"/>
  <c r="Z31" i="29"/>
  <c r="Y31" i="29"/>
  <c r="V31" i="29"/>
  <c r="S31" i="29"/>
  <c r="R31" i="29"/>
  <c r="L48" i="29" s="1"/>
  <c r="O31" i="29"/>
  <c r="L31" i="29"/>
  <c r="K31" i="29"/>
  <c r="H31" i="29"/>
  <c r="Z30" i="29"/>
  <c r="Y30" i="29"/>
  <c r="V30" i="29"/>
  <c r="S30" i="29"/>
  <c r="R30" i="29"/>
  <c r="O30" i="29"/>
  <c r="L30" i="29"/>
  <c r="K30" i="29"/>
  <c r="H30" i="29"/>
  <c r="Z29" i="29"/>
  <c r="Y29" i="29"/>
  <c r="V29" i="29"/>
  <c r="V37" i="29" s="1"/>
  <c r="S29" i="29"/>
  <c r="R29" i="29"/>
  <c r="O29" i="29"/>
  <c r="L29" i="29"/>
  <c r="K29" i="29"/>
  <c r="H29" i="29"/>
  <c r="Z28" i="29"/>
  <c r="Y28" i="29"/>
  <c r="V28" i="29"/>
  <c r="S28" i="29"/>
  <c r="R28" i="29"/>
  <c r="O28" i="29"/>
  <c r="L28" i="29"/>
  <c r="K28" i="29"/>
  <c r="H28" i="29"/>
  <c r="Z27" i="29"/>
  <c r="Y27" i="29"/>
  <c r="V27" i="29"/>
  <c r="S27" i="29"/>
  <c r="R27" i="29"/>
  <c r="O27" i="29"/>
  <c r="L27" i="29"/>
  <c r="K27" i="29"/>
  <c r="H27" i="29"/>
  <c r="I44" i="29" s="1"/>
  <c r="Z26" i="29"/>
  <c r="Y26" i="29"/>
  <c r="V26" i="29"/>
  <c r="S26" i="29"/>
  <c r="R26" i="29"/>
  <c r="O26" i="29"/>
  <c r="L26" i="29"/>
  <c r="K26" i="29"/>
  <c r="L43" i="29" s="1"/>
  <c r="H26" i="29"/>
  <c r="Z25" i="29"/>
  <c r="Y25" i="29"/>
  <c r="V25" i="29"/>
  <c r="S25" i="29"/>
  <c r="R25" i="29"/>
  <c r="O25" i="29"/>
  <c r="I42" i="29" s="1"/>
  <c r="L25" i="29"/>
  <c r="M42" i="29" s="1"/>
  <c r="K25" i="29"/>
  <c r="L42" i="29" s="1"/>
  <c r="H25" i="29"/>
  <c r="Z24" i="29"/>
  <c r="Y24" i="29"/>
  <c r="V24" i="29"/>
  <c r="S24" i="29"/>
  <c r="R24" i="29"/>
  <c r="O24" i="29"/>
  <c r="I41" i="29" s="1"/>
  <c r="L24" i="29"/>
  <c r="K24" i="29"/>
  <c r="H24" i="29"/>
  <c r="H69" i="28"/>
  <c r="B69" i="28"/>
  <c r="K68" i="28"/>
  <c r="J68" i="28"/>
  <c r="I68" i="28"/>
  <c r="H68" i="28"/>
  <c r="E68" i="28"/>
  <c r="D68" i="28"/>
  <c r="C68" i="28"/>
  <c r="B68" i="28"/>
  <c r="K67" i="28"/>
  <c r="J67" i="28"/>
  <c r="I67" i="28"/>
  <c r="E67" i="28"/>
  <c r="D67" i="28"/>
  <c r="C67" i="28"/>
  <c r="K66" i="28"/>
  <c r="J66" i="28"/>
  <c r="I66" i="28"/>
  <c r="E66" i="28"/>
  <c r="D66" i="28"/>
  <c r="C66" i="28"/>
  <c r="K65" i="28"/>
  <c r="J65" i="28"/>
  <c r="I65" i="28"/>
  <c r="H65" i="28"/>
  <c r="E65" i="28"/>
  <c r="D65" i="28"/>
  <c r="C65" i="28"/>
  <c r="B65" i="28"/>
  <c r="K64" i="28"/>
  <c r="J64" i="28"/>
  <c r="I64" i="28"/>
  <c r="E64" i="28"/>
  <c r="D64" i="28"/>
  <c r="C64" i="28"/>
  <c r="K63" i="28"/>
  <c r="J63" i="28"/>
  <c r="I63" i="28"/>
  <c r="E63" i="28"/>
  <c r="D63" i="28"/>
  <c r="C63" i="28"/>
  <c r="K62" i="28"/>
  <c r="J62" i="28"/>
  <c r="I62" i="28"/>
  <c r="E62" i="28"/>
  <c r="D62" i="28"/>
  <c r="C62" i="28"/>
  <c r="K61" i="28"/>
  <c r="J61" i="28"/>
  <c r="I61" i="28"/>
  <c r="H61" i="28"/>
  <c r="E61" i="28"/>
  <c r="D61" i="28"/>
  <c r="C61" i="28"/>
  <c r="B61" i="28"/>
  <c r="K60" i="28"/>
  <c r="J60" i="28"/>
  <c r="I60" i="28"/>
  <c r="E60" i="28"/>
  <c r="D60" i="28"/>
  <c r="C60" i="28"/>
  <c r="K59" i="28"/>
  <c r="J59" i="28"/>
  <c r="I59" i="28"/>
  <c r="E59" i="28"/>
  <c r="D59" i="28"/>
  <c r="C59" i="28"/>
  <c r="K58" i="28"/>
  <c r="J58" i="28"/>
  <c r="I58" i="28"/>
  <c r="E58" i="28"/>
  <c r="D58" i="28"/>
  <c r="C58" i="28"/>
  <c r="K57" i="28"/>
  <c r="J57" i="28"/>
  <c r="I57" i="28"/>
  <c r="E57" i="28"/>
  <c r="D57" i="28"/>
  <c r="C57" i="28"/>
  <c r="J56" i="28"/>
  <c r="I56" i="28"/>
  <c r="D56" i="28"/>
  <c r="C56" i="28"/>
  <c r="S52" i="28"/>
  <c r="R52" i="28"/>
  <c r="O52" i="28"/>
  <c r="N52" i="28"/>
  <c r="M52" i="28"/>
  <c r="I69" i="28" s="1"/>
  <c r="I52" i="28"/>
  <c r="H52" i="28"/>
  <c r="D52" i="28"/>
  <c r="D69" i="28" s="1"/>
  <c r="C52" i="28"/>
  <c r="C69" i="28" s="1"/>
  <c r="L50" i="28"/>
  <c r="G50" i="28"/>
  <c r="B50" i="28"/>
  <c r="B67" i="28" s="1"/>
  <c r="L49" i="28"/>
  <c r="G49" i="28"/>
  <c r="B49" i="28"/>
  <c r="B66" i="28" s="1"/>
  <c r="L48" i="28"/>
  <c r="L47" i="28"/>
  <c r="G47" i="28"/>
  <c r="B47" i="28"/>
  <c r="L46" i="28"/>
  <c r="G46" i="28"/>
  <c r="H63" i="28" s="1"/>
  <c r="B46" i="28"/>
  <c r="L45" i="28"/>
  <c r="H62" i="28" s="1"/>
  <c r="G45" i="28"/>
  <c r="B62" i="28" s="1"/>
  <c r="L43" i="28"/>
  <c r="G43" i="28"/>
  <c r="B43" i="28"/>
  <c r="H60" i="28" s="1"/>
  <c r="L42" i="28"/>
  <c r="H59" i="28" s="1"/>
  <c r="G42" i="28"/>
  <c r="B59" i="28" s="1"/>
  <c r="L41" i="28"/>
  <c r="G41" i="28"/>
  <c r="H58" i="28" s="1"/>
  <c r="B41" i="28"/>
  <c r="L40" i="28"/>
  <c r="G40" i="28"/>
  <c r="B40" i="28"/>
  <c r="L39" i="28"/>
  <c r="H56" i="28" s="1"/>
  <c r="J39" i="28"/>
  <c r="J52" i="28" s="1"/>
  <c r="G39" i="28"/>
  <c r="E39" i="28"/>
  <c r="B39" i="28"/>
  <c r="B56" i="28" s="1"/>
  <c r="L34" i="28"/>
  <c r="J34" i="28"/>
  <c r="H34" i="28"/>
  <c r="F34" i="28"/>
  <c r="D34" i="28"/>
  <c r="B34" i="28"/>
  <c r="L17" i="28"/>
  <c r="J17" i="28"/>
  <c r="H17" i="28"/>
  <c r="F17" i="28"/>
  <c r="D17" i="28"/>
  <c r="I41" i="27"/>
  <c r="G41" i="27"/>
  <c r="E41" i="27"/>
  <c r="I40" i="27"/>
  <c r="E40" i="27"/>
  <c r="G40" i="27" s="1"/>
  <c r="E39" i="27"/>
  <c r="G39" i="27" s="1"/>
  <c r="I39" i="27" s="1"/>
  <c r="E38" i="27"/>
  <c r="G38" i="27" s="1"/>
  <c r="I38" i="27" s="1"/>
  <c r="E37" i="27"/>
  <c r="G37" i="27" s="1"/>
  <c r="I37" i="27" s="1"/>
  <c r="E36" i="27"/>
  <c r="G36" i="27" s="1"/>
  <c r="I36" i="27" s="1"/>
  <c r="G35" i="27"/>
  <c r="I35" i="27" s="1"/>
  <c r="E35" i="27"/>
  <c r="E34" i="27"/>
  <c r="G34" i="27" s="1"/>
  <c r="I34" i="27" s="1"/>
  <c r="E33" i="27"/>
  <c r="G33" i="27" s="1"/>
  <c r="I33" i="27" s="1"/>
  <c r="E32" i="27"/>
  <c r="G32" i="27" s="1"/>
  <c r="I32" i="27" s="1"/>
  <c r="E31" i="27"/>
  <c r="G31" i="27" s="1"/>
  <c r="I31" i="27" s="1"/>
  <c r="E30" i="27"/>
  <c r="G30" i="27" s="1"/>
  <c r="I30" i="27" s="1"/>
  <c r="L25" i="27"/>
  <c r="J25" i="27"/>
  <c r="H25" i="27"/>
  <c r="F25" i="27"/>
  <c r="D25" i="27"/>
  <c r="B25" i="27"/>
  <c r="L13" i="27"/>
  <c r="J13" i="27"/>
  <c r="H13" i="27"/>
  <c r="F13" i="27"/>
  <c r="D13" i="27"/>
  <c r="B13" i="27"/>
  <c r="F123" i="26"/>
  <c r="F122" i="26"/>
  <c r="E122" i="26"/>
  <c r="D122" i="26"/>
  <c r="C122" i="26"/>
  <c r="B122" i="26"/>
  <c r="F121" i="26"/>
  <c r="F120" i="26"/>
  <c r="F119" i="26"/>
  <c r="E118" i="26"/>
  <c r="D118" i="26"/>
  <c r="F118" i="26" s="1"/>
  <c r="C118" i="26"/>
  <c r="B118" i="26"/>
  <c r="G117" i="26"/>
  <c r="F117" i="26"/>
  <c r="F116" i="26"/>
  <c r="F115" i="26"/>
  <c r="F114" i="26"/>
  <c r="H98" i="26"/>
  <c r="G98" i="26"/>
  <c r="F98" i="26"/>
  <c r="D98" i="26"/>
  <c r="C98" i="26"/>
  <c r="B98" i="26"/>
  <c r="M90" i="26"/>
  <c r="L90" i="26"/>
  <c r="K90" i="26"/>
  <c r="J90" i="26"/>
  <c r="H90" i="26"/>
  <c r="G90" i="26"/>
  <c r="F90" i="26"/>
  <c r="D90" i="26"/>
  <c r="C90" i="26"/>
  <c r="B90" i="26"/>
  <c r="M81" i="26"/>
  <c r="L81" i="26"/>
  <c r="K81" i="26"/>
  <c r="J81" i="26"/>
  <c r="H81" i="26"/>
  <c r="G81" i="26"/>
  <c r="F81" i="26"/>
  <c r="H72" i="26"/>
  <c r="G72" i="26"/>
  <c r="F72" i="26"/>
  <c r="D72" i="26"/>
  <c r="C72" i="26"/>
  <c r="B72" i="26"/>
  <c r="M64" i="26"/>
  <c r="L64" i="26"/>
  <c r="K64" i="26"/>
  <c r="J64" i="26"/>
  <c r="H64" i="26"/>
  <c r="G64" i="26"/>
  <c r="F64" i="26"/>
  <c r="D64" i="26"/>
  <c r="C64" i="26"/>
  <c r="B64" i="26"/>
  <c r="M55" i="26"/>
  <c r="L55" i="26"/>
  <c r="K55" i="26"/>
  <c r="J55" i="26"/>
  <c r="H55" i="26"/>
  <c r="G55" i="26"/>
  <c r="F55" i="26"/>
  <c r="D55" i="26"/>
  <c r="C55" i="26"/>
  <c r="B55" i="26"/>
  <c r="H46" i="26"/>
  <c r="G46" i="26"/>
  <c r="F46" i="26"/>
  <c r="D46" i="26"/>
  <c r="C46" i="26"/>
  <c r="B46" i="26"/>
  <c r="M37" i="26"/>
  <c r="L37" i="26"/>
  <c r="K37" i="26"/>
  <c r="J37" i="26"/>
  <c r="H37" i="26"/>
  <c r="G37" i="26"/>
  <c r="F37" i="26"/>
  <c r="D37" i="26"/>
  <c r="C37" i="26"/>
  <c r="B37" i="26"/>
  <c r="M28" i="26"/>
  <c r="L28" i="26"/>
  <c r="K28" i="26"/>
  <c r="J28" i="26"/>
  <c r="H28" i="26"/>
  <c r="G28" i="26"/>
  <c r="F28" i="26"/>
  <c r="D28" i="26"/>
  <c r="C28" i="26"/>
  <c r="B28" i="26"/>
  <c r="M19" i="26"/>
  <c r="L19" i="26"/>
  <c r="K19" i="26"/>
  <c r="J19" i="26"/>
  <c r="H19" i="26"/>
  <c r="G19" i="26"/>
  <c r="F19" i="26"/>
  <c r="D19" i="26"/>
  <c r="C19" i="26"/>
  <c r="B19" i="26"/>
  <c r="M11" i="26"/>
  <c r="L11" i="26"/>
  <c r="K11" i="26"/>
  <c r="J11" i="26"/>
  <c r="H11" i="26"/>
  <c r="G11" i="26"/>
  <c r="F11" i="26"/>
  <c r="D11" i="26"/>
  <c r="C11" i="26"/>
  <c r="B11" i="26"/>
  <c r="K37" i="25"/>
  <c r="O32" i="25"/>
  <c r="F32" i="25"/>
  <c r="H32" i="25" s="1"/>
  <c r="O31" i="25"/>
  <c r="F31" i="25"/>
  <c r="H31" i="25" s="1"/>
  <c r="O30" i="25"/>
  <c r="F30" i="25"/>
  <c r="H30" i="25" s="1"/>
  <c r="D26" i="25"/>
  <c r="E26" i="25" s="1"/>
  <c r="B26" i="25"/>
  <c r="C26" i="25" s="1"/>
  <c r="D25" i="25"/>
  <c r="E25" i="25" s="1"/>
  <c r="B25" i="25"/>
  <c r="C25" i="25" s="1"/>
  <c r="D24" i="25"/>
  <c r="E24" i="25" s="1"/>
  <c r="B24" i="25"/>
  <c r="C24" i="25" s="1"/>
  <c r="M17" i="25"/>
  <c r="K17" i="25"/>
  <c r="O17" i="25" s="1"/>
  <c r="M16" i="25"/>
  <c r="K16" i="25"/>
  <c r="O16" i="25" s="1"/>
  <c r="O15" i="25"/>
  <c r="K15" i="25"/>
  <c r="L15" i="25" s="1"/>
  <c r="K14" i="25"/>
  <c r="O14" i="25" s="1"/>
  <c r="N13" i="25"/>
  <c r="L13" i="25"/>
  <c r="K13" i="25"/>
  <c r="O13" i="25" s="1"/>
  <c r="O12" i="25"/>
  <c r="M12" i="25"/>
  <c r="K12" i="25"/>
  <c r="L12" i="25" s="1"/>
  <c r="K11" i="25"/>
  <c r="O11" i="25" s="1"/>
  <c r="K10" i="25"/>
  <c r="M10" i="25" s="1"/>
  <c r="O9" i="25"/>
  <c r="N9" i="25"/>
  <c r="L9" i="25"/>
  <c r="K9" i="25"/>
  <c r="M9" i="25" s="1"/>
  <c r="N8" i="25"/>
  <c r="K8" i="25"/>
  <c r="O8" i="25" s="1"/>
  <c r="O7" i="25"/>
  <c r="N7" i="25"/>
  <c r="K7" i="25"/>
  <c r="L7" i="25" s="1"/>
  <c r="K6" i="25"/>
  <c r="O6" i="25" s="1"/>
  <c r="M5" i="25"/>
  <c r="L5" i="25"/>
  <c r="K5" i="25"/>
  <c r="N5" i="25" s="1"/>
  <c r="O4" i="25"/>
  <c r="N4" i="25"/>
  <c r="M4" i="25"/>
  <c r="K4" i="25"/>
  <c r="L4" i="25" s="1"/>
  <c r="K3" i="25"/>
  <c r="O3" i="25" s="1"/>
  <c r="K2" i="25"/>
  <c r="M2" i="25" s="1"/>
  <c r="D28" i="22"/>
  <c r="C28" i="22"/>
  <c r="J27" i="22"/>
  <c r="I28" i="22" s="1"/>
  <c r="H27" i="22"/>
  <c r="F27" i="22"/>
  <c r="F28" i="22" s="1"/>
  <c r="E27" i="22"/>
  <c r="E28" i="22" s="1"/>
  <c r="D27" i="22"/>
  <c r="C27" i="22"/>
  <c r="B27" i="22"/>
  <c r="B28" i="22" s="1"/>
  <c r="I17" i="21"/>
  <c r="B18" i="21" s="1"/>
  <c r="G17" i="21"/>
  <c r="B17" i="21"/>
  <c r="B16" i="21"/>
  <c r="G28" i="20"/>
  <c r="F28" i="20"/>
  <c r="E28" i="20"/>
  <c r="D28" i="20"/>
  <c r="C28" i="20"/>
  <c r="B28" i="20"/>
  <c r="G27" i="20"/>
  <c r="F27" i="20"/>
  <c r="E27" i="20"/>
  <c r="D27" i="20"/>
  <c r="C27" i="20"/>
  <c r="B27" i="20"/>
  <c r="F26" i="20"/>
  <c r="K23" i="20"/>
  <c r="I23" i="20"/>
  <c r="G23" i="20"/>
  <c r="G25" i="20" s="1"/>
  <c r="B10" i="7" s="1"/>
  <c r="F23" i="20"/>
  <c r="F25" i="20" s="1"/>
  <c r="B10" i="6" s="1"/>
  <c r="E23" i="20"/>
  <c r="D23" i="20"/>
  <c r="D25" i="20" s="1"/>
  <c r="B10" i="4" s="1"/>
  <c r="C23" i="20"/>
  <c r="C25" i="20" s="1"/>
  <c r="B23" i="20"/>
  <c r="B25" i="20" s="1"/>
  <c r="G28" i="19"/>
  <c r="F28" i="19"/>
  <c r="E28" i="19"/>
  <c r="D28" i="19"/>
  <c r="C28" i="19"/>
  <c r="B28" i="19"/>
  <c r="G27" i="19"/>
  <c r="F27" i="19"/>
  <c r="E27" i="19"/>
  <c r="D27" i="19"/>
  <c r="C27" i="19"/>
  <c r="B27" i="19"/>
  <c r="E26" i="19"/>
  <c r="C26" i="19"/>
  <c r="K23" i="19"/>
  <c r="I23" i="19"/>
  <c r="J25" i="19" s="1"/>
  <c r="G23" i="19"/>
  <c r="G25" i="19" s="1"/>
  <c r="F23" i="19"/>
  <c r="F25" i="19" s="1"/>
  <c r="B9" i="6" s="1"/>
  <c r="E23" i="19"/>
  <c r="D23" i="19"/>
  <c r="D25" i="19" s="1"/>
  <c r="C23" i="19"/>
  <c r="C25" i="19" s="1"/>
  <c r="B23" i="19"/>
  <c r="B25" i="19" s="1"/>
  <c r="G31" i="18"/>
  <c r="F31" i="18"/>
  <c r="E31" i="18"/>
  <c r="D31" i="18"/>
  <c r="C31" i="18"/>
  <c r="B31" i="18"/>
  <c r="G30" i="18"/>
  <c r="F30" i="18"/>
  <c r="E30" i="18"/>
  <c r="D30" i="18"/>
  <c r="C30" i="18"/>
  <c r="B30" i="18"/>
  <c r="K26" i="18"/>
  <c r="E29" i="18" s="1"/>
  <c r="I26" i="18"/>
  <c r="G26" i="18"/>
  <c r="G28" i="18" s="1"/>
  <c r="B11" i="7" s="1"/>
  <c r="F26" i="18"/>
  <c r="E26" i="18"/>
  <c r="D26" i="18"/>
  <c r="D29" i="18" s="1"/>
  <c r="C26" i="18"/>
  <c r="C28" i="18" s="1"/>
  <c r="B26" i="18"/>
  <c r="G38" i="17"/>
  <c r="F38" i="17"/>
  <c r="E38" i="17"/>
  <c r="D38" i="17"/>
  <c r="C38" i="17"/>
  <c r="B38" i="17"/>
  <c r="G37" i="17"/>
  <c r="F37" i="17"/>
  <c r="E37" i="17"/>
  <c r="D37" i="17"/>
  <c r="C37" i="17"/>
  <c r="B37" i="17"/>
  <c r="K34" i="17"/>
  <c r="I34" i="17"/>
  <c r="G34" i="17"/>
  <c r="G36" i="17" s="1"/>
  <c r="C7" i="7" s="1"/>
  <c r="F34" i="17"/>
  <c r="F36" i="17" s="1"/>
  <c r="E34" i="17"/>
  <c r="D34" i="17"/>
  <c r="C34" i="17"/>
  <c r="B34" i="17"/>
  <c r="G39" i="16"/>
  <c r="F39" i="16"/>
  <c r="E39" i="16"/>
  <c r="D39" i="16"/>
  <c r="C39" i="16"/>
  <c r="B39" i="16"/>
  <c r="G38" i="16"/>
  <c r="F38" i="16"/>
  <c r="E38" i="16"/>
  <c r="D38" i="16"/>
  <c r="C38" i="16"/>
  <c r="B38" i="16"/>
  <c r="K34" i="16"/>
  <c r="I34" i="16"/>
  <c r="G34" i="16"/>
  <c r="G36" i="16" s="1"/>
  <c r="B8" i="7" s="1"/>
  <c r="F34" i="16"/>
  <c r="F36" i="16" s="1"/>
  <c r="E34" i="16"/>
  <c r="D34" i="16"/>
  <c r="D36" i="16" s="1"/>
  <c r="C34" i="16"/>
  <c r="C36" i="16" s="1"/>
  <c r="B34" i="16"/>
  <c r="B36" i="16" s="1"/>
  <c r="G38" i="15"/>
  <c r="F38" i="15"/>
  <c r="E38" i="15"/>
  <c r="D38" i="15"/>
  <c r="C38" i="15"/>
  <c r="B38" i="15"/>
  <c r="G37" i="15"/>
  <c r="F37" i="15"/>
  <c r="E37" i="15"/>
  <c r="D37" i="15"/>
  <c r="C37" i="15"/>
  <c r="B37" i="15"/>
  <c r="D36" i="15"/>
  <c r="K34" i="15"/>
  <c r="I34" i="15"/>
  <c r="G34" i="15"/>
  <c r="F34" i="15"/>
  <c r="E34" i="15"/>
  <c r="E36" i="15" s="1"/>
  <c r="D34" i="15"/>
  <c r="C34" i="15"/>
  <c r="B34" i="15"/>
  <c r="B35" i="15" s="1"/>
  <c r="G37" i="14"/>
  <c r="F37" i="14"/>
  <c r="E37" i="14"/>
  <c r="D37" i="14"/>
  <c r="C37" i="14"/>
  <c r="B37" i="14"/>
  <c r="G36" i="14"/>
  <c r="F36" i="14"/>
  <c r="E36" i="14"/>
  <c r="D36" i="14"/>
  <c r="C36" i="14"/>
  <c r="B36" i="14"/>
  <c r="F35" i="14"/>
  <c r="K33" i="14"/>
  <c r="I33" i="14"/>
  <c r="I35" i="14" s="1"/>
  <c r="G33" i="14"/>
  <c r="G35" i="14" s="1"/>
  <c r="F33" i="14"/>
  <c r="E33" i="14"/>
  <c r="E35" i="14" s="1"/>
  <c r="D33" i="14"/>
  <c r="D35" i="14" s="1"/>
  <c r="C6" i="4" s="1"/>
  <c r="C33" i="14"/>
  <c r="B33" i="14"/>
  <c r="B34" i="14" s="1"/>
  <c r="G33" i="13"/>
  <c r="F33" i="13"/>
  <c r="E33" i="13"/>
  <c r="D33" i="13"/>
  <c r="C33" i="13"/>
  <c r="B33" i="13"/>
  <c r="G32" i="13"/>
  <c r="F32" i="13"/>
  <c r="E32" i="13"/>
  <c r="D32" i="13"/>
  <c r="C32" i="13"/>
  <c r="B32" i="13"/>
  <c r="K29" i="13"/>
  <c r="C31" i="13" s="1"/>
  <c r="I29" i="13"/>
  <c r="G29" i="13"/>
  <c r="G30" i="13" s="1"/>
  <c r="B4" i="7" s="1"/>
  <c r="F29" i="13"/>
  <c r="F30" i="13" s="1"/>
  <c r="E29" i="13"/>
  <c r="E31" i="13" s="1"/>
  <c r="C4" i="5" s="1"/>
  <c r="D29" i="13"/>
  <c r="D30" i="13" s="1"/>
  <c r="C29" i="13"/>
  <c r="C30" i="13" s="1"/>
  <c r="B29" i="13"/>
  <c r="B30" i="13" s="1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K34" i="12"/>
  <c r="I34" i="12"/>
  <c r="G34" i="12"/>
  <c r="F34" i="12"/>
  <c r="E34" i="12"/>
  <c r="D34" i="12"/>
  <c r="D36" i="12" s="1"/>
  <c r="C34" i="12"/>
  <c r="C37" i="12" s="1"/>
  <c r="B34" i="12"/>
  <c r="G38" i="11"/>
  <c r="F38" i="11"/>
  <c r="E38" i="11"/>
  <c r="D38" i="11"/>
  <c r="C38" i="11"/>
  <c r="B38" i="11"/>
  <c r="G37" i="11"/>
  <c r="F37" i="11"/>
  <c r="E37" i="11"/>
  <c r="D37" i="11"/>
  <c r="B37" i="11"/>
  <c r="K33" i="11"/>
  <c r="I33" i="11"/>
  <c r="G33" i="11"/>
  <c r="G35" i="11" s="1"/>
  <c r="B2" i="7" s="1"/>
  <c r="F33" i="11"/>
  <c r="E33" i="11"/>
  <c r="D33" i="11"/>
  <c r="D35" i="11" s="1"/>
  <c r="C33" i="11"/>
  <c r="C35" i="11" s="1"/>
  <c r="B33" i="11"/>
  <c r="B35" i="11" s="1"/>
  <c r="C24" i="11"/>
  <c r="C37" i="11" s="1"/>
  <c r="J32" i="10"/>
  <c r="K32" i="10" s="1"/>
  <c r="G32" i="10" a="1"/>
  <c r="G32" i="10" s="1"/>
  <c r="F32" i="10" a="1"/>
  <c r="F32" i="10" s="1"/>
  <c r="E32" i="10" a="1"/>
  <c r="E32" i="10" s="1"/>
  <c r="H32" i="10" s="1"/>
  <c r="K31" i="10"/>
  <c r="J31" i="10"/>
  <c r="G31" i="10" a="1"/>
  <c r="G31" i="10" s="1"/>
  <c r="F31" i="10" a="1"/>
  <c r="F31" i="10" s="1"/>
  <c r="E31" i="10" a="1"/>
  <c r="E31" i="10" s="1"/>
  <c r="H31" i="10" s="1"/>
  <c r="K30" i="10"/>
  <c r="J30" i="10"/>
  <c r="G30" i="10" a="1"/>
  <c r="G30" i="10" s="1"/>
  <c r="F30" i="10" a="1"/>
  <c r="F30" i="10" s="1"/>
  <c r="E30" i="10" a="1"/>
  <c r="E30" i="10" s="1"/>
  <c r="H30" i="10" s="1"/>
  <c r="J29" i="10"/>
  <c r="K29" i="10" s="1"/>
  <c r="G29" i="10" a="1"/>
  <c r="G29" i="10" s="1"/>
  <c r="F29" i="10" a="1"/>
  <c r="F29" i="10" s="1"/>
  <c r="E29" i="10" a="1"/>
  <c r="E29" i="10" s="1"/>
  <c r="H29" i="10" s="1"/>
  <c r="J28" i="10"/>
  <c r="K28" i="10" s="1"/>
  <c r="G28" i="10" a="1"/>
  <c r="G28" i="10" s="1"/>
  <c r="F28" i="10" a="1"/>
  <c r="F28" i="10" s="1"/>
  <c r="E28" i="10" a="1"/>
  <c r="E28" i="10" s="1"/>
  <c r="H28" i="10" s="1"/>
  <c r="J27" i="10"/>
  <c r="K27" i="10" s="1"/>
  <c r="G27" i="10" a="1"/>
  <c r="G27" i="10" s="1"/>
  <c r="F27" i="10" a="1"/>
  <c r="F27" i="10" s="1"/>
  <c r="E27" i="10" a="1"/>
  <c r="E27" i="10" s="1"/>
  <c r="H27" i="10" s="1"/>
  <c r="K26" i="10"/>
  <c r="J26" i="10"/>
  <c r="G26" i="10" a="1"/>
  <c r="G26" i="10" s="1"/>
  <c r="F26" i="10" a="1"/>
  <c r="F26" i="10" s="1"/>
  <c r="E26" i="10" a="1"/>
  <c r="E26" i="10" s="1"/>
  <c r="H26" i="10" s="1"/>
  <c r="J25" i="10"/>
  <c r="K25" i="10" s="1"/>
  <c r="G25" i="10" a="1"/>
  <c r="G25" i="10" s="1"/>
  <c r="F25" i="10" a="1"/>
  <c r="F25" i="10" s="1"/>
  <c r="E25" i="10" a="1"/>
  <c r="E25" i="10" s="1"/>
  <c r="H25" i="10" s="1"/>
  <c r="K24" i="10"/>
  <c r="J24" i="10"/>
  <c r="G24" i="10" a="1"/>
  <c r="G24" i="10" s="1"/>
  <c r="F24" i="10" a="1"/>
  <c r="F24" i="10" s="1"/>
  <c r="E24" i="10" a="1"/>
  <c r="E24" i="10" s="1"/>
  <c r="H24" i="10" s="1"/>
  <c r="J23" i="10"/>
  <c r="K23" i="10" s="1"/>
  <c r="G23" i="10" a="1"/>
  <c r="G23" i="10" s="1"/>
  <c r="F23" i="10" a="1"/>
  <c r="F23" i="10" s="1"/>
  <c r="E23" i="10" a="1"/>
  <c r="E23" i="10" s="1"/>
  <c r="H23" i="10" s="1"/>
  <c r="K22" i="10"/>
  <c r="J22" i="10"/>
  <c r="G22" i="10" a="1"/>
  <c r="G22" i="10" s="1"/>
  <c r="F22" i="10" a="1"/>
  <c r="F22" i="10" s="1"/>
  <c r="E22" i="10" a="1"/>
  <c r="E22" i="10" s="1"/>
  <c r="H22" i="10" s="1"/>
  <c r="J21" i="10"/>
  <c r="K21" i="10" s="1"/>
  <c r="G21" i="10" a="1"/>
  <c r="G21" i="10" s="1"/>
  <c r="F21" i="10" a="1"/>
  <c r="F21" i="10" s="1"/>
  <c r="E21" i="10" a="1"/>
  <c r="E21" i="10" s="1"/>
  <c r="H21" i="10" s="1"/>
  <c r="J20" i="10"/>
  <c r="K20" i="10" s="1"/>
  <c r="G20" i="10" a="1"/>
  <c r="G20" i="10" s="1"/>
  <c r="F20" i="10" a="1"/>
  <c r="F20" i="10" s="1"/>
  <c r="E20" i="10" a="1"/>
  <c r="E20" i="10" s="1"/>
  <c r="H20" i="10" s="1"/>
  <c r="K19" i="10"/>
  <c r="J19" i="10"/>
  <c r="G19" i="10" a="1"/>
  <c r="G19" i="10" s="1"/>
  <c r="F19" i="10" a="1"/>
  <c r="F19" i="10" s="1"/>
  <c r="E19" i="10" a="1"/>
  <c r="E19" i="10" s="1"/>
  <c r="H19" i="10" s="1"/>
  <c r="K18" i="10"/>
  <c r="J18" i="10"/>
  <c r="G18" i="10" a="1"/>
  <c r="G18" i="10" s="1"/>
  <c r="F18" i="10" a="1"/>
  <c r="F18" i="10" s="1"/>
  <c r="E18" i="10" a="1"/>
  <c r="E18" i="10" s="1"/>
  <c r="H18" i="10" s="1"/>
  <c r="J17" i="10"/>
  <c r="K17" i="10" s="1"/>
  <c r="G17" i="10" a="1"/>
  <c r="G17" i="10" s="1"/>
  <c r="F17" i="10" a="1"/>
  <c r="F17" i="10" s="1"/>
  <c r="E17" i="10" a="1"/>
  <c r="E17" i="10" s="1"/>
  <c r="H17" i="10" s="1"/>
  <c r="K16" i="10"/>
  <c r="J16" i="10"/>
  <c r="G16" i="10" a="1"/>
  <c r="G16" i="10" s="1"/>
  <c r="F16" i="10" a="1"/>
  <c r="F16" i="10" s="1"/>
  <c r="E16" i="10" a="1"/>
  <c r="E16" i="10" s="1"/>
  <c r="H16" i="10" s="1"/>
  <c r="J15" i="10"/>
  <c r="K15" i="10" s="1"/>
  <c r="G15" i="10" a="1"/>
  <c r="G15" i="10" s="1"/>
  <c r="F15" i="10" a="1"/>
  <c r="F15" i="10" s="1"/>
  <c r="E15" i="10" a="1"/>
  <c r="E15" i="10" s="1"/>
  <c r="H15" i="10" s="1"/>
  <c r="K14" i="10"/>
  <c r="J14" i="10"/>
  <c r="G14" i="10" a="1"/>
  <c r="G14" i="10" s="1"/>
  <c r="F14" i="10" a="1"/>
  <c r="F14" i="10" s="1"/>
  <c r="E14" i="10" a="1"/>
  <c r="E14" i="10" s="1"/>
  <c r="H14" i="10" s="1"/>
  <c r="J13" i="10"/>
  <c r="K13" i="10" s="1"/>
  <c r="G13" i="10" a="1"/>
  <c r="G13" i="10" s="1"/>
  <c r="F13" i="10" a="1"/>
  <c r="F13" i="10" s="1"/>
  <c r="E13" i="10" a="1"/>
  <c r="E13" i="10" s="1"/>
  <c r="H13" i="10" s="1"/>
  <c r="J12" i="10"/>
  <c r="K12" i="10" s="1"/>
  <c r="G12" i="10" a="1"/>
  <c r="G12" i="10" s="1"/>
  <c r="F12" i="10" a="1"/>
  <c r="F12" i="10" s="1"/>
  <c r="E12" i="10" a="1"/>
  <c r="E12" i="10" s="1"/>
  <c r="H12" i="10" s="1"/>
  <c r="J11" i="10"/>
  <c r="K11" i="10" s="1"/>
  <c r="G11" i="10" a="1"/>
  <c r="G11" i="10" s="1"/>
  <c r="F11" i="10" a="1"/>
  <c r="F11" i="10" s="1"/>
  <c r="E11" i="10" a="1"/>
  <c r="E11" i="10" s="1"/>
  <c r="H11" i="10" s="1"/>
  <c r="J10" i="10"/>
  <c r="K10" i="10" s="1"/>
  <c r="G10" i="10" a="1"/>
  <c r="G10" i="10" s="1"/>
  <c r="F10" i="10" a="1"/>
  <c r="F10" i="10" s="1"/>
  <c r="E10" i="10" a="1"/>
  <c r="E10" i="10" s="1"/>
  <c r="H10" i="10" s="1"/>
  <c r="J9" i="10"/>
  <c r="K9" i="10" s="1"/>
  <c r="G9" i="10" a="1"/>
  <c r="G9" i="10" s="1"/>
  <c r="F9" i="10" a="1"/>
  <c r="F9" i="10" s="1"/>
  <c r="E9" i="10" a="1"/>
  <c r="E9" i="10" s="1"/>
  <c r="H9" i="10" s="1"/>
  <c r="J8" i="10"/>
  <c r="K8" i="10" s="1"/>
  <c r="G8" i="10" a="1"/>
  <c r="G8" i="10" s="1"/>
  <c r="F8" i="10" a="1"/>
  <c r="F8" i="10" s="1"/>
  <c r="E8" i="10" a="1"/>
  <c r="E8" i="10" s="1"/>
  <c r="H8" i="10" s="1"/>
  <c r="J7" i="10"/>
  <c r="K7" i="10" s="1"/>
  <c r="G7" i="10" a="1"/>
  <c r="G7" i="10" s="1"/>
  <c r="F7" i="10" a="1"/>
  <c r="F7" i="10" s="1"/>
  <c r="E7" i="10" a="1"/>
  <c r="E7" i="10" s="1"/>
  <c r="H7" i="10" s="1"/>
  <c r="K6" i="10"/>
  <c r="J6" i="10"/>
  <c r="G6" i="10" a="1"/>
  <c r="G6" i="10" s="1"/>
  <c r="F6" i="10" a="1"/>
  <c r="F6" i="10" s="1"/>
  <c r="E6" i="10" a="1"/>
  <c r="E6" i="10" s="1"/>
  <c r="H6" i="10" s="1"/>
  <c r="J5" i="10"/>
  <c r="K5" i="10" s="1"/>
  <c r="G5" i="10" a="1"/>
  <c r="G5" i="10" s="1"/>
  <c r="F5" i="10" a="1"/>
  <c r="F5" i="10" s="1"/>
  <c r="E5" i="10" a="1"/>
  <c r="E5" i="10" s="1"/>
  <c r="H5" i="10" s="1"/>
  <c r="J4" i="10"/>
  <c r="K4" i="10" s="1"/>
  <c r="G4" i="10" a="1"/>
  <c r="G4" i="10" s="1"/>
  <c r="F4" i="10" a="1"/>
  <c r="F4" i="10" s="1"/>
  <c r="E4" i="10" a="1"/>
  <c r="E4" i="10" s="1"/>
  <c r="H4" i="10" s="1"/>
  <c r="K3" i="10"/>
  <c r="J3" i="10"/>
  <c r="G3" i="10" a="1"/>
  <c r="G3" i="10" s="1"/>
  <c r="F3" i="10" a="1"/>
  <c r="F3" i="10" s="1"/>
  <c r="E3" i="10" a="1"/>
  <c r="E3" i="10" s="1"/>
  <c r="H3" i="10" s="1"/>
  <c r="K2" i="10"/>
  <c r="J2" i="10"/>
  <c r="G2" i="10" a="1"/>
  <c r="G2" i="10" s="1"/>
  <c r="F2" i="10" a="1"/>
  <c r="F2" i="10" s="1"/>
  <c r="E2" i="10" a="1"/>
  <c r="E2" i="10" s="1"/>
  <c r="C2" i="10" a="1"/>
  <c r="C2" i="10" s="1"/>
  <c r="H2" i="10" s="1"/>
  <c r="B395" i="9"/>
  <c r="B310" i="9"/>
  <c r="B195" i="9"/>
  <c r="I29" i="9"/>
  <c r="I23" i="9"/>
  <c r="I15" i="9"/>
  <c r="I7" i="9"/>
  <c r="I6" i="9"/>
  <c r="I5" i="9"/>
  <c r="I4" i="9" a="1"/>
  <c r="I4" i="9" s="1"/>
  <c r="I3" i="9" a="1"/>
  <c r="I3" i="9" s="1"/>
  <c r="I32" i="9" s="1"/>
  <c r="B23" i="7"/>
  <c r="E20" i="7"/>
  <c r="F15" i="7"/>
  <c r="F14" i="7"/>
  <c r="D13" i="7"/>
  <c r="F13" i="7" s="1"/>
  <c r="E10" i="7"/>
  <c r="E9" i="7"/>
  <c r="B9" i="7"/>
  <c r="E8" i="7"/>
  <c r="E25" i="7" s="1"/>
  <c r="E7" i="7"/>
  <c r="E6" i="7"/>
  <c r="C6" i="7"/>
  <c r="E5" i="7"/>
  <c r="E21" i="7" s="1"/>
  <c r="D5" i="7"/>
  <c r="E4" i="7"/>
  <c r="E24" i="7" s="1"/>
  <c r="E3" i="7"/>
  <c r="E23" i="7" s="1"/>
  <c r="C3" i="7"/>
  <c r="E2" i="7"/>
  <c r="E22" i="7" s="1"/>
  <c r="F23" i="6"/>
  <c r="D21" i="6"/>
  <c r="G15" i="6"/>
  <c r="G14" i="6"/>
  <c r="D11" i="6"/>
  <c r="F10" i="6"/>
  <c r="D10" i="6"/>
  <c r="C10" i="6"/>
  <c r="F9" i="6"/>
  <c r="D9" i="6"/>
  <c r="F8" i="6"/>
  <c r="F25" i="6" s="1"/>
  <c r="D8" i="6"/>
  <c r="D25" i="6" s="1"/>
  <c r="B8" i="6"/>
  <c r="F7" i="6"/>
  <c r="D7" i="6"/>
  <c r="C7" i="6"/>
  <c r="F6" i="6"/>
  <c r="E6" i="6"/>
  <c r="D6" i="6"/>
  <c r="C6" i="6"/>
  <c r="F5" i="6"/>
  <c r="F21" i="6" s="1"/>
  <c r="E5" i="6"/>
  <c r="D5" i="6"/>
  <c r="F4" i="6"/>
  <c r="F24" i="6" s="1"/>
  <c r="D4" i="6"/>
  <c r="D24" i="6" s="1"/>
  <c r="B4" i="6"/>
  <c r="F3" i="6"/>
  <c r="D3" i="6"/>
  <c r="D23" i="6" s="1"/>
  <c r="J6" i="1" s="1"/>
  <c r="F2" i="6"/>
  <c r="D2" i="6"/>
  <c r="B21" i="5"/>
  <c r="G15" i="5"/>
  <c r="G14" i="5"/>
  <c r="D11" i="5"/>
  <c r="C11" i="5"/>
  <c r="B24" i="5" s="1"/>
  <c r="F10" i="5"/>
  <c r="D10" i="5"/>
  <c r="F9" i="5"/>
  <c r="D9" i="5"/>
  <c r="C9" i="5"/>
  <c r="F8" i="5"/>
  <c r="F25" i="5" s="1"/>
  <c r="D8" i="5"/>
  <c r="D25" i="5" s="1"/>
  <c r="F7" i="5"/>
  <c r="D7" i="5"/>
  <c r="F6" i="5"/>
  <c r="D6" i="5"/>
  <c r="C6" i="5"/>
  <c r="F5" i="5"/>
  <c r="F21" i="5" s="1"/>
  <c r="N4" i="1" s="1"/>
  <c r="E5" i="5"/>
  <c r="D5" i="5"/>
  <c r="D21" i="5" s="1"/>
  <c r="I4" i="1" s="1"/>
  <c r="C5" i="5"/>
  <c r="F4" i="5"/>
  <c r="F24" i="5" s="1"/>
  <c r="D4" i="5"/>
  <c r="D24" i="5" s="1"/>
  <c r="F3" i="5"/>
  <c r="F23" i="5" s="1"/>
  <c r="N6" i="1" s="1"/>
  <c r="D3" i="5"/>
  <c r="D23" i="5" s="1"/>
  <c r="F2" i="5"/>
  <c r="D2" i="5"/>
  <c r="F21" i="4"/>
  <c r="G15" i="4"/>
  <c r="G14" i="4"/>
  <c r="E13" i="4"/>
  <c r="G13" i="4" s="1"/>
  <c r="F11" i="4"/>
  <c r="D11" i="4"/>
  <c r="C11" i="4"/>
  <c r="F10" i="4"/>
  <c r="D10" i="4"/>
  <c r="F9" i="4"/>
  <c r="E9" i="4"/>
  <c r="D9" i="4"/>
  <c r="B9" i="4"/>
  <c r="F8" i="4"/>
  <c r="F25" i="4" s="1"/>
  <c r="M8" i="1" s="1"/>
  <c r="D8" i="4"/>
  <c r="D25" i="4" s="1"/>
  <c r="B8" i="4"/>
  <c r="F7" i="4"/>
  <c r="D7" i="4"/>
  <c r="F6" i="4"/>
  <c r="E6" i="4"/>
  <c r="D6" i="4"/>
  <c r="F5" i="4"/>
  <c r="E5" i="4"/>
  <c r="D5" i="4"/>
  <c r="D21" i="4" s="1"/>
  <c r="H4" i="1" s="1"/>
  <c r="C5" i="4"/>
  <c r="B21" i="4" s="1"/>
  <c r="F4" i="4"/>
  <c r="D4" i="4"/>
  <c r="D24" i="4" s="1"/>
  <c r="H7" i="1" s="1"/>
  <c r="B4" i="4"/>
  <c r="F3" i="4"/>
  <c r="F23" i="4" s="1"/>
  <c r="M6" i="1" s="1"/>
  <c r="D3" i="4"/>
  <c r="D23" i="4" s="1"/>
  <c r="H6" i="1" s="1"/>
  <c r="B3" i="4"/>
  <c r="C23" i="4" s="1"/>
  <c r="F2" i="4"/>
  <c r="F22" i="4" s="1"/>
  <c r="M5" i="1" s="1"/>
  <c r="D2" i="4"/>
  <c r="B2" i="4"/>
  <c r="C25" i="3"/>
  <c r="C8" i="1" s="1"/>
  <c r="B23" i="3"/>
  <c r="F15" i="3"/>
  <c r="F14" i="3"/>
  <c r="D13" i="3"/>
  <c r="F13" i="3" s="1"/>
  <c r="E11" i="3"/>
  <c r="B11" i="3"/>
  <c r="E10" i="3"/>
  <c r="B10" i="3"/>
  <c r="E9" i="3"/>
  <c r="D9" i="3"/>
  <c r="C9" i="3"/>
  <c r="B9" i="3"/>
  <c r="F9" i="3" s="1"/>
  <c r="E8" i="3"/>
  <c r="E25" i="3" s="1"/>
  <c r="L8" i="1" s="1"/>
  <c r="B8" i="3"/>
  <c r="E7" i="3"/>
  <c r="E6" i="3"/>
  <c r="D6" i="3"/>
  <c r="E5" i="3"/>
  <c r="E21" i="3" s="1"/>
  <c r="L4" i="1" s="1"/>
  <c r="D5" i="3"/>
  <c r="E4" i="3"/>
  <c r="E24" i="3" s="1"/>
  <c r="L7" i="1" s="1"/>
  <c r="C4" i="3"/>
  <c r="B4" i="3"/>
  <c r="C24" i="3" s="1"/>
  <c r="C7" i="1" s="1"/>
  <c r="E3" i="3"/>
  <c r="E23" i="3" s="1"/>
  <c r="L6" i="1" s="1"/>
  <c r="C3" i="3"/>
  <c r="E2" i="3"/>
  <c r="B2" i="3"/>
  <c r="E24" i="2"/>
  <c r="K7" i="1" s="1"/>
  <c r="F15" i="2"/>
  <c r="F14" i="2"/>
  <c r="D13" i="2"/>
  <c r="B13" i="2"/>
  <c r="C12" i="2"/>
  <c r="B12" i="2"/>
  <c r="E11" i="2"/>
  <c r="E10" i="2"/>
  <c r="B10" i="2"/>
  <c r="E9" i="2"/>
  <c r="D9" i="2"/>
  <c r="B9" i="2"/>
  <c r="E8" i="2"/>
  <c r="E25" i="2" s="1"/>
  <c r="K8" i="1" s="1"/>
  <c r="B8" i="2"/>
  <c r="E7" i="2"/>
  <c r="E6" i="2"/>
  <c r="D6" i="2"/>
  <c r="B6" i="2"/>
  <c r="E5" i="2"/>
  <c r="E21" i="2" s="1"/>
  <c r="K4" i="1" s="1"/>
  <c r="D5" i="2"/>
  <c r="B5" i="2"/>
  <c r="C21" i="2" s="1"/>
  <c r="B4" i="1" s="1"/>
  <c r="E4" i="2"/>
  <c r="B4" i="2"/>
  <c r="E3" i="2"/>
  <c r="E23" i="2" s="1"/>
  <c r="K6" i="1" s="1"/>
  <c r="E2" i="2"/>
  <c r="E22" i="2" s="1"/>
  <c r="K5" i="1" s="1"/>
  <c r="B2" i="2"/>
  <c r="P8" i="1"/>
  <c r="O8" i="1"/>
  <c r="N8" i="1"/>
  <c r="J8" i="1"/>
  <c r="I8" i="1"/>
  <c r="H8" i="1"/>
  <c r="P7" i="1"/>
  <c r="O7" i="1"/>
  <c r="N7" i="1"/>
  <c r="J7" i="1"/>
  <c r="I7" i="1"/>
  <c r="P6" i="1"/>
  <c r="O6" i="1"/>
  <c r="I6" i="1"/>
  <c r="P5" i="1"/>
  <c r="P4" i="1"/>
  <c r="O4" i="1"/>
  <c r="M4" i="1"/>
  <c r="J4" i="1"/>
  <c r="I69" i="36" l="1"/>
  <c r="I66" i="36"/>
  <c r="I74" i="36"/>
  <c r="E38" i="36"/>
  <c r="I65" i="36"/>
  <c r="I73" i="36"/>
  <c r="E75" i="36"/>
  <c r="L55" i="36"/>
  <c r="L67" i="36"/>
  <c r="M70" i="36"/>
  <c r="F5" i="2"/>
  <c r="E22" i="3"/>
  <c r="L5" i="1" s="1"/>
  <c r="F24" i="4"/>
  <c r="M7" i="1" s="1"/>
  <c r="G9" i="4"/>
  <c r="F22" i="6"/>
  <c r="O5" i="1" s="1"/>
  <c r="O9" i="1" s="1"/>
  <c r="D22" i="4"/>
  <c r="H5" i="1" s="1"/>
  <c r="H9" i="1" s="1"/>
  <c r="P9" i="1"/>
  <c r="F6" i="2"/>
  <c r="M9" i="1"/>
  <c r="F36" i="12"/>
  <c r="B3" i="6" s="1"/>
  <c r="F37" i="12"/>
  <c r="C3" i="6" s="1"/>
  <c r="B23" i="6" s="1"/>
  <c r="F9" i="2"/>
  <c r="F22" i="5"/>
  <c r="N5" i="1" s="1"/>
  <c r="N9" i="1" s="1"/>
  <c r="E35" i="11"/>
  <c r="B2" i="5" s="1"/>
  <c r="E36" i="11"/>
  <c r="C2" i="5" s="1"/>
  <c r="F13" i="2"/>
  <c r="D22" i="6"/>
  <c r="J5" i="1" s="1"/>
  <c r="J9" i="1" s="1"/>
  <c r="D22" i="5"/>
  <c r="I5" i="1" s="1"/>
  <c r="I9" i="1" s="1"/>
  <c r="B35" i="14"/>
  <c r="C6" i="2" s="1"/>
  <c r="M45" i="29"/>
  <c r="M53" i="29"/>
  <c r="I41" i="31"/>
  <c r="Z37" i="31"/>
  <c r="M42" i="31"/>
  <c r="M43" i="31"/>
  <c r="M44" i="31"/>
  <c r="L45" i="31"/>
  <c r="L46" i="31"/>
  <c r="L47" i="31"/>
  <c r="I49" i="31"/>
  <c r="M50" i="31"/>
  <c r="M51" i="31"/>
  <c r="M52" i="31"/>
  <c r="L53" i="31"/>
  <c r="E54" i="31"/>
  <c r="I48" i="32"/>
  <c r="I41" i="33"/>
  <c r="I42" i="33"/>
  <c r="L37" i="33"/>
  <c r="M45" i="33"/>
  <c r="L48" i="33"/>
  <c r="I48" i="33"/>
  <c r="I49" i="33"/>
  <c r="I50" i="33"/>
  <c r="M53" i="33"/>
  <c r="M41" i="34"/>
  <c r="L41" i="34"/>
  <c r="L42" i="34"/>
  <c r="L43" i="34"/>
  <c r="L44" i="34"/>
  <c r="I46" i="34"/>
  <c r="M49" i="34"/>
  <c r="L49" i="34"/>
  <c r="L50" i="34"/>
  <c r="L51" i="34"/>
  <c r="L52" i="34"/>
  <c r="B54" i="34"/>
  <c r="L43" i="35"/>
  <c r="L51" i="35"/>
  <c r="M38" i="36"/>
  <c r="I64" i="36"/>
  <c r="L66" i="36"/>
  <c r="M69" i="36"/>
  <c r="I72" i="36"/>
  <c r="L74" i="36"/>
  <c r="F55" i="36"/>
  <c r="AA8" i="37"/>
  <c r="T12" i="37"/>
  <c r="X12" i="37" s="1"/>
  <c r="W13" i="37"/>
  <c r="W14" i="37"/>
  <c r="W23" i="37"/>
  <c r="T28" i="37"/>
  <c r="X28" i="37" s="1"/>
  <c r="W29" i="37"/>
  <c r="AA31" i="37"/>
  <c r="T38" i="37"/>
  <c r="X38" i="37" s="1"/>
  <c r="F35" i="11"/>
  <c r="B2" i="6" s="1"/>
  <c r="G36" i="12"/>
  <c r="B3" i="7" s="1"/>
  <c r="C34" i="14"/>
  <c r="B6" i="3" s="1"/>
  <c r="F6" i="3" s="1"/>
  <c r="C36" i="15"/>
  <c r="C5" i="3" s="1"/>
  <c r="B21" i="3" s="1"/>
  <c r="E36" i="16"/>
  <c r="B8" i="5" s="1"/>
  <c r="C25" i="5" s="1"/>
  <c r="E8" i="1" s="1"/>
  <c r="J36" i="17"/>
  <c r="B28" i="18"/>
  <c r="B11" i="2" s="1"/>
  <c r="C24" i="2" s="1"/>
  <c r="B7" i="1" s="1"/>
  <c r="E25" i="19"/>
  <c r="B9" i="5" s="1"/>
  <c r="G26" i="19"/>
  <c r="C9" i="7" s="1"/>
  <c r="E25" i="20"/>
  <c r="B10" i="5" s="1"/>
  <c r="M8" i="25"/>
  <c r="O10" i="25"/>
  <c r="M13" i="25"/>
  <c r="N16" i="25"/>
  <c r="B54" i="29"/>
  <c r="K37" i="30"/>
  <c r="I43" i="30"/>
  <c r="Z37" i="30"/>
  <c r="M45" i="30"/>
  <c r="I50" i="30"/>
  <c r="F54" i="30"/>
  <c r="K37" i="31"/>
  <c r="I44" i="31"/>
  <c r="M45" i="31"/>
  <c r="M46" i="31"/>
  <c r="M47" i="31"/>
  <c r="I52" i="31"/>
  <c r="M53" i="31"/>
  <c r="F54" i="31"/>
  <c r="L41" i="32"/>
  <c r="V37" i="32"/>
  <c r="I43" i="32"/>
  <c r="M46" i="32"/>
  <c r="Y37" i="32"/>
  <c r="L47" i="32"/>
  <c r="L48" i="32"/>
  <c r="L49" i="32"/>
  <c r="I51" i="32"/>
  <c r="R37" i="33"/>
  <c r="K37" i="33"/>
  <c r="L43" i="33"/>
  <c r="I43" i="33"/>
  <c r="I44" i="33"/>
  <c r="I45" i="33"/>
  <c r="M46" i="33"/>
  <c r="M47" i="33"/>
  <c r="M48" i="33"/>
  <c r="L49" i="33"/>
  <c r="L50" i="33"/>
  <c r="L51" i="33"/>
  <c r="I51" i="33"/>
  <c r="I52" i="33"/>
  <c r="I53" i="33"/>
  <c r="Z37" i="34"/>
  <c r="M44" i="34"/>
  <c r="M52" i="34"/>
  <c r="E54" i="34"/>
  <c r="S37" i="35"/>
  <c r="M43" i="35"/>
  <c r="L46" i="35"/>
  <c r="V37" i="35"/>
  <c r="I48" i="35"/>
  <c r="M51" i="35"/>
  <c r="L63" i="36"/>
  <c r="L38" i="36"/>
  <c r="M66" i="36"/>
  <c r="L71" i="36"/>
  <c r="M74" i="36"/>
  <c r="X11" i="37"/>
  <c r="X36" i="37"/>
  <c r="D35" i="15"/>
  <c r="B5" i="4" s="1"/>
  <c r="B35" i="17"/>
  <c r="B7" i="2" s="1"/>
  <c r="B36" i="17"/>
  <c r="C7" i="2" s="1"/>
  <c r="E56" i="28"/>
  <c r="L37" i="30"/>
  <c r="I46" i="32"/>
  <c r="M49" i="32"/>
  <c r="B54" i="32"/>
  <c r="S37" i="33"/>
  <c r="K37" i="34"/>
  <c r="H37" i="34"/>
  <c r="M45" i="34"/>
  <c r="M46" i="34"/>
  <c r="M47" i="34"/>
  <c r="M53" i="34"/>
  <c r="L41" i="35"/>
  <c r="L49" i="35"/>
  <c r="B54" i="35"/>
  <c r="M63" i="36"/>
  <c r="L68" i="36"/>
  <c r="M71" i="36"/>
  <c r="AA16" i="37"/>
  <c r="T20" i="37"/>
  <c r="X20" i="37" s="1"/>
  <c r="AA24" i="37"/>
  <c r="T26" i="37"/>
  <c r="T34" i="37"/>
  <c r="X34" i="37" s="1"/>
  <c r="X39" i="37"/>
  <c r="J35" i="11"/>
  <c r="J36" i="12"/>
  <c r="F31" i="13"/>
  <c r="C4" i="6" s="1"/>
  <c r="E34" i="14"/>
  <c r="B6" i="5" s="1"/>
  <c r="E35" i="15"/>
  <c r="B5" i="5" s="1"/>
  <c r="C35" i="17"/>
  <c r="B7" i="3" s="1"/>
  <c r="D28" i="18"/>
  <c r="B11" i="4" s="1"/>
  <c r="C24" i="4" s="1"/>
  <c r="O2" i="25"/>
  <c r="L17" i="25"/>
  <c r="B63" i="28"/>
  <c r="L41" i="29"/>
  <c r="H37" i="29"/>
  <c r="I54" i="29" s="1"/>
  <c r="L46" i="29"/>
  <c r="M48" i="29"/>
  <c r="L49" i="29"/>
  <c r="I43" i="29"/>
  <c r="I51" i="29"/>
  <c r="E54" i="32"/>
  <c r="V37" i="33"/>
  <c r="L37" i="34"/>
  <c r="M41" i="35"/>
  <c r="Y37" i="35"/>
  <c r="L44" i="35"/>
  <c r="M48" i="35"/>
  <c r="M49" i="35"/>
  <c r="L52" i="35"/>
  <c r="E54" i="35"/>
  <c r="I63" i="36"/>
  <c r="L65" i="36"/>
  <c r="M68" i="36"/>
  <c r="I71" i="36"/>
  <c r="L73" i="36"/>
  <c r="M55" i="36"/>
  <c r="AA4" i="37"/>
  <c r="T8" i="37"/>
  <c r="X8" i="37" s="1"/>
  <c r="W10" i="37"/>
  <c r="T18" i="37"/>
  <c r="W27" i="37"/>
  <c r="X27" i="37" s="1"/>
  <c r="T32" i="37"/>
  <c r="X32" i="37" s="1"/>
  <c r="W37" i="37"/>
  <c r="X37" i="37" s="1"/>
  <c r="AA41" i="37"/>
  <c r="B36" i="12"/>
  <c r="B3" i="2" s="1"/>
  <c r="F34" i="14"/>
  <c r="B6" i="6" s="1"/>
  <c r="F35" i="15"/>
  <c r="B5" i="6" s="1"/>
  <c r="D35" i="17"/>
  <c r="B7" i="4" s="1"/>
  <c r="E28" i="18"/>
  <c r="B11" i="5" s="1"/>
  <c r="I48" i="29"/>
  <c r="R37" i="30"/>
  <c r="L43" i="30"/>
  <c r="L51" i="30"/>
  <c r="R37" i="31"/>
  <c r="F54" i="32"/>
  <c r="Y37" i="33"/>
  <c r="L44" i="33"/>
  <c r="L52" i="33"/>
  <c r="B54" i="33"/>
  <c r="H37" i="35"/>
  <c r="I54" i="35" s="1"/>
  <c r="L47" i="35"/>
  <c r="F54" i="35"/>
  <c r="L62" i="36"/>
  <c r="M65" i="36"/>
  <c r="I68" i="36"/>
  <c r="L70" i="36"/>
  <c r="M73" i="36"/>
  <c r="X7" i="37"/>
  <c r="AA21" i="37"/>
  <c r="W35" i="37"/>
  <c r="AA39" i="37"/>
  <c r="D36" i="11"/>
  <c r="C2" i="4" s="1"/>
  <c r="C36" i="12"/>
  <c r="B3" i="3" s="1"/>
  <c r="G34" i="14"/>
  <c r="B6" i="7" s="1"/>
  <c r="G35" i="15"/>
  <c r="B5" i="7" s="1"/>
  <c r="B37" i="16"/>
  <c r="C8" i="2" s="1"/>
  <c r="B25" i="2" s="1"/>
  <c r="E35" i="17"/>
  <c r="B7" i="5" s="1"/>
  <c r="C22" i="5" s="1"/>
  <c r="F28" i="18"/>
  <c r="B11" i="6" s="1"/>
  <c r="D26" i="20"/>
  <c r="C10" i="4" s="1"/>
  <c r="H18" i="21"/>
  <c r="N12" i="25"/>
  <c r="N15" i="25"/>
  <c r="N17" i="25"/>
  <c r="I54" i="33"/>
  <c r="X16" i="37"/>
  <c r="X24" i="37"/>
  <c r="X31" i="37"/>
  <c r="F35" i="17"/>
  <c r="B7" i="6" s="1"/>
  <c r="M43" i="29"/>
  <c r="L44" i="29"/>
  <c r="I45" i="29"/>
  <c r="M51" i="29"/>
  <c r="L52" i="29"/>
  <c r="I53" i="29"/>
  <c r="L41" i="30"/>
  <c r="L49" i="30"/>
  <c r="L41" i="31"/>
  <c r="V37" i="31"/>
  <c r="I43" i="31"/>
  <c r="L48" i="31"/>
  <c r="L49" i="31"/>
  <c r="I51" i="31"/>
  <c r="H37" i="31"/>
  <c r="F54" i="33"/>
  <c r="S37" i="34"/>
  <c r="I47" i="34"/>
  <c r="L37" i="35"/>
  <c r="R37" i="35"/>
  <c r="D38" i="36"/>
  <c r="F75" i="36"/>
  <c r="T4" i="37"/>
  <c r="X4" i="37" s="1"/>
  <c r="W6" i="37"/>
  <c r="X6" i="37" s="1"/>
  <c r="AA11" i="37"/>
  <c r="T14" i="37"/>
  <c r="W31" i="37"/>
  <c r="AA35" i="37"/>
  <c r="G36" i="11"/>
  <c r="C2" i="7" s="1"/>
  <c r="B22" i="7" s="1"/>
  <c r="E36" i="12"/>
  <c r="B3" i="5" s="1"/>
  <c r="C23" i="5" s="1"/>
  <c r="I36" i="15"/>
  <c r="G35" i="17"/>
  <c r="B7" i="7" s="1"/>
  <c r="D26" i="19"/>
  <c r="C9" i="4" s="1"/>
  <c r="H57" i="28"/>
  <c r="H64" i="28"/>
  <c r="M44" i="29"/>
  <c r="L45" i="29"/>
  <c r="M52" i="29"/>
  <c r="L53" i="29"/>
  <c r="J54" i="29"/>
  <c r="I47" i="29"/>
  <c r="M41" i="30"/>
  <c r="Y37" i="30"/>
  <c r="L44" i="30"/>
  <c r="H37" i="30"/>
  <c r="M48" i="30"/>
  <c r="M49" i="30"/>
  <c r="L52" i="30"/>
  <c r="M48" i="31"/>
  <c r="B54" i="31"/>
  <c r="M41" i="33"/>
  <c r="M42" i="33"/>
  <c r="L45" i="33"/>
  <c r="M49" i="33"/>
  <c r="M50" i="33"/>
  <c r="L53" i="33"/>
  <c r="V37" i="34"/>
  <c r="I41" i="35"/>
  <c r="I42" i="35"/>
  <c r="Z37" i="35"/>
  <c r="M44" i="35"/>
  <c r="M45" i="35"/>
  <c r="L48" i="35"/>
  <c r="I49" i="35"/>
  <c r="I50" i="35"/>
  <c r="M52" i="35"/>
  <c r="M53" i="35"/>
  <c r="M64" i="36"/>
  <c r="I67" i="36"/>
  <c r="L69" i="36"/>
  <c r="M72" i="36"/>
  <c r="E55" i="36"/>
  <c r="X40" i="37"/>
  <c r="C23" i="6"/>
  <c r="L9" i="1"/>
  <c r="K9" i="1"/>
  <c r="D6" i="1"/>
  <c r="C24" i="7"/>
  <c r="C17" i="2"/>
  <c r="D7" i="1"/>
  <c r="C25" i="4"/>
  <c r="C17" i="6"/>
  <c r="C22" i="6"/>
  <c r="C23" i="7"/>
  <c r="E7" i="4"/>
  <c r="G7" i="4" s="1"/>
  <c r="E7" i="6"/>
  <c r="G7" i="6" s="1"/>
  <c r="C17" i="7"/>
  <c r="C22" i="7"/>
  <c r="C25" i="2"/>
  <c r="C22" i="3"/>
  <c r="G3" i="4"/>
  <c r="E2" i="5"/>
  <c r="G2" i="5" s="1"/>
  <c r="D2" i="7"/>
  <c r="F2" i="7" s="1"/>
  <c r="D3" i="7"/>
  <c r="F3" i="7" s="1"/>
  <c r="E3" i="4"/>
  <c r="E3" i="6"/>
  <c r="G3" i="6" s="1"/>
  <c r="C25" i="7"/>
  <c r="G6" i="6"/>
  <c r="E9" i="5"/>
  <c r="G9" i="5" s="1"/>
  <c r="D9" i="7"/>
  <c r="F9" i="7" s="1"/>
  <c r="E9" i="6"/>
  <c r="G9" i="6" s="1"/>
  <c r="D12" i="7"/>
  <c r="F12" i="7" s="1"/>
  <c r="C24" i="6"/>
  <c r="D6" i="7"/>
  <c r="F6" i="7" s="1"/>
  <c r="E6" i="5"/>
  <c r="G6" i="5" s="1"/>
  <c r="E13" i="5"/>
  <c r="G13" i="5" s="1"/>
  <c r="E13" i="6"/>
  <c r="G13" i="6" s="1"/>
  <c r="C25" i="6"/>
  <c r="E30" i="13"/>
  <c r="B4" i="5" s="1"/>
  <c r="G31" i="13"/>
  <c r="C4" i="7" s="1"/>
  <c r="D34" i="14"/>
  <c r="B6" i="4" s="1"/>
  <c r="G6" i="4" s="1"/>
  <c r="C35" i="15"/>
  <c r="B5" i="3" s="1"/>
  <c r="C37" i="16"/>
  <c r="C8" i="3" s="1"/>
  <c r="B25" i="3" s="1"/>
  <c r="D25" i="3" s="1"/>
  <c r="C36" i="17"/>
  <c r="C7" i="3" s="1"/>
  <c r="J28" i="18"/>
  <c r="G26" i="20"/>
  <c r="C10" i="7" s="1"/>
  <c r="B29" i="22"/>
  <c r="C13" i="2" s="1"/>
  <c r="N2" i="25"/>
  <c r="O5" i="25"/>
  <c r="M7" i="25"/>
  <c r="N10" i="25"/>
  <c r="M15" i="25"/>
  <c r="I30" i="25"/>
  <c r="I31" i="25"/>
  <c r="I32" i="25"/>
  <c r="Z37" i="29"/>
  <c r="M47" i="29"/>
  <c r="L42" i="30"/>
  <c r="V37" i="30"/>
  <c r="I54" i="30" s="1"/>
  <c r="I44" i="30"/>
  <c r="M46" i="30"/>
  <c r="M54" i="30" s="1"/>
  <c r="M47" i="30"/>
  <c r="L50" i="30"/>
  <c r="I52" i="30"/>
  <c r="I42" i="30"/>
  <c r="I42" i="31"/>
  <c r="I50" i="31"/>
  <c r="S37" i="32"/>
  <c r="M43" i="32"/>
  <c r="M51" i="32"/>
  <c r="L46" i="32"/>
  <c r="M54" i="34"/>
  <c r="J31" i="13"/>
  <c r="F36" i="15"/>
  <c r="C5" i="6" s="1"/>
  <c r="B21" i="6" s="1"/>
  <c r="D37" i="16"/>
  <c r="C8" i="4" s="1"/>
  <c r="B25" i="4" s="1"/>
  <c r="D36" i="17"/>
  <c r="C7" i="4" s="1"/>
  <c r="B22" i="4" s="1"/>
  <c r="B29" i="18"/>
  <c r="C11" i="2" s="1"/>
  <c r="C29" i="22"/>
  <c r="B54" i="30"/>
  <c r="X10" i="37"/>
  <c r="X21" i="37"/>
  <c r="B36" i="11"/>
  <c r="C2" i="2" s="1"/>
  <c r="B22" i="2" s="1"/>
  <c r="G36" i="15"/>
  <c r="C5" i="7" s="1"/>
  <c r="B21" i="7" s="1"/>
  <c r="E37" i="16"/>
  <c r="C8" i="5" s="1"/>
  <c r="B25" i="5" s="1"/>
  <c r="E25" i="5" s="1"/>
  <c r="E36" i="17"/>
  <c r="C7" i="5" s="1"/>
  <c r="B22" i="5" s="1"/>
  <c r="C29" i="18"/>
  <c r="C11" i="3" s="1"/>
  <c r="B24" i="3" s="1"/>
  <c r="D24" i="3" s="1"/>
  <c r="B26" i="19"/>
  <c r="C9" i="2" s="1"/>
  <c r="J25" i="20"/>
  <c r="D29" i="22"/>
  <c r="L6" i="25"/>
  <c r="L14" i="25"/>
  <c r="B58" i="28"/>
  <c r="J69" i="28"/>
  <c r="K56" i="28"/>
  <c r="L37" i="29"/>
  <c r="M41" i="29"/>
  <c r="I46" i="29"/>
  <c r="E54" i="30"/>
  <c r="S37" i="31"/>
  <c r="I48" i="31"/>
  <c r="M41" i="32"/>
  <c r="E37" i="32"/>
  <c r="K37" i="32"/>
  <c r="D37" i="32"/>
  <c r="L54" i="35"/>
  <c r="X9" i="37"/>
  <c r="X26" i="37"/>
  <c r="C36" i="11"/>
  <c r="C2" i="3" s="1"/>
  <c r="B37" i="12"/>
  <c r="C3" i="2" s="1"/>
  <c r="B23" i="2" s="1"/>
  <c r="B31" i="13"/>
  <c r="C4" i="2" s="1"/>
  <c r="F37" i="16"/>
  <c r="C8" i="6" s="1"/>
  <c r="B25" i="6" s="1"/>
  <c r="B26" i="20"/>
  <c r="C10" i="2" s="1"/>
  <c r="E29" i="22"/>
  <c r="L3" i="25"/>
  <c r="F25" i="25" s="1"/>
  <c r="B31" i="25" s="1"/>
  <c r="M6" i="25"/>
  <c r="L11" i="25"/>
  <c r="M14" i="25"/>
  <c r="E52" i="28"/>
  <c r="K37" i="29"/>
  <c r="I54" i="31"/>
  <c r="H37" i="32"/>
  <c r="I54" i="32" s="1"/>
  <c r="Z37" i="32"/>
  <c r="M44" i="32"/>
  <c r="M52" i="32"/>
  <c r="M54" i="35"/>
  <c r="X18" i="37"/>
  <c r="X35" i="37"/>
  <c r="G37" i="16"/>
  <c r="C8" i="7" s="1"/>
  <c r="B25" i="7" s="1"/>
  <c r="C26" i="20"/>
  <c r="C10" i="3" s="1"/>
  <c r="F29" i="22"/>
  <c r="M3" i="25"/>
  <c r="G25" i="25" s="1"/>
  <c r="C31" i="25" s="1"/>
  <c r="N6" i="25"/>
  <c r="H26" i="25" s="1"/>
  <c r="D32" i="25" s="1"/>
  <c r="L8" i="25"/>
  <c r="M11" i="25"/>
  <c r="N14" i="25"/>
  <c r="L16" i="25"/>
  <c r="R37" i="29"/>
  <c r="S37" i="30"/>
  <c r="L45" i="30"/>
  <c r="M50" i="30"/>
  <c r="L53" i="30"/>
  <c r="M41" i="31"/>
  <c r="Y37" i="31"/>
  <c r="L43" i="31"/>
  <c r="L44" i="31"/>
  <c r="I46" i="31"/>
  <c r="M49" i="31"/>
  <c r="L51" i="31"/>
  <c r="L52" i="31"/>
  <c r="X17" i="37"/>
  <c r="X25" i="37"/>
  <c r="D37" i="12"/>
  <c r="C3" i="4" s="1"/>
  <c r="B23" i="4" s="1"/>
  <c r="E23" i="4" s="1"/>
  <c r="D31" i="13"/>
  <c r="C4" i="4" s="1"/>
  <c r="B24" i="4" s="1"/>
  <c r="E24" i="4" s="1"/>
  <c r="C35" i="14"/>
  <c r="C6" i="3" s="1"/>
  <c r="B36" i="15"/>
  <c r="C5" i="2" s="1"/>
  <c r="B21" i="2" s="1"/>
  <c r="D21" i="2" s="1"/>
  <c r="F29" i="18"/>
  <c r="C11" i="6" s="1"/>
  <c r="B24" i="6" s="1"/>
  <c r="N3" i="25"/>
  <c r="H25" i="25" s="1"/>
  <c r="D31" i="25" s="1"/>
  <c r="N11" i="25"/>
  <c r="F36" i="11"/>
  <c r="C2" i="6" s="1"/>
  <c r="B22" i="6" s="1"/>
  <c r="E37" i="12"/>
  <c r="C3" i="5" s="1"/>
  <c r="B23" i="5" s="1"/>
  <c r="K36" i="16"/>
  <c r="G29" i="18"/>
  <c r="C11" i="7" s="1"/>
  <c r="F26" i="19"/>
  <c r="C9" i="6" s="1"/>
  <c r="E26" i="20"/>
  <c r="C10" i="5" s="1"/>
  <c r="L2" i="25"/>
  <c r="L10" i="25"/>
  <c r="G30" i="25"/>
  <c r="G31" i="25"/>
  <c r="G32" i="25"/>
  <c r="H67" i="28"/>
  <c r="K54" i="29"/>
  <c r="L42" i="31"/>
  <c r="L50" i="31"/>
  <c r="I41" i="32"/>
  <c r="I42" i="32"/>
  <c r="M45" i="32"/>
  <c r="I49" i="32"/>
  <c r="I50" i="32"/>
  <c r="M53" i="32"/>
  <c r="X14" i="37"/>
  <c r="B57" i="28"/>
  <c r="B60" i="28"/>
  <c r="B64" i="28"/>
  <c r="H66" i="28"/>
  <c r="Y37" i="29"/>
  <c r="L54" i="29" s="1"/>
  <c r="S37" i="29"/>
  <c r="M46" i="29"/>
  <c r="L47" i="29"/>
  <c r="I41" i="30"/>
  <c r="L47" i="30"/>
  <c r="I49" i="30"/>
  <c r="L37" i="31"/>
  <c r="I47" i="31"/>
  <c r="R37" i="32"/>
  <c r="I44" i="32"/>
  <c r="I45" i="32"/>
  <c r="M47" i="32"/>
  <c r="M48" i="32"/>
  <c r="I52" i="32"/>
  <c r="I53" i="32"/>
  <c r="M54" i="33"/>
  <c r="X2" i="37"/>
  <c r="X13" i="37"/>
  <c r="X22" i="37"/>
  <c r="X23" i="37"/>
  <c r="X29" i="37"/>
  <c r="X41" i="37"/>
  <c r="L64" i="36"/>
  <c r="D37" i="33"/>
  <c r="L41" i="33"/>
  <c r="L42" i="33"/>
  <c r="M62" i="36"/>
  <c r="E37" i="33"/>
  <c r="D37" i="30"/>
  <c r="L54" i="30" s="1"/>
  <c r="D37" i="31"/>
  <c r="L54" i="31" s="1"/>
  <c r="E37" i="31"/>
  <c r="D37" i="34"/>
  <c r="Y37" i="34"/>
  <c r="E37" i="34"/>
  <c r="D37" i="35"/>
  <c r="E37" i="35"/>
  <c r="L75" i="36" l="1"/>
  <c r="M75" i="36"/>
  <c r="C23" i="3"/>
  <c r="I54" i="34"/>
  <c r="D12" i="2"/>
  <c r="F12" i="2" s="1"/>
  <c r="E12" i="6"/>
  <c r="G12" i="6" s="1"/>
  <c r="D12" i="3"/>
  <c r="F12" i="3" s="1"/>
  <c r="E12" i="4"/>
  <c r="G12" i="4" s="1"/>
  <c r="G26" i="25"/>
  <c r="C32" i="25" s="1"/>
  <c r="D21" i="7"/>
  <c r="G5" i="4"/>
  <c r="C21" i="4"/>
  <c r="F26" i="25"/>
  <c r="B32" i="25" s="1"/>
  <c r="C21" i="5"/>
  <c r="G5" i="5"/>
  <c r="D23" i="2"/>
  <c r="G5" i="6"/>
  <c r="C21" i="6"/>
  <c r="F4" i="1" s="1"/>
  <c r="D7" i="7"/>
  <c r="F7" i="7" s="1"/>
  <c r="D7" i="2"/>
  <c r="F7" i="2" s="1"/>
  <c r="E7" i="5"/>
  <c r="G7" i="5" s="1"/>
  <c r="D7" i="3"/>
  <c r="F7" i="3" s="1"/>
  <c r="C22" i="2"/>
  <c r="B5" i="1" s="1"/>
  <c r="B9" i="1" s="1"/>
  <c r="L54" i="33"/>
  <c r="E12" i="5"/>
  <c r="G12" i="5" s="1"/>
  <c r="C17" i="5"/>
  <c r="C21" i="7"/>
  <c r="G4" i="1" s="1"/>
  <c r="F5" i="7"/>
  <c r="C23" i="2"/>
  <c r="B6" i="1" s="1"/>
  <c r="F3" i="2"/>
  <c r="D3" i="3"/>
  <c r="F3" i="3" s="1"/>
  <c r="E3" i="5"/>
  <c r="G3" i="5" s="1"/>
  <c r="D3" i="2"/>
  <c r="L54" i="34"/>
  <c r="G24" i="25"/>
  <c r="C30" i="25" s="1"/>
  <c r="B24" i="2"/>
  <c r="D24" i="2" s="1"/>
  <c r="E2" i="6"/>
  <c r="G2" i="6" s="1"/>
  <c r="D2" i="2"/>
  <c r="F2" i="2" s="1"/>
  <c r="D2" i="3"/>
  <c r="F2" i="3" s="1"/>
  <c r="E2" i="4"/>
  <c r="G2" i="4" s="1"/>
  <c r="B8" i="1"/>
  <c r="D25" i="2"/>
  <c r="D8" i="7"/>
  <c r="F8" i="7" s="1"/>
  <c r="E8" i="6"/>
  <c r="G8" i="6" s="1"/>
  <c r="D8" i="3"/>
  <c r="F8" i="3" s="1"/>
  <c r="E8" i="4"/>
  <c r="G8" i="4" s="1"/>
  <c r="D8" i="2"/>
  <c r="F8" i="2" s="1"/>
  <c r="E8" i="5"/>
  <c r="G8" i="5" s="1"/>
  <c r="F5" i="3"/>
  <c r="C21" i="3"/>
  <c r="G8" i="1"/>
  <c r="D25" i="7"/>
  <c r="C17" i="4"/>
  <c r="D8" i="1"/>
  <c r="E25" i="4"/>
  <c r="G7" i="1"/>
  <c r="D4" i="7"/>
  <c r="F4" i="7" s="1"/>
  <c r="E4" i="6"/>
  <c r="G4" i="6" s="1"/>
  <c r="E4" i="4"/>
  <c r="G4" i="4" s="1"/>
  <c r="D4" i="3"/>
  <c r="F4" i="3" s="1"/>
  <c r="E4" i="5"/>
  <c r="G4" i="5" s="1"/>
  <c r="D4" i="2"/>
  <c r="F4" i="2" s="1"/>
  <c r="E25" i="6"/>
  <c r="F8" i="1"/>
  <c r="G6" i="1"/>
  <c r="D23" i="7"/>
  <c r="E23" i="6"/>
  <c r="F6" i="1"/>
  <c r="L54" i="32"/>
  <c r="M54" i="29"/>
  <c r="E10" i="5"/>
  <c r="G10" i="5" s="1"/>
  <c r="D10" i="7"/>
  <c r="F10" i="7" s="1"/>
  <c r="E10" i="6"/>
  <c r="G10" i="6" s="1"/>
  <c r="D10" i="2"/>
  <c r="F10" i="2" s="1"/>
  <c r="E10" i="4"/>
  <c r="G10" i="4" s="1"/>
  <c r="D10" i="3"/>
  <c r="F10" i="3" s="1"/>
  <c r="H24" i="25"/>
  <c r="D30" i="25" s="1"/>
  <c r="B24" i="7"/>
  <c r="D24" i="7" s="1"/>
  <c r="C22" i="4"/>
  <c r="E5" i="1"/>
  <c r="E22" i="5"/>
  <c r="C24" i="5"/>
  <c r="E24" i="6"/>
  <c r="F7" i="1"/>
  <c r="C5" i="1"/>
  <c r="C17" i="3"/>
  <c r="F24" i="25"/>
  <c r="B30" i="25" s="1"/>
  <c r="M54" i="31"/>
  <c r="K69" i="28"/>
  <c r="E69" i="28"/>
  <c r="E22" i="6"/>
  <c r="F5" i="1"/>
  <c r="F9" i="1" s="1"/>
  <c r="M54" i="32"/>
  <c r="D11" i="7"/>
  <c r="F11" i="7" s="1"/>
  <c r="E11" i="4"/>
  <c r="G11" i="4" s="1"/>
  <c r="E11" i="6"/>
  <c r="G11" i="6" s="1"/>
  <c r="D11" i="3"/>
  <c r="F11" i="3" s="1"/>
  <c r="D11" i="2"/>
  <c r="F11" i="2" s="1"/>
  <c r="E11" i="5"/>
  <c r="G11" i="5" s="1"/>
  <c r="D22" i="7"/>
  <c r="G5" i="1"/>
  <c r="B22" i="3"/>
  <c r="D22" i="3" s="1"/>
  <c r="E23" i="5"/>
  <c r="E6" i="1"/>
  <c r="E21" i="6" l="1"/>
  <c r="D22" i="2"/>
  <c r="D4" i="1"/>
  <c r="E21" i="4"/>
  <c r="C6" i="1"/>
  <c r="D23" i="3"/>
  <c r="G9" i="1"/>
  <c r="E4" i="1"/>
  <c r="E9" i="1" s="1"/>
  <c r="E21" i="5"/>
  <c r="D5" i="1"/>
  <c r="E22" i="4"/>
  <c r="E24" i="5"/>
  <c r="E7" i="1"/>
  <c r="C4" i="1"/>
  <c r="C9" i="1" s="1"/>
  <c r="D21" i="3"/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kayla
</t>
        </r>
      </text>
    </comment>
    <comment ref="A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6" authorId="0" shapeId="0" xr:uid="{00000000-0006-0000-0000-000003000000}">
      <text>
        <r>
          <rPr>
            <sz val="10"/>
            <color rgb="FF000000"/>
            <rFont val="Arial"/>
            <family val="2"/>
          </rPr>
          <t>michelle</t>
        </r>
      </text>
    </comment>
    <comment ref="A7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8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  <comment ref="A9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Point Guard, Primary Guard, Primary Forward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@morche@berkeley.edu any correlation between any warm up numbers and game start "success"?
_Assigned to you_
	-Henry D Behrens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A00-000001000000}">
      <text>
        <r>
          <rPr>
            <sz val="10"/>
            <color rgb="FF000000"/>
            <rFont val="Arial"/>
            <family val="2"/>
            <scheme val="minor"/>
          </rPr>
          <t>raw data said ~540 so this is an average of all other points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7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@morche@berkeley.edu Can we add a space for our average game warm up for the key metrics?
1 total reaction
Morgan Cheung reacted with 👍 at 2025-09-04 04:05 AM
	-Henry D Behrens</t>
        </r>
      </text>
    </comment>
    <comment ref="A2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6000000}">
      <text>
        <r>
          <rPr>
            <sz val="10"/>
            <color rgb="FF000000"/>
            <rFont val="Arial"/>
            <family val="2"/>
            <scheme val="minor"/>
          </rPr>
          <t>@morche@berkeley.edu Can we also get a game high for the MII's?  Knowing what a "Worst case scenario" would be is super helpful.
_Assigned to you_
	-Henry D Behrens</t>
        </r>
      </text>
    </comment>
    <comment ref="A2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3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4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4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5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5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5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 xml:space="preserve">kayla
</t>
        </r>
      </text>
    </comment>
    <comment ref="A22" authorId="0" shapeId="0" xr:uid="{00000000-0006-0000-0600-000002000000}">
      <text>
        <r>
          <rPr>
            <sz val="10"/>
            <color rgb="FF000000"/>
            <rFont val="Arial"/>
            <family val="2"/>
            <scheme val="minor"/>
          </rPr>
          <t>io, marta, lulu</t>
        </r>
      </text>
    </comment>
    <comment ref="A23" authorId="0" shapeId="0" xr:uid="{00000000-0006-0000-0600-000003000000}">
      <text>
        <r>
          <rPr>
            <sz val="10"/>
            <color rgb="FF000000"/>
            <rFont val="Arial"/>
            <family val="2"/>
            <scheme val="minor"/>
          </rPr>
          <t>michelle</t>
        </r>
      </text>
    </comment>
    <comment ref="A24" authorId="0" shapeId="0" xr:uid="{00000000-0006-0000-0600-000004000000}">
      <text>
        <r>
          <rPr>
            <sz val="10"/>
            <color rgb="FF000000"/>
            <rFont val="Arial"/>
            <family val="2"/>
            <scheme val="minor"/>
          </rPr>
          <t>lola, jayda</t>
        </r>
      </text>
    </comment>
    <comment ref="A25" authorId="0" shapeId="0" xr:uid="{00000000-0006-0000-0600-000005000000}">
      <text>
        <r>
          <rPr>
            <sz val="10"/>
            <color rgb="FF000000"/>
            <rFont val="Arial"/>
            <family val="2"/>
            <scheme val="minor"/>
          </rPr>
          <t>gabi</t>
        </r>
      </text>
    </comment>
  </commentList>
</comments>
</file>

<file path=xl/sharedStrings.xml><?xml version="1.0" encoding="utf-8"?>
<sst xmlns="http://schemas.openxmlformats.org/spreadsheetml/2006/main" count="7414" uniqueCount="785">
  <si>
    <t>AVERAGE</t>
  </si>
  <si>
    <t>MAX</t>
  </si>
  <si>
    <t>STANDARD DEVIATION</t>
  </si>
  <si>
    <t>Position</t>
  </si>
  <si>
    <t>PL</t>
  </si>
  <si>
    <t>High IMA</t>
  </si>
  <si>
    <t>MII 1</t>
  </si>
  <si>
    <t>MII 2</t>
  </si>
  <si>
    <t>MII 3</t>
  </si>
  <si>
    <t>PL 3+</t>
  </si>
  <si>
    <t>Point Guard</t>
  </si>
  <si>
    <t>Primary Guard</t>
  </si>
  <si>
    <t>Primary Forward</t>
  </si>
  <si>
    <t>Secondary Guard</t>
  </si>
  <si>
    <t>Secondary Forward</t>
  </si>
  <si>
    <t>PRIMARY/STARTERS</t>
  </si>
  <si>
    <t>player</t>
  </si>
  <si>
    <t>average PL/game</t>
  </si>
  <si>
    <t>avg PL/min</t>
  </si>
  <si>
    <t>avg mins/game</t>
  </si>
  <si>
    <t>std dev</t>
  </si>
  <si>
    <t>average PL/game/min</t>
  </si>
  <si>
    <t>starter</t>
  </si>
  <si>
    <t>position</t>
  </si>
  <si>
    <t>adjacent player</t>
  </si>
  <si>
    <t>current roster</t>
  </si>
  <si>
    <t>ionna</t>
  </si>
  <si>
    <t>yes</t>
  </si>
  <si>
    <t>g</t>
  </si>
  <si>
    <t>grace</t>
  </si>
  <si>
    <t>myracle</t>
  </si>
  <si>
    <t>michelle</t>
  </si>
  <si>
    <t>c</t>
  </si>
  <si>
    <t>kima/clau</t>
  </si>
  <si>
    <t>taylor</t>
  </si>
  <si>
    <t>jayda</t>
  </si>
  <si>
    <t>no</t>
  </si>
  <si>
    <t>naya</t>
  </si>
  <si>
    <t>lola</t>
  </si>
  <si>
    <t>kayla</t>
  </si>
  <si>
    <t>pg</t>
  </si>
  <si>
    <t>puff</t>
  </si>
  <si>
    <t>isis</t>
  </si>
  <si>
    <t>marta</t>
  </si>
  <si>
    <t>f/g</t>
  </si>
  <si>
    <t>lulu</t>
  </si>
  <si>
    <t>grace/puff</t>
  </si>
  <si>
    <t>gabi</t>
  </si>
  <si>
    <t>dros</t>
  </si>
  <si>
    <t>giselle</t>
  </si>
  <si>
    <t>clau</t>
  </si>
  <si>
    <t>kam</t>
  </si>
  <si>
    <t>nat</t>
  </si>
  <si>
    <t>kima</t>
  </si>
  <si>
    <t>sofia</t>
  </si>
  <si>
    <t>sof</t>
  </si>
  <si>
    <t>zahra</t>
  </si>
  <si>
    <t>starters avg PL/game</t>
  </si>
  <si>
    <t>average PL/min</t>
  </si>
  <si>
    <t>expected min/game</t>
  </si>
  <si>
    <t>std dev/game</t>
  </si>
  <si>
    <t>point guard</t>
  </si>
  <si>
    <t>puff, grace</t>
  </si>
  <si>
    <t>primary guard</t>
  </si>
  <si>
    <t>lulu, taylor, naya</t>
  </si>
  <si>
    <t>primary forward</t>
  </si>
  <si>
    <t>secondary guard</t>
  </si>
  <si>
    <t>lola, dros, g</t>
  </si>
  <si>
    <t>secondary forward</t>
  </si>
  <si>
    <t>MII</t>
  </si>
  <si>
    <t>high ima</t>
  </si>
  <si>
    <t>max + avg for each game</t>
  </si>
  <si>
    <t>average High IMA/game</t>
  </si>
  <si>
    <t>avg High IMA/min</t>
  </si>
  <si>
    <t>average High IMA/game/min</t>
  </si>
  <si>
    <t>starters avg High IMA/game</t>
  </si>
  <si>
    <t>average High IMA/min</t>
  </si>
  <si>
    <t>average MII 1/game</t>
  </si>
  <si>
    <t>avg MII 1/min</t>
  </si>
  <si>
    <t>max mii 1</t>
  </si>
  <si>
    <t>average MII 1/game/min</t>
  </si>
  <si>
    <t>starters avg MII 1/game</t>
  </si>
  <si>
    <t>average MII 1/min</t>
  </si>
  <si>
    <t>max MII 1</t>
  </si>
  <si>
    <t>average MII 2/game</t>
  </si>
  <si>
    <t>avg MII 2/min</t>
  </si>
  <si>
    <t>mii 2 max</t>
  </si>
  <si>
    <t>average MII 2/game/min</t>
  </si>
  <si>
    <t>starters avg MII 2/game</t>
  </si>
  <si>
    <t>average MII 2/min</t>
  </si>
  <si>
    <t>max mii 2</t>
  </si>
  <si>
    <t>average MII 3/game</t>
  </si>
  <si>
    <t>avg MII 3/min</t>
  </si>
  <si>
    <t>max MII 3</t>
  </si>
  <si>
    <t>average MII 3/game/min</t>
  </si>
  <si>
    <t>starters avg MII 3/game</t>
  </si>
  <si>
    <t>average MII 3/min</t>
  </si>
  <si>
    <t>max mii 3</t>
  </si>
  <si>
    <t>average PL 3+/game</t>
  </si>
  <si>
    <t>avg PL 3+/min</t>
  </si>
  <si>
    <t>average PL 3+/game/min</t>
  </si>
  <si>
    <t>starters avg PL 3+/game</t>
  </si>
  <si>
    <t>average PL 3+/min</t>
  </si>
  <si>
    <t>event</t>
  </si>
  <si>
    <t>date</t>
  </si>
  <si>
    <t>total PL</t>
  </si>
  <si>
    <t>high IMA</t>
  </si>
  <si>
    <t>Practice</t>
  </si>
  <si>
    <t>Scrimmage</t>
  </si>
  <si>
    <t>Individual</t>
  </si>
  <si>
    <t>USC</t>
  </si>
  <si>
    <t>Vanguard</t>
  </si>
  <si>
    <t>Saint Mary's</t>
  </si>
  <si>
    <t>Idaho State</t>
  </si>
  <si>
    <t>SJSU</t>
  </si>
  <si>
    <t>Gonzaga</t>
  </si>
  <si>
    <t>Grambling</t>
  </si>
  <si>
    <t>Auburn</t>
  </si>
  <si>
    <t>Michigan State</t>
  </si>
  <si>
    <t>Arizona</t>
  </si>
  <si>
    <t>Alabama</t>
  </si>
  <si>
    <t>Pacific</t>
  </si>
  <si>
    <t>Stanford</t>
  </si>
  <si>
    <t>Austin Peay</t>
  </si>
  <si>
    <t>Fordham</t>
  </si>
  <si>
    <t>Temple</t>
  </si>
  <si>
    <t>Clemson</t>
  </si>
  <si>
    <t>SMU</t>
  </si>
  <si>
    <t>NC State</t>
  </si>
  <si>
    <t>Florida State</t>
  </si>
  <si>
    <t>Duke</t>
  </si>
  <si>
    <t>Wake Forest</t>
  </si>
  <si>
    <t>UNC</t>
  </si>
  <si>
    <t>Pitt</t>
  </si>
  <si>
    <t>Louisville</t>
  </si>
  <si>
    <t>Activity 20250208143048</t>
  </si>
  <si>
    <t>Notre Dame</t>
  </si>
  <si>
    <t>Boston College</t>
  </si>
  <si>
    <t>Syracuse</t>
  </si>
  <si>
    <t>Virginia</t>
  </si>
  <si>
    <t>Virginia Tech</t>
  </si>
  <si>
    <t>Practice 1</t>
  </si>
  <si>
    <t>Georgia Tech</t>
  </si>
  <si>
    <t>Miami</t>
  </si>
  <si>
    <t>Tot PL</t>
  </si>
  <si>
    <t>MII PL Interval 1</t>
  </si>
  <si>
    <t>MII PL Interval 2</t>
  </si>
  <si>
    <t>MII PL Interval 3</t>
  </si>
  <si>
    <t>Average</t>
  </si>
  <si>
    <t>Anastasia Drosouni</t>
  </si>
  <si>
    <t>st mary's</t>
  </si>
  <si>
    <t>Gabrielle Abigor</t>
  </si>
  <si>
    <t>idaho state</t>
  </si>
  <si>
    <t>Kamryn Mafua</t>
  </si>
  <si>
    <t>sjsu</t>
  </si>
  <si>
    <t>Kayla Williams</t>
  </si>
  <si>
    <t>grambling</t>
  </si>
  <si>
    <t>Lola Donez</t>
  </si>
  <si>
    <t>auburn</t>
  </si>
  <si>
    <t>Lulu Laditan-Twidale</t>
  </si>
  <si>
    <t>michigan state</t>
  </si>
  <si>
    <t>Marta Suárez</t>
  </si>
  <si>
    <t>arizona</t>
  </si>
  <si>
    <t>Michelle Onyiah</t>
  </si>
  <si>
    <t>alabama</t>
  </si>
  <si>
    <t>Natalia Ackerman</t>
  </si>
  <si>
    <t>pacific</t>
  </si>
  <si>
    <t>Sofia Bowes</t>
  </si>
  <si>
    <t>stanford</t>
  </si>
  <si>
    <t>Zahra King</t>
  </si>
  <si>
    <t>fordham</t>
  </si>
  <si>
    <t>clemson</t>
  </si>
  <si>
    <t>smu</t>
  </si>
  <si>
    <t>nc state</t>
  </si>
  <si>
    <t>florida state</t>
  </si>
  <si>
    <t>Ioanna Krimili</t>
  </si>
  <si>
    <t>duke</t>
  </si>
  <si>
    <t>Jayda Noble</t>
  </si>
  <si>
    <t>wake forest</t>
  </si>
  <si>
    <t>unc</t>
  </si>
  <si>
    <t>louisville</t>
  </si>
  <si>
    <t>notre dame</t>
  </si>
  <si>
    <t>boston college</t>
  </si>
  <si>
    <t>syracuse</t>
  </si>
  <si>
    <t>virginia</t>
  </si>
  <si>
    <t>virginia tech</t>
  </si>
  <si>
    <t>georgia tech</t>
  </si>
  <si>
    <t>miami</t>
  </si>
  <si>
    <t>average warmup PL</t>
  </si>
  <si>
    <t>Gisella Maul</t>
  </si>
  <si>
    <t>Claudia Langarita</t>
  </si>
  <si>
    <t>starters % of total</t>
  </si>
  <si>
    <t>score</t>
  </si>
  <si>
    <t>score difference (+/-)</t>
  </si>
  <si>
    <t>win/loss</t>
  </si>
  <si>
    <t>90-58</t>
  </si>
  <si>
    <t>88-36</t>
  </si>
  <si>
    <t>82-53</t>
  </si>
  <si>
    <t>86-65</t>
  </si>
  <si>
    <t>86-63</t>
  </si>
  <si>
    <t>63-59</t>
  </si>
  <si>
    <t>72-78</t>
  </si>
  <si>
    <t>74-62</t>
  </si>
  <si>
    <t>69-65</t>
  </si>
  <si>
    <t>74-66</t>
  </si>
  <si>
    <t>83-63</t>
  </si>
  <si>
    <t>69-53</t>
  </si>
  <si>
    <t>89-63</t>
  </si>
  <si>
    <t>58-69</t>
  </si>
  <si>
    <t>81-66</t>
  </si>
  <si>
    <t>78-71</t>
  </si>
  <si>
    <t>82-70</t>
  </si>
  <si>
    <t>38-72</t>
  </si>
  <si>
    <t>67-55</t>
  </si>
  <si>
    <t>75-72</t>
  </si>
  <si>
    <t>52-65</t>
  </si>
  <si>
    <t>63-70</t>
  </si>
  <si>
    <t>52-91</t>
  </si>
  <si>
    <t>72-63</t>
  </si>
  <si>
    <t>75-69</t>
  </si>
  <si>
    <t>76-70</t>
  </si>
  <si>
    <t>84-87</t>
  </si>
  <si>
    <t>79-65</t>
  </si>
  <si>
    <t>82-63</t>
  </si>
  <si>
    <t>75-58</t>
  </si>
  <si>
    <t>64-73</t>
  </si>
  <si>
    <t>Average Game PL</t>
  </si>
  <si>
    <t>Total PL</t>
  </si>
  <si>
    <t>points</t>
  </si>
  <si>
    <t>minutes</t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</si>
  <si>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</si>
  <si>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</si>
  <si>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</si>
  <si>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</si>
  <si>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</si>
  <si>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</si>
  <si>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</si>
  <si>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</si>
  <si>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</si>
  <si>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</si>
  <si>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</si>
  <si>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</si>
  <si>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</si>
  <si>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</si>
  <si>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</si>
  <si>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</si>
  <si>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</si>
  <si>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</si>
  <si>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</si>
  <si>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</si>
  <si>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</si>
  <si>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</si>
  <si>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</si>
  <si>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</si>
  <si>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</si>
  <si>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</si>
  <si>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</si>
  <si>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</si>
  <si>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</si>
  <si>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</si>
  <si>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t>totals</t>
  </si>
  <si>
    <t>average player load/game</t>
  </si>
  <si>
    <t>avg min/game</t>
  </si>
  <si>
    <t>average player load/min</t>
  </si>
  <si>
    <t>max</t>
  </si>
  <si>
    <t>std</t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</si>
  <si>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</si>
  <si>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</si>
  <si>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</si>
  <si>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</si>
  <si>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</si>
  <si>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</si>
  <si>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</si>
  <si>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</si>
  <si>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</si>
  <si>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</si>
  <si>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</si>
  <si>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</si>
  <si>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</si>
  <si>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</si>
  <si>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</si>
  <si>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</si>
  <si>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</si>
  <si>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</si>
  <si>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</si>
  <si>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</si>
  <si>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</si>
  <si>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</si>
  <si>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</si>
  <si>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</si>
  <si>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</si>
  <si>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</si>
  <si>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</si>
  <si>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</si>
  <si>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</si>
  <si>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</si>
  <si>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</si>
  <si>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t>average player load/minute</t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</si>
  <si>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</si>
  <si>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</si>
  <si>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</si>
  <si>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</si>
  <si>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</si>
  <si>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</si>
  <si>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</si>
  <si>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</si>
  <si>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</si>
  <si>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</si>
  <si>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t>n/a</t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</si>
  <si>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</si>
  <si>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</si>
  <si>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</si>
  <si>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</si>
  <si>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</si>
  <si>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</si>
  <si>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t>Game</t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</si>
  <si>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</si>
  <si>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</si>
  <si>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</si>
  <si>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</si>
  <si>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</si>
  <si>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</si>
  <si>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</si>
  <si>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</si>
  <si>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</si>
  <si>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</si>
  <si>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</si>
  <si>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</si>
  <si>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</si>
  <si>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</si>
  <si>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</si>
  <si>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</si>
  <si>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</si>
  <si>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</si>
  <si>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</si>
  <si>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</si>
  <si>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</si>
  <si>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</si>
  <si>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</si>
  <si>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</si>
  <si>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</si>
  <si>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</si>
  <si>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</si>
  <si>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</si>
  <si>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</si>
  <si>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</si>
  <si>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</si>
  <si>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</si>
  <si>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</si>
  <si>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</si>
  <si>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</si>
  <si>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</si>
  <si>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</si>
  <si>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</si>
  <si>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</si>
  <si>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t>total</t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</si>
  <si>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</si>
  <si>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</si>
  <si>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</si>
  <si>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</si>
  <si>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</si>
  <si>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</si>
  <si>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</si>
  <si>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</si>
  <si>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</si>
  <si>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</si>
  <si>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</si>
  <si>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</si>
  <si>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</si>
  <si>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</si>
  <si>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</si>
  <si>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</si>
  <si>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</si>
  <si>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</si>
  <si>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</si>
  <si>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</si>
  <si>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</si>
  <si>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</si>
  <si>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</si>
  <si>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</si>
  <si>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</si>
  <si>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</si>
  <si>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</si>
  <si>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</si>
  <si>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</si>
  <si>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</si>
  <si>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</si>
  <si>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</si>
  <si>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</si>
  <si>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</si>
  <si>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</si>
  <si>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</si>
  <si>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</si>
  <si>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</si>
  <si>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</si>
  <si>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</si>
  <si>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</si>
  <si>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</si>
  <si>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</si>
  <si>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</si>
  <si>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</si>
  <si>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</si>
  <si>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</si>
  <si>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</si>
  <si>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</si>
  <si>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</si>
  <si>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</si>
  <si>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</si>
  <si>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</si>
  <si>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</si>
  <si>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</si>
  <si>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</si>
  <si>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</si>
  <si>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</si>
  <si>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</si>
  <si>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</si>
  <si>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</si>
  <si>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</si>
  <si>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t>avg PL/game</t>
  </si>
  <si>
    <t>avg PL/minute</t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</si>
  <si>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</si>
  <si>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</si>
  <si>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</si>
  <si>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</si>
  <si>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</si>
  <si>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</si>
  <si>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</si>
  <si>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</si>
  <si>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</si>
  <si>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</si>
  <si>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</si>
  <si>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</si>
  <si>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</si>
  <si>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</si>
  <si>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</si>
  <si>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</si>
  <si>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</si>
  <si>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</si>
  <si>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</si>
  <si>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</si>
  <si>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</si>
  <si>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</si>
  <si>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</si>
  <si>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</si>
  <si>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</si>
  <si>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</si>
  <si>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</si>
  <si>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</si>
  <si>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</si>
  <si>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</si>
  <si>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</si>
  <si>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</si>
  <si>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</si>
  <si>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</si>
  <si>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</si>
  <si>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</si>
  <si>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</si>
  <si>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</si>
  <si>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</si>
  <si>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</si>
  <si>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</si>
  <si>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</si>
  <si>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</si>
  <si>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</si>
  <si>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</si>
  <si>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</si>
  <si>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</si>
  <si>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</si>
  <si>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</si>
  <si>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</si>
  <si>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</si>
  <si>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</si>
  <si>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</si>
  <si>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</si>
  <si>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</si>
  <si>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</si>
  <si>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</si>
  <si>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</si>
  <si>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</si>
  <si>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</si>
  <si>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</si>
  <si>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</si>
  <si>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NC State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</si>
  <si>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</si>
  <si>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</si>
  <si>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</si>
  <si>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</si>
  <si>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North Carolina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</si>
  <si>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</si>
  <si>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</si>
  <si>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</si>
  <si>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</si>
  <si>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</si>
  <si>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Notre Dame</t>
    </r>
  </si>
  <si>
    <t>total PL/game</t>
  </si>
  <si>
    <t>total PL/minute</t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</si>
  <si>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</si>
  <si>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</si>
  <si>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</si>
  <si>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</si>
  <si>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</si>
  <si>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</si>
  <si>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</si>
  <si>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</si>
  <si>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</si>
  <si>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</si>
  <si>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</si>
  <si>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Louisville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</si>
  <si>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</si>
  <si>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Boston College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</si>
  <si>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</si>
  <si>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</si>
  <si>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</si>
  <si>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</si>
  <si>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</si>
  <si>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</si>
  <si>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</si>
  <si>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</si>
  <si>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</si>
  <si>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</si>
  <si>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</si>
  <si>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</si>
  <si>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</si>
  <si>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</si>
  <si>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</si>
  <si>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</si>
  <si>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Wake Forest</t>
    </r>
  </si>
  <si>
    <t>missing</t>
  </si>
  <si>
    <r>
      <rPr>
        <u/>
        <sz val="10"/>
        <color rgb="FF1155CC"/>
        <rFont val="Roboto, arial, sans-serif"/>
      </rPr>
      <t>Georgia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</si>
  <si>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</si>
  <si>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</si>
  <si>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</si>
  <si>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</si>
  <si>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</si>
  <si>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</si>
  <si>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Auburn</t>
    </r>
  </si>
  <si>
    <r>
      <rPr>
        <u/>
        <sz val="10"/>
        <color rgb="FF1155CC"/>
        <rFont val="Roboto, arial, sans-serif"/>
      </rPr>
      <t>Michigan St.</t>
    </r>
  </si>
  <si>
    <r>
      <rPr>
        <u/>
        <sz val="10"/>
        <color rgb="FF1155CC"/>
        <rFont val="Roboto, arial, sans-serif"/>
      </rPr>
      <t>Alabama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</si>
  <si>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</si>
  <si>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</si>
  <si>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</si>
  <si>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</si>
  <si>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Clemson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</si>
  <si>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</si>
  <si>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</si>
  <si>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</si>
  <si>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</si>
  <si>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</si>
  <si>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Syracuse</t>
    </r>
  </si>
  <si>
    <r>
      <rPr>
        <u/>
        <sz val="10"/>
        <color rgb="FF1155CC"/>
        <rFont val="Roboto, arial, sans-serif"/>
      </rPr>
      <t>Virginia</t>
    </r>
  </si>
  <si>
    <r>
      <rPr>
        <u/>
        <sz val="10"/>
        <color rgb="FF1155CC"/>
        <rFont val="Roboto, arial, sans-serif"/>
      </rPr>
      <t>Virginia Tech</t>
    </r>
  </si>
  <si>
    <r>
      <rPr>
        <u/>
        <sz val="10"/>
        <color rgb="FF1155CC"/>
        <rFont val="Roboto, arial, sans-serif"/>
      </rPr>
      <t>Miami (FL)</t>
    </r>
  </si>
  <si>
    <r>
      <rPr>
        <u/>
        <sz val="10"/>
        <color rgb="FF1155CC"/>
        <rFont val="Roboto, arial, sans-serif"/>
      </rPr>
      <t>Notre Dame</t>
    </r>
  </si>
  <si>
    <t>total  game</t>
  </si>
  <si>
    <t>total min</t>
  </si>
  <si>
    <t>avg /game</t>
  </si>
  <si>
    <t>avg /min</t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</si>
  <si>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</si>
  <si>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</si>
  <si>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</si>
  <si>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</si>
  <si>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</si>
  <si>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</si>
  <si>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Saint Mary's (CA)</t>
    </r>
  </si>
  <si>
    <r>
      <rPr>
        <u/>
        <sz val="10"/>
        <color rgb="FF1155CC"/>
        <rFont val="Roboto, arial, sans-serif"/>
      </rPr>
      <t>Idaho St.</t>
    </r>
  </si>
  <si>
    <r>
      <rPr>
        <u/>
        <sz val="10"/>
        <color rgb="FF1155CC"/>
        <rFont val="Roboto, arial, sans-serif"/>
      </rPr>
      <t>San Jose St.</t>
    </r>
  </si>
  <si>
    <r>
      <rPr>
        <u/>
        <sz val="10"/>
        <color rgb="FF1155CC"/>
        <rFont val="Roboto, arial, sans-serif"/>
      </rPr>
      <t>Gonzaga</t>
    </r>
  </si>
  <si>
    <r>
      <rPr>
        <u/>
        <sz val="10"/>
        <color rgb="FF1155CC"/>
        <rFont val="Roboto, arial, sans-serif"/>
      </rPr>
      <t>Grambling</t>
    </r>
  </si>
  <si>
    <r>
      <rPr>
        <u/>
        <sz val="10"/>
        <color rgb="FF1155CC"/>
        <rFont val="Roboto, arial, sans-serif"/>
      </rPr>
      <t>Arizona</t>
    </r>
  </si>
  <si>
    <r>
      <rPr>
        <u/>
        <sz val="10"/>
        <color rgb="FF1155CC"/>
        <rFont val="Roboto, arial, sans-serif"/>
      </rPr>
      <t>Pacific</t>
    </r>
  </si>
  <si>
    <r>
      <rPr>
        <u/>
        <sz val="10"/>
        <color rgb="FF1155CC"/>
        <rFont val="Roboto, arial, sans-serif"/>
      </rPr>
      <t>Stanford</t>
    </r>
  </si>
  <si>
    <r>
      <rPr>
        <u/>
        <sz val="10"/>
        <color rgb="FF1155CC"/>
        <rFont val="Roboto, arial, sans-serif"/>
      </rPr>
      <t>Fordham</t>
    </r>
  </si>
  <si>
    <r>
      <rPr>
        <u/>
        <sz val="10"/>
        <color rgb="FF1155CC"/>
        <rFont val="Roboto, arial, sans-serif"/>
      </rPr>
      <t>Temple</t>
    </r>
  </si>
  <si>
    <r>
      <rPr>
        <u/>
        <sz val="10"/>
        <color rgb="FF1155CC"/>
        <rFont val="Roboto, arial, sans-serif"/>
      </rPr>
      <t>SMU</t>
    </r>
  </si>
  <si>
    <r>
      <rPr>
        <u/>
        <sz val="10"/>
        <color rgb="FF1155CC"/>
        <rFont val="Roboto, arial, sans-serif"/>
      </rPr>
      <t>Florida St.</t>
    </r>
  </si>
  <si>
    <r>
      <rPr>
        <u/>
        <sz val="10"/>
        <color rgb="FF1155CC"/>
        <rFont val="Roboto, arial, sans-serif"/>
      </rPr>
      <t>Duke</t>
    </r>
  </si>
  <si>
    <r>
      <rPr>
        <u/>
        <sz val="10"/>
        <color rgb="FF1155CC"/>
        <rFont val="Roboto, arial, sans-serif"/>
      </rPr>
      <t>Wake Forest</t>
    </r>
  </si>
  <si>
    <r>
      <rPr>
        <u/>
        <sz val="10"/>
        <color rgb="FF1155CC"/>
        <rFont val="Roboto, arial, sans-serif"/>
      </rPr>
      <t>Notre Dame</t>
    </r>
  </si>
  <si>
    <r>
      <rPr>
        <u/>
        <sz val="10"/>
        <color rgb="FF1155CC"/>
        <rFont val="Roboto, arial, sans-serif"/>
      </rPr>
      <t>Georgia Tech</t>
    </r>
  </si>
  <si>
    <t>average duration</t>
  </si>
  <si>
    <t>player load per min</t>
  </si>
  <si>
    <t>high IMA/min</t>
  </si>
  <si>
    <t>pl3+/min</t>
  </si>
  <si>
    <t>mii pl interval 1</t>
  </si>
  <si>
    <t>mii pl interval 2</t>
  </si>
  <si>
    <t>mii pl interval 3</t>
  </si>
  <si>
    <t>total player load</t>
  </si>
  <si>
    <t>duration</t>
  </si>
  <si>
    <t>PL3+</t>
  </si>
  <si>
    <t>Naya Ojukwu</t>
  </si>
  <si>
    <t>Sakima Walker</t>
  </si>
  <si>
    <t>in the past week</t>
  </si>
  <si>
    <t>using avg pl/min</t>
  </si>
  <si>
    <t>using mii pl interval 1</t>
  </si>
  <si>
    <t>using PL/5min</t>
  </si>
  <si>
    <t>using PL3+/5min</t>
  </si>
  <si>
    <t>using highIMA/5min</t>
  </si>
  <si>
    <t>highest PL (prac)</t>
  </si>
  <si>
    <t>highest PL3+ (prac)</t>
  </si>
  <si>
    <t>highest highIMA (prac)</t>
  </si>
  <si>
    <t>40 min game</t>
  </si>
  <si>
    <t>avg pl/min</t>
  </si>
  <si>
    <t>claudia langarita</t>
  </si>
  <si>
    <t>naya ojukwu</t>
  </si>
  <si>
    <t>sakima walker</t>
  </si>
  <si>
    <t>recommended threshold based on practice</t>
  </si>
  <si>
    <t>in game PL (pred)</t>
  </si>
  <si>
    <t>in game PL (real)</t>
  </si>
  <si>
    <t>mins</t>
  </si>
  <si>
    <t>(based on PL3+)</t>
  </si>
  <si>
    <t>(based on highIMA)</t>
  </si>
  <si>
    <t>q1</t>
  </si>
  <si>
    <t>q2</t>
  </si>
  <si>
    <t>q3</t>
  </si>
  <si>
    <t>q4</t>
  </si>
  <si>
    <t>warmup</t>
  </si>
  <si>
    <t>q2 (cumm)</t>
  </si>
  <si>
    <t>q3 (cumm)</t>
  </si>
  <si>
    <t>q4 (cumm)</t>
  </si>
  <si>
    <t>scrimmage and game data</t>
  </si>
  <si>
    <t>PL Bands 3+</t>
  </si>
  <si>
    <t>PL Per Minute</t>
  </si>
  <si>
    <t>Aliyahna Morris</t>
  </si>
  <si>
    <t>Scrimmage vs SCU</t>
  </si>
  <si>
    <t>Game vs Westmont</t>
  </si>
  <si>
    <t>Vanderbilt</t>
  </si>
  <si>
    <t>Warmup</t>
  </si>
  <si>
    <t>Quarter 1</t>
  </si>
  <si>
    <t>Quarter 2</t>
  </si>
  <si>
    <t>Quarter 3</t>
  </si>
  <si>
    <t>Quarter 4</t>
  </si>
  <si>
    <t>Total</t>
  </si>
  <si>
    <t>game total</t>
  </si>
  <si>
    <t>Taylor Barnes</t>
  </si>
  <si>
    <t>Isis Johnson</t>
  </si>
  <si>
    <t>NA</t>
  </si>
  <si>
    <t>injured</t>
  </si>
  <si>
    <t>Grace McCallop</t>
  </si>
  <si>
    <t>Mjracle Sheppard</t>
  </si>
  <si>
    <t>espn total</t>
  </si>
  <si>
    <t>turnovers</t>
  </si>
  <si>
    <t>point differential</t>
  </si>
  <si>
    <t>fg made</t>
  </si>
  <si>
    <t>fg missed</t>
  </si>
  <si>
    <t>fg %</t>
  </si>
  <si>
    <t>fouls</t>
  </si>
  <si>
    <t>off rebounds</t>
  </si>
  <si>
    <t>def rebounds</t>
  </si>
  <si>
    <t>total rebounds</t>
  </si>
  <si>
    <t>off rebounds allowed</t>
  </si>
  <si>
    <t>barnes</t>
  </si>
  <si>
    <t>donez</t>
  </si>
  <si>
    <t>johnson</t>
  </si>
  <si>
    <t>twidale</t>
  </si>
  <si>
    <t>mccallop</t>
  </si>
  <si>
    <t>ojukwu</t>
  </si>
  <si>
    <t>time in</t>
  </si>
  <si>
    <t>time out</t>
  </si>
  <si>
    <t>total:</t>
  </si>
  <si>
    <t>maul</t>
  </si>
  <si>
    <t>langarita</t>
  </si>
  <si>
    <t>drosouni</t>
  </si>
  <si>
    <t>morris</t>
  </si>
  <si>
    <t>walker</t>
  </si>
  <si>
    <t>bowes</t>
  </si>
  <si>
    <t>half total</t>
  </si>
  <si>
    <t>pre fourth total</t>
  </si>
  <si>
    <t>sheppard</t>
  </si>
  <si>
    <t>high PL</t>
  </si>
  <si>
    <t>threshold %</t>
  </si>
  <si>
    <t>mjracle</t>
  </si>
  <si>
    <t>TOTALS</t>
  </si>
  <si>
    <t>quarter</t>
  </si>
  <si>
    <t>tPL %</t>
  </si>
  <si>
    <t>hPL %</t>
  </si>
  <si>
    <t>tPL threshold%</t>
  </si>
  <si>
    <t>hPL threshold%</t>
  </si>
  <si>
    <t>- take box score stats and assign points to them
- impact metric high impact means getting 8 points but as soon as u go beyond threshold your value goes down to one point
- offensive rating takes number of points that are produced plus assists/ possessions multiple by 100</t>
  </si>
  <si>
    <t>Column 9</t>
  </si>
  <si>
    <t>Column 7</t>
  </si>
  <si>
    <t>Column 8</t>
  </si>
  <si>
    <t>Column 11</t>
  </si>
  <si>
    <t>Column 12</t>
  </si>
  <si>
    <t>total pl</t>
  </si>
  <si>
    <t>quad 4 highs</t>
  </si>
  <si>
    <t>equal split</t>
  </si>
  <si>
    <t>q1/q4</t>
  </si>
  <si>
    <t>q2/q3</t>
  </si>
  <si>
    <t>mjr</t>
  </si>
  <si>
    <t>high</t>
  </si>
  <si>
    <t>game averages</t>
  </si>
  <si>
    <t>lanagarita</t>
  </si>
  <si>
    <t>wo</t>
  </si>
  <si>
    <t>redacted 1</t>
  </si>
  <si>
    <t>redacted 2</t>
  </si>
  <si>
    <t>redacted 3</t>
  </si>
  <si>
    <t>redacted 4</t>
  </si>
  <si>
    <t>redacted 5</t>
  </si>
  <si>
    <t>redacted 6</t>
  </si>
  <si>
    <t>redacted 7</t>
  </si>
  <si>
    <t>redacted 8</t>
  </si>
  <si>
    <t>redacted 9</t>
  </si>
  <si>
    <t>redacted 10</t>
  </si>
  <si>
    <t>redacted 11</t>
  </si>
  <si>
    <t>redacted 12</t>
  </si>
  <si>
    <t>redacted 13</t>
  </si>
  <si>
    <t>#</t>
  </si>
  <si>
    <t>Player</t>
  </si>
  <si>
    <t>PTS</t>
  </si>
  <si>
    <t>FG</t>
  </si>
  <si>
    <t>3FG</t>
  </si>
  <si>
    <t>FT</t>
  </si>
  <si>
    <t>OR</t>
  </si>
  <si>
    <t>DR</t>
  </si>
  <si>
    <t>REB</t>
  </si>
  <si>
    <t>A</t>
  </si>
  <si>
    <t>PF</t>
  </si>
  <si>
    <t>TO</t>
  </si>
  <si>
    <t>BL</t>
  </si>
  <si>
    <t>ST</t>
  </si>
  <si>
    <t>MIN</t>
  </si>
  <si>
    <t>+/-</t>
  </si>
  <si>
    <t>fg attempted</t>
  </si>
  <si>
    <t>ft made</t>
  </si>
  <si>
    <t>ft attempted</t>
  </si>
  <si>
    <t>ft missed</t>
  </si>
  <si>
    <t>PER by min</t>
  </si>
  <si>
    <t>3fg made</t>
  </si>
  <si>
    <t>3fg attempted</t>
  </si>
  <si>
    <t>3fg missed</t>
  </si>
  <si>
    <t>SHEPPARD,M</t>
  </si>
  <si>
    <t>0-0</t>
  </si>
  <si>
    <t>BARNES,T</t>
  </si>
  <si>
    <t>TWIDALE,L</t>
  </si>
  <si>
    <t>0-4</t>
  </si>
  <si>
    <t>0-2</t>
  </si>
  <si>
    <t>MORRIS,A</t>
  </si>
  <si>
    <t>WALKER,S</t>
  </si>
  <si>
    <t>DONEZ,L</t>
  </si>
  <si>
    <t>OJUKWU,N</t>
  </si>
  <si>
    <t>MCCALLOP,G</t>
  </si>
  <si>
    <t>MAUL,G</t>
  </si>
  <si>
    <t>LANGARITA,C</t>
  </si>
  <si>
    <t>0-1</t>
  </si>
  <si>
    <t>0-3</t>
  </si>
  <si>
    <t>uw PER/quarter</t>
  </si>
  <si>
    <t>1*</t>
  </si>
  <si>
    <t>3*</t>
  </si>
  <si>
    <t>10*</t>
  </si>
  <si>
    <t>25*</t>
  </si>
  <si>
    <t>35*</t>
  </si>
  <si>
    <t>JOHNSON,I</t>
  </si>
  <si>
    <t>5*</t>
  </si>
  <si>
    <t>DROSOUNI,A</t>
  </si>
  <si>
    <t>Quarter</t>
  </si>
  <si>
    <t>Play Type</t>
  </si>
  <si>
    <t>Westmont</t>
  </si>
  <si>
    <t>Sac State</t>
  </si>
  <si>
    <t>Charlotte</t>
  </si>
  <si>
    <t>Harvard</t>
  </si>
  <si>
    <t>SMC</t>
  </si>
  <si>
    <t>GCU</t>
  </si>
  <si>
    <t>Missouri</t>
  </si>
  <si>
    <t>game</t>
  </si>
  <si>
    <t xml:space="preserve"> </t>
  </si>
  <si>
    <t>minutes played</t>
  </si>
  <si>
    <t>Game vs Charlotte</t>
  </si>
  <si>
    <t>Game vs Harvard</t>
  </si>
  <si>
    <t>Game vs Saint Mary's</t>
  </si>
  <si>
    <t>point diff</t>
  </si>
  <si>
    <t>westmont</t>
  </si>
  <si>
    <t>vanderbilt</t>
  </si>
  <si>
    <t>sac state</t>
  </si>
  <si>
    <t>charlotte</t>
  </si>
  <si>
    <t>harvard</t>
  </si>
  <si>
    <t>smc</t>
  </si>
  <si>
    <t>gcu</t>
  </si>
  <si>
    <t>missouri</t>
  </si>
  <si>
    <t>#ERROR!</t>
  </si>
  <si>
    <t>quarter 1</t>
  </si>
  <si>
    <t>quarter 2</t>
  </si>
  <si>
    <t>quarter 3</t>
  </si>
  <si>
    <t>quarter 4</t>
  </si>
  <si>
    <t>game totals</t>
  </si>
  <si>
    <t>Last Season Player Role Baselines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</si>
</sst>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mm/dd/yyyy"/>
    <numFmt numFmtId="166" formatCode="m/d/yyyy"/>
    <numFmt numFmtId="167" formatCode="m\-d"/>
    <numFmt numFmtId="168" formatCode="mm/dd/yy"/>
  </numFmts>
  <fonts count="4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Inherit"/>
    </font>
    <font>
      <b/>
      <sz val="10"/>
      <color rgb="FF4D4D4D"/>
      <name val="Inherit"/>
    </font>
    <font>
      <sz val="10"/>
      <color rgb="FF4D4D4D"/>
      <name val="&quot;Segoe UI&quot;"/>
    </font>
    <font>
      <sz val="10"/>
      <color rgb="FF4D4D4D"/>
      <name val="Segoe UI"/>
    </font>
    <font>
      <sz val="8"/>
      <color theme="1"/>
      <name val="Roboto"/>
    </font>
    <font>
      <sz val="8"/>
      <color rgb="FF494949"/>
      <name val="Roboto"/>
    </font>
    <font>
      <sz val="10"/>
      <color rgb="FF4D4D4D"/>
      <name val="Arial"/>
      <family val="2"/>
    </font>
    <font>
      <sz val="10"/>
      <color theme="1"/>
      <name val="Roboto"/>
    </font>
    <font>
      <u/>
      <sz val="10"/>
      <color rgb="FF0000FF"/>
      <name val="Roboto"/>
    </font>
    <font>
      <u/>
      <sz val="10"/>
      <color rgb="FF1155CC"/>
      <name val="Roboto"/>
    </font>
    <font>
      <b/>
      <strike/>
      <sz val="10"/>
      <color rgb="FF4D4D4D"/>
      <name val="Inherit"/>
    </font>
    <font>
      <strike/>
      <sz val="10"/>
      <color rgb="FF4D4D4D"/>
      <name val="&quot;Segoe UI&quot;"/>
    </font>
    <font>
      <strike/>
      <sz val="10"/>
      <color theme="1"/>
      <name val="Arial"/>
      <family val="2"/>
      <scheme val="minor"/>
    </font>
    <font>
      <sz val="10"/>
      <color rgb="FFCE4501"/>
      <name val="Arial"/>
      <family val="2"/>
    </font>
    <font>
      <b/>
      <sz val="15"/>
      <color rgb="FF4D4D4D"/>
      <name val="Inherit"/>
    </font>
    <font>
      <u/>
      <sz val="10"/>
      <color rgb="FF4D4D4D"/>
      <name val="&quot;Segoe UI&quot;"/>
    </font>
    <font>
      <u/>
      <sz val="10"/>
      <color rgb="FF4D4D4D"/>
      <name val="&quot;Segoe UI&quot;"/>
    </font>
    <font>
      <b/>
      <sz val="10"/>
      <color rgb="FF4D4D4D"/>
      <name val="Inherit"/>
    </font>
    <font>
      <b/>
      <u/>
      <sz val="10"/>
      <color rgb="FF4D4D4D"/>
      <name val="Inherit"/>
    </font>
    <font>
      <u/>
      <sz val="10"/>
      <color rgb="FF4D4D4D"/>
      <name val="&quot;Segoe UI&quot;"/>
    </font>
    <font>
      <b/>
      <u/>
      <sz val="10"/>
      <color rgb="FF4D4D4D"/>
      <name val="Inherit"/>
    </font>
    <font>
      <u/>
      <sz val="10"/>
      <color rgb="FF4D4D4D"/>
      <name val="&quot;Segoe UI&quot;"/>
    </font>
    <font>
      <b/>
      <u/>
      <sz val="10"/>
      <color rgb="FF4D4D4D"/>
      <name val="Inherit"/>
    </font>
    <font>
      <b/>
      <u/>
      <sz val="10"/>
      <color rgb="FF4D4D4D"/>
      <name val="Inherit"/>
    </font>
    <font>
      <u/>
      <sz val="10"/>
      <color rgb="FFCE4501"/>
      <name val="&quot;Segoe UI&quot;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-apple-system"/>
    </font>
    <font>
      <sz val="10"/>
      <color rgb="FF212529"/>
      <name val="Arial"/>
      <family val="2"/>
    </font>
    <font>
      <sz val="10"/>
      <color rgb="FF212529"/>
      <name val="-apple-system"/>
    </font>
    <font>
      <sz val="13"/>
      <color rgb="FF212529"/>
      <name val="-apple-system"/>
    </font>
    <font>
      <sz val="13"/>
      <color theme="1"/>
      <name val="-apple-system"/>
    </font>
    <font>
      <sz val="11"/>
      <color rgb="FF000000"/>
      <name val="-apple-system"/>
    </font>
    <font>
      <sz val="14"/>
      <color rgb="FF212529"/>
      <name val="-apple-system"/>
    </font>
    <font>
      <sz val="14"/>
      <color theme="1"/>
      <name val="-apple-system"/>
    </font>
    <font>
      <sz val="10"/>
      <color rgb="FF4D4D4D"/>
      <name val="Inherit"/>
    </font>
    <font>
      <b/>
      <sz val="10"/>
      <color rgb="FF4D4D4D"/>
      <name val="Arial"/>
      <family val="2"/>
    </font>
    <font>
      <u/>
      <sz val="10"/>
      <color rgb="FF1155CC"/>
      <name val="Roboto, arial, sans-serif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FBFF"/>
        <bgColor rgb="FFEFFBFF"/>
      </patternFill>
    </fill>
    <fill>
      <patternFill patternType="solid">
        <fgColor rgb="FFF2F2F2"/>
        <bgColor rgb="FFF2F2F2"/>
      </patternFill>
    </fill>
    <fill>
      <patternFill patternType="solid">
        <fgColor rgb="FFE5E5E5"/>
        <bgColor rgb="FFE5E5E5"/>
      </patternFill>
    </fill>
    <fill>
      <patternFill patternType="solid">
        <fgColor rgb="FFF4CCCC"/>
        <bgColor rgb="FFF4CCCC"/>
      </patternFill>
    </fill>
    <fill>
      <patternFill patternType="solid">
        <fgColor rgb="FF00FF11"/>
        <bgColor rgb="FF00FF11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5FAFF"/>
        <bgColor rgb="FFF5FAFF"/>
      </patternFill>
    </fill>
    <fill>
      <patternFill patternType="solid">
        <fgColor rgb="FFCCCCCC"/>
        <bgColor rgb="FFCCCCCC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DEE2E6"/>
      </bottom>
      <diagonal/>
    </border>
    <border>
      <left/>
      <right/>
      <top style="thin">
        <color rgb="FFDEE2E6"/>
      </top>
      <bottom/>
      <diagonal/>
    </border>
    <border>
      <left/>
      <right style="thin">
        <color rgb="FF000000"/>
      </right>
      <top style="thin">
        <color rgb="FFDEE2E6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2" borderId="5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164" fontId="1" fillId="2" borderId="6" xfId="0" applyNumberFormat="1" applyFont="1" applyFill="1" applyBorder="1"/>
    <xf numFmtId="164" fontId="1" fillId="2" borderId="7" xfId="0" applyNumberFormat="1" applyFont="1" applyFill="1" applyBorder="1"/>
    <xf numFmtId="164" fontId="1" fillId="3" borderId="4" xfId="0" applyNumberFormat="1" applyFont="1" applyFill="1" applyBorder="1"/>
    <xf numFmtId="164" fontId="1" fillId="4" borderId="4" xfId="0" applyNumberFormat="1" applyFont="1" applyFill="1" applyBorder="1"/>
    <xf numFmtId="0" fontId="1" fillId="0" borderId="7" xfId="0" applyFont="1" applyBorder="1"/>
    <xf numFmtId="164" fontId="1" fillId="3" borderId="7" xfId="0" applyNumberFormat="1" applyFont="1" applyFill="1" applyBorder="1"/>
    <xf numFmtId="164" fontId="1" fillId="4" borderId="7" xfId="0" applyNumberFormat="1" applyFont="1" applyFill="1" applyBorder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164" fontId="1" fillId="3" borderId="9" xfId="0" applyNumberFormat="1" applyFont="1" applyFill="1" applyBorder="1"/>
    <xf numFmtId="164" fontId="1" fillId="4" borderId="9" xfId="0" applyNumberFormat="1" applyFont="1" applyFill="1" applyBorder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5" borderId="14" xfId="0" applyFont="1" applyFill="1" applyBorder="1"/>
    <xf numFmtId="164" fontId="1" fillId="5" borderId="15" xfId="0" applyNumberFormat="1" applyFont="1" applyFill="1" applyBorder="1" applyAlignment="1">
      <alignment horizontal="center"/>
    </xf>
    <xf numFmtId="0" fontId="1" fillId="5" borderId="15" xfId="0" applyFont="1" applyFill="1" applyBorder="1"/>
    <xf numFmtId="0" fontId="1" fillId="5" borderId="16" xfId="0" applyFont="1" applyFill="1" applyBorder="1"/>
    <xf numFmtId="0" fontId="1" fillId="5" borderId="0" xfId="0" applyFont="1" applyFill="1"/>
    <xf numFmtId="0" fontId="1" fillId="0" borderId="14" xfId="0" applyFont="1" applyBorder="1"/>
    <xf numFmtId="164" fontId="1" fillId="0" borderId="15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164" fontId="1" fillId="0" borderId="15" xfId="0" applyNumberFormat="1" applyFont="1" applyBorder="1"/>
    <xf numFmtId="0" fontId="3" fillId="6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4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0" fontId="5" fillId="8" borderId="0" xfId="0" applyFont="1" applyFill="1" applyAlignment="1">
      <alignment horizontal="center"/>
    </xf>
    <xf numFmtId="4" fontId="1" fillId="0" borderId="0" xfId="0" applyNumberFormat="1" applyFont="1"/>
    <xf numFmtId="10" fontId="1" fillId="0" borderId="0" xfId="0" applyNumberFormat="1" applyFont="1"/>
    <xf numFmtId="0" fontId="7" fillId="0" borderId="0" xfId="0" applyFont="1" applyAlignment="1">
      <alignment vertical="top"/>
    </xf>
    <xf numFmtId="4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3" fontId="8" fillId="0" borderId="0" xfId="0" applyNumberFormat="1" applyFont="1" applyAlignment="1">
      <alignment vertical="top" wrapText="1"/>
    </xf>
    <xf numFmtId="167" fontId="8" fillId="0" borderId="0" xfId="0" applyNumberFormat="1" applyFont="1" applyAlignment="1">
      <alignment vertical="top" wrapText="1"/>
    </xf>
    <xf numFmtId="4" fontId="5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right" wrapText="1"/>
    </xf>
    <xf numFmtId="4" fontId="8" fillId="9" borderId="0" xfId="0" applyNumberFormat="1" applyFont="1" applyFill="1" applyAlignment="1">
      <alignment vertical="top" wrapText="1"/>
    </xf>
    <xf numFmtId="0" fontId="8" fillId="9" borderId="0" xfId="0" applyFont="1" applyFill="1" applyAlignment="1">
      <alignment vertical="top"/>
    </xf>
    <xf numFmtId="0" fontId="8" fillId="9" borderId="0" xfId="0" applyFont="1" applyFill="1" applyAlignment="1">
      <alignment vertical="top" wrapText="1"/>
    </xf>
    <xf numFmtId="167" fontId="8" fillId="9" borderId="0" xfId="0" applyNumberFormat="1" applyFont="1" applyFill="1" applyAlignment="1">
      <alignment vertical="top" wrapText="1"/>
    </xf>
    <xf numFmtId="168" fontId="8" fillId="0" borderId="0" xfId="0" applyNumberFormat="1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horizontal="center"/>
    </xf>
    <xf numFmtId="168" fontId="8" fillId="9" borderId="0" xfId="0" applyNumberFormat="1" applyFont="1" applyFill="1" applyAlignment="1">
      <alignment vertical="top" wrapText="1"/>
    </xf>
    <xf numFmtId="0" fontId="8" fillId="0" borderId="0" xfId="0" applyFont="1" applyAlignment="1">
      <alignment horizontal="right" vertical="top" wrapText="1"/>
    </xf>
    <xf numFmtId="168" fontId="8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vertical="top" wrapText="1"/>
    </xf>
    <xf numFmtId="14" fontId="8" fillId="0" borderId="0" xfId="0" applyNumberFormat="1" applyFont="1" applyAlignment="1">
      <alignment horizontal="right" vertical="top" wrapText="1"/>
    </xf>
    <xf numFmtId="21" fontId="5" fillId="0" borderId="0" xfId="0" applyNumberFormat="1" applyFont="1" applyAlignment="1">
      <alignment horizontal="center"/>
    </xf>
    <xf numFmtId="14" fontId="1" fillId="0" borderId="0" xfId="0" applyNumberFormat="1" applyFo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21" fontId="14" fillId="0" borderId="0" xfId="0" applyNumberFormat="1" applyFont="1" applyAlignment="1">
      <alignment horizontal="center"/>
    </xf>
    <xf numFmtId="14" fontId="8" fillId="9" borderId="0" xfId="0" applyNumberFormat="1" applyFont="1" applyFill="1" applyAlignment="1">
      <alignment vertical="top" wrapText="1"/>
    </xf>
    <xf numFmtId="0" fontId="9" fillId="7" borderId="0" xfId="0" applyFont="1" applyFill="1" applyAlignment="1">
      <alignment horizontal="left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4" fillId="0" borderId="17" xfId="0" applyFont="1" applyBorder="1" applyAlignment="1">
      <alignment horizontal="right"/>
    </xf>
    <xf numFmtId="165" fontId="5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17" xfId="0" applyFont="1" applyBorder="1"/>
    <xf numFmtId="0" fontId="5" fillId="11" borderId="17" xfId="0" applyFont="1" applyFill="1" applyBorder="1" applyAlignment="1">
      <alignment horizontal="center"/>
    </xf>
    <xf numFmtId="0" fontId="1" fillId="0" borderId="18" xfId="0" applyFont="1" applyBorder="1"/>
    <xf numFmtId="0" fontId="1" fillId="0" borderId="21" xfId="0" applyFont="1" applyBorder="1"/>
    <xf numFmtId="0" fontId="1" fillId="13" borderId="0" xfId="0" applyFont="1" applyFill="1"/>
    <xf numFmtId="0" fontId="1" fillId="0" borderId="15" xfId="0" applyFont="1" applyBorder="1" applyAlignment="1">
      <alignment horizontal="right"/>
    </xf>
    <xf numFmtId="0" fontId="1" fillId="10" borderId="0" xfId="0" applyFont="1" applyFill="1"/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3" fillId="0" borderId="17" xfId="0" applyFont="1" applyBorder="1" applyAlignment="1">
      <alignment horizontal="right"/>
    </xf>
    <xf numFmtId="165" fontId="14" fillId="0" borderId="17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5" fillId="0" borderId="0" xfId="0" applyFont="1"/>
    <xf numFmtId="166" fontId="4" fillId="0" borderId="0" xfId="0" applyNumberFormat="1" applyFont="1" applyAlignment="1">
      <alignment horizontal="right"/>
    </xf>
    <xf numFmtId="0" fontId="4" fillId="0" borderId="22" xfId="0" applyFont="1" applyBorder="1" applyAlignment="1">
      <alignment horizontal="center"/>
    </xf>
    <xf numFmtId="0" fontId="17" fillId="7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5" fillId="14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" fillId="15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left"/>
    </xf>
    <xf numFmtId="0" fontId="21" fillId="7" borderId="0" xfId="0" applyFont="1" applyFill="1" applyAlignment="1">
      <alignment horizontal="left"/>
    </xf>
    <xf numFmtId="0" fontId="22" fillId="7" borderId="0" xfId="0" applyFont="1" applyFill="1" applyAlignment="1">
      <alignment horizontal="left"/>
    </xf>
    <xf numFmtId="0" fontId="23" fillId="14" borderId="0" xfId="0" applyFont="1" applyFill="1" applyAlignment="1">
      <alignment horizontal="left"/>
    </xf>
    <xf numFmtId="0" fontId="24" fillId="14" borderId="0" xfId="0" applyFont="1" applyFill="1" applyAlignment="1">
      <alignment horizontal="left"/>
    </xf>
    <xf numFmtId="0" fontId="25" fillId="0" borderId="0" xfId="0" applyFont="1" applyAlignment="1">
      <alignment horizontal="right"/>
    </xf>
    <xf numFmtId="0" fontId="26" fillId="8" borderId="0" xfId="0" applyFont="1" applyFill="1" applyAlignment="1">
      <alignment horizontal="right"/>
    </xf>
    <xf numFmtId="0" fontId="27" fillId="6" borderId="0" xfId="0" applyFont="1" applyFill="1"/>
    <xf numFmtId="0" fontId="1" fillId="0" borderId="26" xfId="0" applyFont="1" applyBorder="1"/>
    <xf numFmtId="0" fontId="1" fillId="0" borderId="6" xfId="0" applyFont="1" applyBorder="1"/>
    <xf numFmtId="19" fontId="1" fillId="0" borderId="26" xfId="0" applyNumberFormat="1" applyFont="1" applyBorder="1"/>
    <xf numFmtId="19" fontId="1" fillId="0" borderId="0" xfId="0" applyNumberFormat="1" applyFont="1"/>
    <xf numFmtId="19" fontId="1" fillId="0" borderId="6" xfId="0" applyNumberFormat="1" applyFont="1" applyBorder="1"/>
    <xf numFmtId="0" fontId="1" fillId="0" borderId="27" xfId="0" applyFont="1" applyBorder="1"/>
    <xf numFmtId="46" fontId="28" fillId="0" borderId="28" xfId="0" applyNumberFormat="1" applyFont="1" applyBorder="1"/>
    <xf numFmtId="0" fontId="1" fillId="0" borderId="28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8" fillId="0" borderId="29" xfId="0" applyFont="1" applyBorder="1" applyAlignment="1">
      <alignment horizontal="center"/>
    </xf>
    <xf numFmtId="21" fontId="1" fillId="0" borderId="16" xfId="0" applyNumberFormat="1" applyFont="1" applyBorder="1"/>
    <xf numFmtId="46" fontId="1" fillId="0" borderId="16" xfId="0" applyNumberFormat="1" applyFont="1" applyBorder="1"/>
    <xf numFmtId="46" fontId="1" fillId="0" borderId="14" xfId="0" applyNumberFormat="1" applyFont="1" applyBorder="1"/>
    <xf numFmtId="46" fontId="1" fillId="0" borderId="0" xfId="0" applyNumberFormat="1" applyFont="1"/>
    <xf numFmtId="46" fontId="1" fillId="0" borderId="6" xfId="0" applyNumberFormat="1" applyFont="1" applyBorder="1"/>
    <xf numFmtId="46" fontId="1" fillId="0" borderId="17" xfId="0" applyNumberFormat="1" applyFont="1" applyBorder="1"/>
    <xf numFmtId="46" fontId="1" fillId="0" borderId="30" xfId="0" applyNumberFormat="1" applyFont="1" applyBorder="1"/>
    <xf numFmtId="46" fontId="1" fillId="0" borderId="29" xfId="0" applyNumberFormat="1" applyFont="1" applyBorder="1"/>
    <xf numFmtId="46" fontId="1" fillId="0" borderId="31" xfId="0" applyNumberFormat="1" applyFont="1" applyBorder="1"/>
    <xf numFmtId="0" fontId="1" fillId="0" borderId="32" xfId="0" applyFont="1" applyBorder="1"/>
    <xf numFmtId="46" fontId="28" fillId="0" borderId="33" xfId="0" applyNumberFormat="1" applyFont="1" applyBorder="1"/>
    <xf numFmtId="46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0" fontId="28" fillId="0" borderId="17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46" fontId="1" fillId="0" borderId="34" xfId="0" applyNumberFormat="1" applyFont="1" applyBorder="1"/>
    <xf numFmtId="21" fontId="1" fillId="0" borderId="15" xfId="0" applyNumberFormat="1" applyFont="1" applyBorder="1"/>
    <xf numFmtId="46" fontId="1" fillId="0" borderId="15" xfId="0" applyNumberFormat="1" applyFont="1" applyBorder="1"/>
    <xf numFmtId="46" fontId="1" fillId="0" borderId="12" xfId="0" applyNumberFormat="1" applyFont="1" applyBorder="1"/>
    <xf numFmtId="46" fontId="1" fillId="0" borderId="11" xfId="0" applyNumberFormat="1" applyFont="1" applyBorder="1"/>
    <xf numFmtId="20" fontId="1" fillId="0" borderId="29" xfId="0" applyNumberFormat="1" applyFont="1" applyBorder="1"/>
    <xf numFmtId="46" fontId="30" fillId="0" borderId="16" xfId="0" applyNumberFormat="1" applyFont="1" applyBorder="1" applyAlignment="1">
      <alignment horizontal="right"/>
    </xf>
    <xf numFmtId="0" fontId="29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vertical="center"/>
    </xf>
    <xf numFmtId="46" fontId="29" fillId="0" borderId="0" xfId="0" applyNumberFormat="1" applyFont="1" applyAlignment="1">
      <alignment vertical="center"/>
    </xf>
    <xf numFmtId="0" fontId="28" fillId="2" borderId="29" xfId="0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46" fontId="30" fillId="0" borderId="15" xfId="0" applyNumberFormat="1" applyFont="1" applyBorder="1" applyAlignment="1">
      <alignment horizontal="right"/>
    </xf>
    <xf numFmtId="46" fontId="30" fillId="0" borderId="11" xfId="0" applyNumberFormat="1" applyFont="1" applyBorder="1" applyAlignment="1">
      <alignment horizontal="right"/>
    </xf>
    <xf numFmtId="0" fontId="30" fillId="0" borderId="0" xfId="0" applyFont="1" applyAlignment="1">
      <alignment horizontal="right"/>
    </xf>
    <xf numFmtId="10" fontId="1" fillId="3" borderId="0" xfId="0" applyNumberFormat="1" applyFont="1" applyFill="1"/>
    <xf numFmtId="46" fontId="29" fillId="0" borderId="16" xfId="0" applyNumberFormat="1" applyFont="1" applyBorder="1"/>
    <xf numFmtId="46" fontId="29" fillId="0" borderId="0" xfId="0" applyNumberFormat="1" applyFont="1"/>
    <xf numFmtId="46" fontId="29" fillId="0" borderId="29" xfId="0" applyNumberFormat="1" applyFont="1" applyBorder="1"/>
    <xf numFmtId="46" fontId="29" fillId="0" borderId="34" xfId="0" applyNumberFormat="1" applyFont="1" applyBorder="1"/>
    <xf numFmtId="46" fontId="29" fillId="0" borderId="15" xfId="0" applyNumberFormat="1" applyFont="1" applyBorder="1"/>
    <xf numFmtId="46" fontId="29" fillId="0" borderId="12" xfId="0" applyNumberFormat="1" applyFont="1" applyBorder="1"/>
    <xf numFmtId="46" fontId="29" fillId="0" borderId="11" xfId="0" applyNumberFormat="1" applyFont="1" applyBorder="1"/>
    <xf numFmtId="46" fontId="1" fillId="0" borderId="7" xfId="0" applyNumberFormat="1" applyFont="1" applyBorder="1"/>
    <xf numFmtId="0" fontId="29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46" fontId="1" fillId="0" borderId="24" xfId="0" applyNumberFormat="1" applyFont="1" applyBorder="1" applyAlignment="1">
      <alignment vertical="center"/>
    </xf>
    <xf numFmtId="10" fontId="1" fillId="0" borderId="24" xfId="0" applyNumberFormat="1" applyFont="1" applyBorder="1" applyAlignment="1">
      <alignment vertical="center"/>
    </xf>
    <xf numFmtId="0" fontId="29" fillId="0" borderId="16" xfId="0" applyFont="1" applyBorder="1"/>
    <xf numFmtId="20" fontId="29" fillId="0" borderId="16" xfId="0" applyNumberFormat="1" applyFont="1" applyBorder="1"/>
    <xf numFmtId="0" fontId="1" fillId="15" borderId="0" xfId="0" applyFont="1" applyFill="1" applyAlignment="1">
      <alignment vertical="center"/>
    </xf>
    <xf numFmtId="46" fontId="1" fillId="15" borderId="0" xfId="0" applyNumberFormat="1" applyFont="1" applyFill="1" applyAlignment="1">
      <alignment vertical="center"/>
    </xf>
    <xf numFmtId="0" fontId="1" fillId="15" borderId="0" xfId="0" applyFont="1" applyFill="1"/>
    <xf numFmtId="0" fontId="29" fillId="0" borderId="0" xfId="0" applyFont="1"/>
    <xf numFmtId="0" fontId="31" fillId="0" borderId="0" xfId="0" applyFont="1"/>
    <xf numFmtId="0" fontId="32" fillId="0" borderId="35" xfId="0" applyFont="1" applyBorder="1"/>
    <xf numFmtId="0" fontId="32" fillId="0" borderId="14" xfId="0" applyFont="1" applyBorder="1"/>
    <xf numFmtId="0" fontId="32" fillId="0" borderId="0" xfId="0" applyFont="1"/>
    <xf numFmtId="0" fontId="31" fillId="0" borderId="0" xfId="0" quotePrefix="1" applyFont="1"/>
    <xf numFmtId="0" fontId="33" fillId="0" borderId="36" xfId="0" applyFont="1" applyBorder="1" applyAlignment="1">
      <alignment vertical="top"/>
    </xf>
    <xf numFmtId="0" fontId="33" fillId="0" borderId="0" xfId="0" applyFont="1" applyAlignment="1">
      <alignment horizontal="right" vertical="top"/>
    </xf>
    <xf numFmtId="0" fontId="34" fillId="0" borderId="36" xfId="0" applyFont="1" applyBorder="1" applyAlignment="1">
      <alignment vertical="top"/>
    </xf>
    <xf numFmtId="167" fontId="33" fillId="0" borderId="36" xfId="0" applyNumberFormat="1" applyFont="1" applyBorder="1" applyAlignment="1">
      <alignment horizontal="right" vertical="top"/>
    </xf>
    <xf numFmtId="0" fontId="34" fillId="0" borderId="36" xfId="0" applyFont="1" applyBorder="1" applyAlignment="1">
      <alignment horizontal="right" vertical="top"/>
    </xf>
    <xf numFmtId="0" fontId="34" fillId="6" borderId="0" xfId="0" applyFont="1" applyFill="1" applyAlignment="1">
      <alignment horizontal="right"/>
    </xf>
    <xf numFmtId="0" fontId="34" fillId="6" borderId="0" xfId="0" applyFont="1" applyFill="1"/>
    <xf numFmtId="0" fontId="35" fillId="0" borderId="36" xfId="0" applyFont="1" applyBorder="1" applyAlignment="1">
      <alignment vertical="top"/>
    </xf>
    <xf numFmtId="0" fontId="35" fillId="0" borderId="37" xfId="0" applyFont="1" applyBorder="1" applyAlignment="1">
      <alignment vertical="top"/>
    </xf>
    <xf numFmtId="167" fontId="35" fillId="0" borderId="36" xfId="0" applyNumberFormat="1" applyFont="1" applyBorder="1" applyAlignment="1">
      <alignment vertical="top"/>
    </xf>
    <xf numFmtId="167" fontId="35" fillId="0" borderId="37" xfId="0" applyNumberFormat="1" applyFont="1" applyBorder="1" applyAlignment="1">
      <alignment vertical="top"/>
    </xf>
    <xf numFmtId="0" fontId="36" fillId="0" borderId="0" xfId="0" applyFont="1" applyAlignment="1">
      <alignment vertical="top"/>
    </xf>
    <xf numFmtId="0" fontId="36" fillId="0" borderId="14" xfId="0" applyFont="1" applyBorder="1" applyAlignment="1">
      <alignment vertical="top"/>
    </xf>
    <xf numFmtId="167" fontId="36" fillId="0" borderId="0" xfId="0" applyNumberFormat="1" applyFont="1" applyAlignment="1">
      <alignment vertical="top"/>
    </xf>
    <xf numFmtId="0" fontId="37" fillId="0" borderId="35" xfId="0" applyFont="1" applyBorder="1"/>
    <xf numFmtId="0" fontId="37" fillId="0" borderId="14" xfId="0" applyFont="1" applyBorder="1"/>
    <xf numFmtId="0" fontId="37" fillId="0" borderId="0" xfId="0" applyFont="1"/>
    <xf numFmtId="0" fontId="38" fillId="0" borderId="36" xfId="0" applyFont="1" applyBorder="1" applyAlignment="1">
      <alignment vertical="top"/>
    </xf>
    <xf numFmtId="0" fontId="38" fillId="0" borderId="37" xfId="0" applyFont="1" applyBorder="1" applyAlignment="1">
      <alignment vertical="top"/>
    </xf>
    <xf numFmtId="167" fontId="38" fillId="0" borderId="36" xfId="0" applyNumberFormat="1" applyFont="1" applyBorder="1" applyAlignment="1">
      <alignment vertical="top"/>
    </xf>
    <xf numFmtId="167" fontId="38" fillId="0" borderId="37" xfId="0" applyNumberFormat="1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14" xfId="0" applyFont="1" applyBorder="1" applyAlignment="1">
      <alignment vertical="top"/>
    </xf>
    <xf numFmtId="0" fontId="40" fillId="0" borderId="0" xfId="0" applyFont="1" applyAlignment="1">
      <alignment horizontal="right"/>
    </xf>
    <xf numFmtId="0" fontId="40" fillId="0" borderId="22" xfId="0" applyFont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40" fillId="14" borderId="0" xfId="0" applyFont="1" applyFill="1" applyAlignment="1">
      <alignment horizontal="left"/>
    </xf>
    <xf numFmtId="0" fontId="40" fillId="8" borderId="0" xfId="0" applyFont="1" applyFill="1" applyAlignment="1">
      <alignment horizontal="right"/>
    </xf>
    <xf numFmtId="0" fontId="9" fillId="14" borderId="0" xfId="0" applyFont="1" applyFill="1"/>
    <xf numFmtId="21" fontId="5" fillId="8" borderId="0" xfId="0" applyNumberFormat="1" applyFont="1" applyFill="1" applyAlignment="1">
      <alignment horizontal="center"/>
    </xf>
    <xf numFmtId="0" fontId="30" fillId="0" borderId="0" xfId="0" applyFont="1"/>
    <xf numFmtId="0" fontId="41" fillId="0" borderId="22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14" borderId="0" xfId="0" applyFont="1" applyFill="1"/>
    <xf numFmtId="0" fontId="41" fillId="7" borderId="0" xfId="0" applyFont="1" applyFill="1"/>
    <xf numFmtId="0" fontId="9" fillId="7" borderId="0" xfId="0" applyFont="1" applyFill="1"/>
    <xf numFmtId="0" fontId="9" fillId="8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18" xfId="0" applyFont="1" applyBorder="1"/>
    <xf numFmtId="0" fontId="2" fillId="0" borderId="19" xfId="0" applyFont="1" applyBorder="1"/>
    <xf numFmtId="0" fontId="1" fillId="0" borderId="20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13" borderId="0" xfId="0" applyFont="1" applyFill="1"/>
    <xf numFmtId="0" fontId="16" fillId="6" borderId="0" xfId="0" applyFont="1" applyFill="1"/>
    <xf numFmtId="0" fontId="1" fillId="15" borderId="0" xfId="0" applyFont="1" applyFill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" fillId="0" borderId="25" xfId="0" applyFont="1" applyBorder="1"/>
    <xf numFmtId="0" fontId="28" fillId="0" borderId="26" xfId="0" applyFont="1" applyBorder="1" applyAlignment="1">
      <alignment horizontal="center"/>
    </xf>
    <xf numFmtId="0" fontId="2" fillId="0" borderId="6" xfId="0" applyFont="1" applyBorder="1"/>
    <xf numFmtId="0" fontId="28" fillId="0" borderId="0" xfId="0" applyFont="1" applyAlignment="1">
      <alignment horizontal="center"/>
    </xf>
    <xf numFmtId="0" fontId="2" fillId="0" borderId="24" xfId="0" applyFont="1" applyBorder="1"/>
    <xf numFmtId="0" fontId="28" fillId="0" borderId="24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" fillId="0" borderId="14" xfId="0" applyFont="1" applyBorder="1"/>
    <xf numFmtId="0" fontId="28" fillId="0" borderId="29" xfId="0" applyFont="1" applyBorder="1" applyAlignment="1">
      <alignment horizontal="center"/>
    </xf>
    <xf numFmtId="0" fontId="2" fillId="0" borderId="30" xfId="0" applyFont="1" applyBorder="1"/>
    <xf numFmtId="0" fontId="29" fillId="0" borderId="3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1" xfId="0" applyFont="1" applyBorder="1"/>
    <xf numFmtId="0" fontId="29" fillId="0" borderId="29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2" xfId="0" applyFont="1" applyBorder="1"/>
    <xf numFmtId="0" fontId="2" fillId="0" borderId="0" xfId="0" applyFont="1" applyBorder="1"/>
    <xf numFmtId="46" fontId="1" fillId="0" borderId="0" xfId="0" applyNumberFormat="1" applyFont="1" applyBorder="1"/>
    <xf numFmtId="46" fontId="30" fillId="0" borderId="0" xfId="0" applyNumberFormat="1" applyFont="1" applyBorder="1" applyAlignment="1">
      <alignment horizontal="right"/>
    </xf>
    <xf numFmtId="0" fontId="43" fillId="0" borderId="0" xfId="0" applyFont="1"/>
    <xf numFmtId="0" fontId="1" fillId="0" borderId="38" xfId="0" applyFont="1" applyBorder="1" applyAlignment="1">
      <alignment vertical="center"/>
    </xf>
    <xf numFmtId="10" fontId="1" fillId="0" borderId="38" xfId="0" applyNumberFormat="1" applyFont="1" applyBorder="1" applyAlignment="1">
      <alignment vertical="center"/>
    </xf>
    <xf numFmtId="46" fontId="1" fillId="0" borderId="38" xfId="0" applyNumberFormat="1" applyFont="1" applyBorder="1" applyAlignment="1">
      <alignment vertical="center"/>
    </xf>
    <xf numFmtId="0" fontId="29" fillId="0" borderId="38" xfId="0" applyFont="1" applyBorder="1" applyAlignment="1">
      <alignment vertical="center"/>
    </xf>
    <xf numFmtId="0" fontId="43" fillId="0" borderId="0" xfId="0" applyFont="1" applyBorder="1" applyAlignment="1">
      <alignment horizontal="center"/>
    </xf>
  </cellXfs>
  <cellStyles count="1">
    <cellStyle name="Normal" xfId="0" builtinId="0"/>
  </cellStyles>
  <dxfs count="276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6">
    <tableStyle name="gamemins_west-style" pivot="0" count="4" xr9:uid="{00000000-0011-0000-FFFF-FFFF00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gamemins_sac-style" pivot="0" count="4" xr9:uid="{00000000-0011-0000-FFFF-FFFF01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gamemins_sac-style 2" pivot="0" count="4" xr9:uid="{00000000-0011-0000-FFFF-FFFF02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gamemins_sac-style 3" pivot="0" count="4" xr9:uid="{00000000-0011-0000-FFFF-FFFF03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gamemins_sac-style 4" pivot="0" count="4" xr9:uid="{00000000-0011-0000-FFFF-FFFF04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gamemins_sac-style 5" pivot="0" count="2" xr9:uid="{00000000-0011-0000-FFFF-FFFF05000000}">
      <tableStyleElement type="firstRowStripe" dxfId="255"/>
      <tableStyleElement type="secondRowStripe" dxfId="254"/>
    </tableStyle>
    <tableStyle name="gamemins_sac-style 6" pivot="0" count="4" xr9:uid="{00000000-0011-0000-FFFF-FFFF06000000}">
      <tableStyleElement type="wholeTable" size="0" dxfId="253"/>
      <tableStyleElement type="headerRow" dxfId="252"/>
      <tableStyleElement type="firstRowStripe" dxfId="251"/>
      <tableStyleElement type="secondRowStripe" dxfId="250"/>
    </tableStyle>
    <tableStyle name="gamemins_sac-style 7" pivot="0" count="4" xr9:uid="{00000000-0011-0000-FFFF-FFFF07000000}">
      <tableStyleElement type="wholeTable" size="0" dxfId="249"/>
      <tableStyleElement type="headerRow" dxfId="248"/>
      <tableStyleElement type="firstRowStripe" dxfId="247"/>
      <tableStyleElement type="secondRowStripe" dxfId="246"/>
    </tableStyle>
    <tableStyle name="gamemins_pac-style" pivot="0" count="4" xr9:uid="{00000000-0011-0000-FFFF-FFFF08000000}">
      <tableStyleElement type="wholeTable" size="0" dxfId="245"/>
      <tableStyleElement type="headerRow" dxfId="244"/>
      <tableStyleElement type="firstRowStripe" dxfId="243"/>
      <tableStyleElement type="secondRowStripe" dxfId="242"/>
    </tableStyle>
    <tableStyle name="gamemins_pac-style 2" pivot="0" count="4" xr9:uid="{00000000-0011-0000-FFFF-FFFF09000000}">
      <tableStyleElement type="wholeTable" size="0" dxfId="241"/>
      <tableStyleElement type="headerRow" dxfId="240"/>
      <tableStyleElement type="firstRowStripe" dxfId="239"/>
      <tableStyleElement type="secondRowStripe" dxfId="238"/>
    </tableStyle>
    <tableStyle name="gamemins_pac-style 3" pivot="0" count="4" xr9:uid="{00000000-0011-0000-FFFF-FFFF0A000000}">
      <tableStyleElement type="wholeTable" size="0" dxfId="237"/>
      <tableStyleElement type="headerRow" dxfId="236"/>
      <tableStyleElement type="firstRowStripe" dxfId="235"/>
      <tableStyleElement type="secondRowStripe" dxfId="234"/>
    </tableStyle>
    <tableStyle name="gamemins_pac-style 4" pivot="0" count="4" xr9:uid="{00000000-0011-0000-FFFF-FFFF0B000000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gamemins_pac-style 5" pivot="0" count="4" xr9:uid="{00000000-0011-0000-FFFF-FFFF0C000000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gamemins_pac-style 6" pivot="0" count="4" xr9:uid="{00000000-0011-0000-FFFF-FFFF0D000000}">
      <tableStyleElement type="wholeTable" size="0" dxfId="225"/>
      <tableStyleElement type="headerRow" dxfId="224"/>
      <tableStyleElement type="firstRowStripe" dxfId="223"/>
      <tableStyleElement type="secondRowStripe" dxfId="222"/>
    </tableStyle>
    <tableStyle name="gamemins_charlotte-style" pivot="0" count="4" xr9:uid="{00000000-0011-0000-FFFF-FFFF0E000000}">
      <tableStyleElement type="wholeTable" size="0" dxfId="221"/>
      <tableStyleElement type="headerRow" dxfId="220"/>
      <tableStyleElement type="firstRowStripe" dxfId="219"/>
      <tableStyleElement type="secondRowStripe" dxfId="218"/>
    </tableStyle>
    <tableStyle name="gamemins_charlotte-style 2" pivot="0" count="4" xr9:uid="{00000000-0011-0000-FFFF-FFFF0F000000}">
      <tableStyleElement type="wholeTable" size="0" dxfId="217"/>
      <tableStyleElement type="headerRow" dxfId="216"/>
      <tableStyleElement type="firstRowStripe" dxfId="215"/>
      <tableStyleElement type="secondRowStripe" dxfId="214"/>
    </tableStyle>
    <tableStyle name="gamemins_charlotte-style 3" pivot="0" count="4" xr9:uid="{00000000-0011-0000-FFFF-FFFF10000000}">
      <tableStyleElement type="wholeTable" size="0" dxfId="213"/>
      <tableStyleElement type="headerRow" dxfId="212"/>
      <tableStyleElement type="firstRowStripe" dxfId="211"/>
      <tableStyleElement type="secondRowStripe" dxfId="210"/>
    </tableStyle>
    <tableStyle name="gamemins_charlotte-style 4" pivot="0" count="4" xr9:uid="{00000000-0011-0000-FFFF-FFFF11000000}">
      <tableStyleElement type="wholeTable" size="0" dxfId="209"/>
      <tableStyleElement type="headerRow" dxfId="208"/>
      <tableStyleElement type="firstRowStripe" dxfId="207"/>
      <tableStyleElement type="secondRowStripe" dxfId="206"/>
    </tableStyle>
    <tableStyle name="gamemins_charlotte-style 5" pivot="0" count="4" xr9:uid="{00000000-0011-0000-FFFF-FFFF12000000}">
      <tableStyleElement type="wholeTable" size="0" dxfId="205"/>
      <tableStyleElement type="headerRow" dxfId="204"/>
      <tableStyleElement type="firstRowStripe" dxfId="203"/>
      <tableStyleElement type="secondRowStripe" dxfId="202"/>
    </tableStyle>
    <tableStyle name="gamemins_charlotte-style 6" pivot="0" count="4" xr9:uid="{00000000-0011-0000-FFFF-FFFF13000000}">
      <tableStyleElement type="wholeTable" size="0" dxfId="201"/>
      <tableStyleElement type="headerRow" dxfId="200"/>
      <tableStyleElement type="firstRowStripe" dxfId="199"/>
      <tableStyleElement type="secondRowStripe" dxfId="198"/>
    </tableStyle>
    <tableStyle name="gamemins_harvard-style" pivot="0" count="4" xr9:uid="{00000000-0011-0000-FFFF-FFFF14000000}">
      <tableStyleElement type="wholeTable" size="0" dxfId="197"/>
      <tableStyleElement type="headerRow" dxfId="196"/>
      <tableStyleElement type="firstRowStripe" dxfId="195"/>
      <tableStyleElement type="secondRowStripe" dxfId="194"/>
    </tableStyle>
    <tableStyle name="gamemins_harvard-style 2" pivot="0" count="4" xr9:uid="{00000000-0011-0000-FFFF-FFFF15000000}">
      <tableStyleElement type="wholeTable" size="0" dxfId="193"/>
      <tableStyleElement type="headerRow" dxfId="192"/>
      <tableStyleElement type="firstRowStripe" dxfId="191"/>
      <tableStyleElement type="secondRowStripe" dxfId="190"/>
    </tableStyle>
    <tableStyle name="gamemins_harvard-style 3" pivot="0" count="4" xr9:uid="{00000000-0011-0000-FFFF-FFFF16000000}">
      <tableStyleElement type="wholeTable" size="0" dxfId="189"/>
      <tableStyleElement type="headerRow" dxfId="188"/>
      <tableStyleElement type="firstRowStripe" dxfId="187"/>
      <tableStyleElement type="secondRowStripe" dxfId="186"/>
    </tableStyle>
    <tableStyle name="gamemins_harvard-style 4" pivot="0" count="4" xr9:uid="{00000000-0011-0000-FFFF-FFFF17000000}">
      <tableStyleElement type="wholeTable" size="0" dxfId="185"/>
      <tableStyleElement type="headerRow" dxfId="184"/>
      <tableStyleElement type="firstRowStripe" dxfId="183"/>
      <tableStyleElement type="secondRowStripe" dxfId="182"/>
    </tableStyle>
    <tableStyle name="gamemins_harvard-style 5" pivot="0" count="4" xr9:uid="{00000000-0011-0000-FFFF-FFFF18000000}">
      <tableStyleElement type="wholeTable" size="0" dxfId="181"/>
      <tableStyleElement type="headerRow" dxfId="180"/>
      <tableStyleElement type="firstRowStripe" dxfId="179"/>
      <tableStyleElement type="secondRowStripe" dxfId="178"/>
    </tableStyle>
    <tableStyle name="gamemins_harvard-style 6" pivot="0" count="4" xr9:uid="{00000000-0011-0000-FFFF-FFFF19000000}">
      <tableStyleElement type="wholeTable" size="0" dxfId="177"/>
      <tableStyleElement type="headerRow" dxfId="176"/>
      <tableStyleElement type="firstRowStripe" dxfId="175"/>
      <tableStyleElement type="secondRowStripe" dxfId="174"/>
    </tableStyle>
    <tableStyle name="gamemins_smc-style" pivot="0" count="4" xr9:uid="{00000000-0011-0000-FFFF-FFFF1A000000}">
      <tableStyleElement type="wholeTable" size="0" dxfId="173"/>
      <tableStyleElement type="headerRow" dxfId="172"/>
      <tableStyleElement type="firstRowStripe" dxfId="171"/>
      <tableStyleElement type="secondRowStripe" dxfId="170"/>
    </tableStyle>
    <tableStyle name="gamemins_smc-style 2" pivot="0" count="4" xr9:uid="{00000000-0011-0000-FFFF-FFFF1B000000}">
      <tableStyleElement type="wholeTable" size="0" dxfId="169"/>
      <tableStyleElement type="headerRow" dxfId="168"/>
      <tableStyleElement type="firstRowStripe" dxfId="167"/>
      <tableStyleElement type="secondRowStripe" dxfId="166"/>
    </tableStyle>
    <tableStyle name="gamemins_smc-style 3" pivot="0" count="4" xr9:uid="{00000000-0011-0000-FFFF-FFFF1C000000}">
      <tableStyleElement type="wholeTable" size="0" dxfId="165"/>
      <tableStyleElement type="headerRow" dxfId="164"/>
      <tableStyleElement type="firstRowStripe" dxfId="163"/>
      <tableStyleElement type="secondRowStripe" dxfId="162"/>
    </tableStyle>
    <tableStyle name="gamemins_smc-style 4" pivot="0" count="4" xr9:uid="{00000000-0011-0000-FFFF-FFFF1D000000}">
      <tableStyleElement type="wholeTable" size="0" dxfId="161"/>
      <tableStyleElement type="headerRow" dxfId="160"/>
      <tableStyleElement type="firstRowStripe" dxfId="159"/>
      <tableStyleElement type="secondRowStripe" dxfId="158"/>
    </tableStyle>
    <tableStyle name="gamemins_smc-style 5" pivot="0" count="4" xr9:uid="{00000000-0011-0000-FFFF-FFFF1E000000}">
      <tableStyleElement type="wholeTable" size="0" dxfId="157"/>
      <tableStyleElement type="headerRow" dxfId="156"/>
      <tableStyleElement type="firstRowStripe" dxfId="155"/>
      <tableStyleElement type="secondRowStripe" dxfId="154"/>
    </tableStyle>
    <tableStyle name="gamemins_smc-style 6" pivot="0" count="4" xr9:uid="{00000000-0011-0000-FFFF-FFFF1F000000}">
      <tableStyleElement type="wholeTable" size="0" dxfId="153"/>
      <tableStyleElement type="headerRow" dxfId="152"/>
      <tableStyleElement type="firstRowStripe" dxfId="151"/>
      <tableStyleElement type="secondRowStripe" dxfId="150"/>
    </tableStyle>
    <tableStyle name="gamemins_sjsu-style" pivot="0" count="4" xr9:uid="{00000000-0011-0000-FFFF-FFFF20000000}">
      <tableStyleElement type="wholeTable" size="0" dxfId="149"/>
      <tableStyleElement type="headerRow" dxfId="148"/>
      <tableStyleElement type="firstRowStripe" dxfId="147"/>
      <tableStyleElement type="secondRowStripe" dxfId="146"/>
    </tableStyle>
    <tableStyle name="gamemins_sjsu-style 2" pivot="0" count="4" xr9:uid="{00000000-0011-0000-FFFF-FFFF21000000}">
      <tableStyleElement type="wholeTable" size="0" dxfId="145"/>
      <tableStyleElement type="headerRow" dxfId="144"/>
      <tableStyleElement type="firstRowStripe" dxfId="143"/>
      <tableStyleElement type="secondRowStripe" dxfId="142"/>
    </tableStyle>
    <tableStyle name="gamemins_sjsu-style 3" pivot="0" count="4" xr9:uid="{00000000-0011-0000-FFFF-FFFF22000000}">
      <tableStyleElement type="wholeTable" size="0" dxfId="141"/>
      <tableStyleElement type="headerRow" dxfId="140"/>
      <tableStyleElement type="firstRowStripe" dxfId="139"/>
      <tableStyleElement type="secondRowStripe" dxfId="138"/>
    </tableStyle>
    <tableStyle name="gamemins_sjsu-style 4" pivot="0" count="4" xr9:uid="{00000000-0011-0000-FFFF-FFFF23000000}">
      <tableStyleElement type="wholeTable" size="0" dxfId="137"/>
      <tableStyleElement type="headerRow" dxfId="136"/>
      <tableStyleElement type="firstRowStripe" dxfId="135"/>
      <tableStyleElement type="secondRowStripe" dxfId="134"/>
    </tableStyle>
    <tableStyle name="gamemins_sjsu-style 5" pivot="0" count="4" xr9:uid="{00000000-0011-0000-FFFF-FFFF24000000}">
      <tableStyleElement type="wholeTable" size="0" dxfId="133"/>
      <tableStyleElement type="headerRow" dxfId="132"/>
      <tableStyleElement type="firstRowStripe" dxfId="131"/>
      <tableStyleElement type="secondRowStripe" dxfId="130"/>
    </tableStyle>
    <tableStyle name="gamemins_sjsu-style 6" pivot="0" count="4" xr9:uid="{00000000-0011-0000-FFFF-FFFF25000000}">
      <tableStyleElement type="wholeTable" size="0" dxfId="129"/>
      <tableStyleElement type="headerRow" dxfId="128"/>
      <tableStyleElement type="firstRowStripe" dxfId="127"/>
      <tableStyleElement type="secondRowStripe" dxfId="126"/>
    </tableStyle>
    <tableStyle name="gamemins_idaho-style" pivot="0" count="4" xr9:uid="{00000000-0011-0000-FFFF-FFFF26000000}">
      <tableStyleElement type="wholeTable" size="0" dxfId="125"/>
      <tableStyleElement type="headerRow" dxfId="124"/>
      <tableStyleElement type="firstRowStripe" dxfId="123"/>
      <tableStyleElement type="secondRowStripe" dxfId="122"/>
    </tableStyle>
    <tableStyle name="gamemins_idaho-style 2" pivot="0" count="4" xr9:uid="{00000000-0011-0000-FFFF-FFFF27000000}">
      <tableStyleElement type="wholeTable" size="0" dxfId="121"/>
      <tableStyleElement type="headerRow" dxfId="120"/>
      <tableStyleElement type="firstRowStripe" dxfId="119"/>
      <tableStyleElement type="secondRowStripe" dxfId="118"/>
    </tableStyle>
    <tableStyle name="gamemins_idaho-style 3" pivot="0" count="4" xr9:uid="{00000000-0011-0000-FFFF-FFFF28000000}">
      <tableStyleElement type="wholeTable" size="0" dxfId="117"/>
      <tableStyleElement type="headerRow" dxfId="116"/>
      <tableStyleElement type="firstRowStripe" dxfId="115"/>
      <tableStyleElement type="secondRowStripe" dxfId="114"/>
    </tableStyle>
    <tableStyle name="gamemins_idaho-style 4" pivot="0" count="4" xr9:uid="{00000000-0011-0000-FFFF-FFFF29000000}">
      <tableStyleElement type="wholeTable" size="0" dxfId="113"/>
      <tableStyleElement type="headerRow" dxfId="112"/>
      <tableStyleElement type="firstRowStripe" dxfId="111"/>
      <tableStyleElement type="secondRowStripe" dxfId="110"/>
    </tableStyle>
    <tableStyle name="gamemins_idaho-style 5" pivot="0" count="4" xr9:uid="{00000000-0011-0000-FFFF-FFFF2A000000}">
      <tableStyleElement type="wholeTable" size="0" dxfId="109"/>
      <tableStyleElement type="headerRow" dxfId="108"/>
      <tableStyleElement type="firstRowStripe" dxfId="107"/>
      <tableStyleElement type="secondRowStripe" dxfId="106"/>
    </tableStyle>
    <tableStyle name="gamemins_idaho-style 6" pivot="0" count="4" xr9:uid="{00000000-0011-0000-FFFF-FFFF2B000000}">
      <tableStyleElement type="wholeTable" size="0" dxfId="105"/>
      <tableStyleElement type="headerRow" dxfId="104"/>
      <tableStyleElement type="firstRowStripe" dxfId="103"/>
      <tableStyleElement type="secondRowStripe" dxfId="102"/>
    </tableStyle>
    <tableStyle name="gamemins_stanford-style" pivot="0" count="4" xr9:uid="{00000000-0011-0000-FFFF-FFFF2C000000}">
      <tableStyleElement type="wholeTable" size="0" dxfId="101"/>
      <tableStyleElement type="headerRow" dxfId="100"/>
      <tableStyleElement type="firstRowStripe" dxfId="99"/>
      <tableStyleElement type="secondRowStripe" dxfId="98"/>
    </tableStyle>
    <tableStyle name="gamemins_stanford-style 2" pivot="0" count="4" xr9:uid="{00000000-0011-0000-FFFF-FFFF2D000000}">
      <tableStyleElement type="wholeTable" size="0" dxfId="97"/>
      <tableStyleElement type="headerRow" dxfId="96"/>
      <tableStyleElement type="firstRowStripe" dxfId="95"/>
      <tableStyleElement type="secondRowStripe" dxfId="94"/>
    </tableStyle>
    <tableStyle name="gamemins_stanford-style 3" pivot="0" count="4" xr9:uid="{00000000-0011-0000-FFFF-FFFF2E000000}">
      <tableStyleElement type="wholeTable" size="0" dxfId="93"/>
      <tableStyleElement type="headerRow" dxfId="92"/>
      <tableStyleElement type="firstRowStripe" dxfId="91"/>
      <tableStyleElement type="secondRowStripe" dxfId="90"/>
    </tableStyle>
    <tableStyle name="gamemins_stanford-style 4" pivot="0" count="4" xr9:uid="{00000000-0011-0000-FFFF-FFFF2F000000}">
      <tableStyleElement type="wholeTable" size="0" dxfId="89"/>
      <tableStyleElement type="headerRow" dxfId="88"/>
      <tableStyleElement type="firstRowStripe" dxfId="87"/>
      <tableStyleElement type="secondRowStripe" dxfId="86"/>
    </tableStyle>
    <tableStyle name="gamemins_stanford-style 5" pivot="0" count="4" xr9:uid="{00000000-0011-0000-FFFF-FFFF30000000}">
      <tableStyleElement type="wholeTable" size="0" dxfId="85"/>
      <tableStyleElement type="headerRow" dxfId="84"/>
      <tableStyleElement type="firstRowStripe" dxfId="83"/>
      <tableStyleElement type="secondRowStripe" dxfId="82"/>
    </tableStyle>
    <tableStyle name="gamemins_stanford-style 6" pivot="0" count="4" xr9:uid="{00000000-0011-0000-FFFF-FFFF31000000}">
      <tableStyleElement type="wholeTable" size="0" dxfId="81"/>
      <tableStyleElement type="headerRow" dxfId="80"/>
      <tableStyleElement type="firstRowStripe" dxfId="79"/>
      <tableStyleElement type="secondRowStripe" dxfId="78"/>
    </tableStyle>
    <tableStyle name="Cheung_Morgan_Work_Sample-style" pivot="0" count="4" xr9:uid="{00000000-0011-0000-FFFF-FFFF32000000}">
      <tableStyleElement type="wholeTable" size="0" dxfId="77"/>
      <tableStyleElement type="headerRow" dxfId="76"/>
      <tableStyleElement type="firstRowStripe" dxfId="75"/>
      <tableStyleElement type="secondRowStripe" dxfId="74"/>
    </tableStyle>
    <tableStyle name="Cheung_Morgan_Work_Sample-style 2" pivot="0" count="4" xr9:uid="{00000000-0011-0000-FFFF-FFFF33000000}">
      <tableStyleElement type="wholeTable" size="0" dxfId="73"/>
      <tableStyleElement type="headerRow" dxfId="72"/>
      <tableStyleElement type="firstRowStripe" dxfId="71"/>
      <tableStyleElement type="secondRowStripe" dxfId="70"/>
    </tableStyle>
    <tableStyle name="Cheung_Morgan_Work_Sample-style 3" pivot="0" count="4" xr9:uid="{00000000-0011-0000-FFFF-FFFF34000000}">
      <tableStyleElement type="wholeTable" size="0" dxfId="69"/>
      <tableStyleElement type="headerRow" dxfId="68"/>
      <tableStyleElement type="firstRowStripe" dxfId="67"/>
      <tableStyleElement type="secondRowStripe" dxfId="66"/>
    </tableStyle>
    <tableStyle name="Cheung_Morgan_Work_Sample-style 4" pivot="0" count="4" xr9:uid="{00000000-0011-0000-FFFF-FFFF35000000}">
      <tableStyleElement type="wholeTable" size="0" dxfId="65"/>
      <tableStyleElement type="headerRow" dxfId="64"/>
      <tableStyleElement type="firstRowStripe" dxfId="63"/>
      <tableStyleElement type="secondRowStripe" dxfId="62"/>
    </tableStyle>
    <tableStyle name="Cheung_Morgan_Work_Sample-style 5" pivot="0" count="4" xr9:uid="{00000000-0011-0000-FFFF-FFFF36000000}">
      <tableStyleElement type="wholeTable" size="0" dxfId="61"/>
      <tableStyleElement type="headerRow" dxfId="60"/>
      <tableStyleElement type="firstRowStripe" dxfId="59"/>
      <tableStyleElement type="secondRowStripe" dxfId="58"/>
    </tableStyle>
    <tableStyle name="Cheung_Morgan_Work_Sample-style 6" pivot="0" count="4" xr9:uid="{00000000-0011-0000-FFFF-FFFF37000000}">
      <tableStyleElement type="wholeTable" size="0" dxfId="57"/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Cheung_Morgan_Work_Sample!$J$60:$J$61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Cheung_Morgan_Work_Sample!$H$62:$H$73</c:f>
              <c:strCache>
                <c:ptCount val="12"/>
                <c:pt idx="0">
                  <c:v>redacted 1</c:v>
                </c:pt>
                <c:pt idx="1">
                  <c:v>redacted 2</c:v>
                </c:pt>
                <c:pt idx="2">
                  <c:v>redacted 3</c:v>
                </c:pt>
                <c:pt idx="3">
                  <c:v>redacted 4</c:v>
                </c:pt>
                <c:pt idx="4">
                  <c:v>redacted 5</c:v>
                </c:pt>
                <c:pt idx="5">
                  <c:v>redacted 6</c:v>
                </c:pt>
                <c:pt idx="6">
                  <c:v>redacted 7</c:v>
                </c:pt>
                <c:pt idx="7">
                  <c:v>redacted 8</c:v>
                </c:pt>
                <c:pt idx="8">
                  <c:v>redacted 9</c:v>
                </c:pt>
                <c:pt idx="9">
                  <c:v>redacted 10</c:v>
                </c:pt>
                <c:pt idx="10">
                  <c:v>redacted 11</c:v>
                </c:pt>
                <c:pt idx="11">
                  <c:v>redacted 12</c:v>
                </c:pt>
              </c:strCache>
            </c:strRef>
          </c:cat>
          <c:val>
            <c:numRef>
              <c:f>Cheung_Morgan_Work_Sample!$J$62:$J$73</c:f>
              <c:numCache>
                <c:formatCode>General</c:formatCode>
                <c:ptCount val="12"/>
                <c:pt idx="0">
                  <c:v>702</c:v>
                </c:pt>
                <c:pt idx="1">
                  <c:v>724</c:v>
                </c:pt>
                <c:pt idx="2">
                  <c:v>332</c:v>
                </c:pt>
                <c:pt idx="3">
                  <c:v>153</c:v>
                </c:pt>
                <c:pt idx="4">
                  <c:v>402</c:v>
                </c:pt>
                <c:pt idx="5">
                  <c:v>446</c:v>
                </c:pt>
                <c:pt idx="6">
                  <c:v>187</c:v>
                </c:pt>
                <c:pt idx="7">
                  <c:v>693</c:v>
                </c:pt>
                <c:pt idx="8">
                  <c:v>123</c:v>
                </c:pt>
                <c:pt idx="9">
                  <c:v>219</c:v>
                </c:pt>
                <c:pt idx="10">
                  <c:v>822</c:v>
                </c:pt>
                <c:pt idx="11">
                  <c:v>516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95-CE4D-8D17-8BBD0341EFA1}"/>
            </c:ext>
          </c:extLst>
        </c:ser>
        <c:ser>
          <c:idx val="1"/>
          <c:order val="1"/>
          <c:tx>
            <c:strRef>
              <c:f>Cheung_Morgan_Work_Sample!$K$60:$K$61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Cheung_Morgan_Work_Sample!$H$62:$H$73</c:f>
              <c:strCache>
                <c:ptCount val="12"/>
                <c:pt idx="0">
                  <c:v>redacted 1</c:v>
                </c:pt>
                <c:pt idx="1">
                  <c:v>redacted 2</c:v>
                </c:pt>
                <c:pt idx="2">
                  <c:v>redacted 3</c:v>
                </c:pt>
                <c:pt idx="3">
                  <c:v>redacted 4</c:v>
                </c:pt>
                <c:pt idx="4">
                  <c:v>redacted 5</c:v>
                </c:pt>
                <c:pt idx="5">
                  <c:v>redacted 6</c:v>
                </c:pt>
                <c:pt idx="6">
                  <c:v>redacted 7</c:v>
                </c:pt>
                <c:pt idx="7">
                  <c:v>redacted 8</c:v>
                </c:pt>
                <c:pt idx="8">
                  <c:v>redacted 9</c:v>
                </c:pt>
                <c:pt idx="9">
                  <c:v>redacted 10</c:v>
                </c:pt>
                <c:pt idx="10">
                  <c:v>redacted 11</c:v>
                </c:pt>
                <c:pt idx="11">
                  <c:v>redacted 12</c:v>
                </c:pt>
              </c:strCache>
            </c:strRef>
          </c:cat>
          <c:val>
            <c:numRef>
              <c:f>Cheung_Morgan_Work_Sample!$K$62:$K$73</c:f>
              <c:numCache>
                <c:formatCode>General</c:formatCode>
                <c:ptCount val="12"/>
                <c:pt idx="0">
                  <c:v>167</c:v>
                </c:pt>
                <c:pt idx="1">
                  <c:v>40</c:v>
                </c:pt>
                <c:pt idx="2">
                  <c:v>27</c:v>
                </c:pt>
                <c:pt idx="3">
                  <c:v>1</c:v>
                </c:pt>
                <c:pt idx="4">
                  <c:v>46</c:v>
                </c:pt>
                <c:pt idx="5">
                  <c:v>43</c:v>
                </c:pt>
                <c:pt idx="6">
                  <c:v>44</c:v>
                </c:pt>
                <c:pt idx="7">
                  <c:v>47</c:v>
                </c:pt>
                <c:pt idx="8">
                  <c:v>7</c:v>
                </c:pt>
                <c:pt idx="9">
                  <c:v>43</c:v>
                </c:pt>
                <c:pt idx="10">
                  <c:v>89</c:v>
                </c:pt>
                <c:pt idx="11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95-CE4D-8D17-8BBD0341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275859"/>
        <c:axId val="1422597066"/>
      </c:barChart>
      <c:catAx>
        <c:axId val="121127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2597066"/>
        <c:crosses val="autoZero"/>
        <c:auto val="1"/>
        <c:lblAlgn val="ctr"/>
        <c:lblOffset val="100"/>
        <c:noMultiLvlLbl val="1"/>
      </c:catAx>
      <c:valAx>
        <c:axId val="1422597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12758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Cheung_Morgan_Work_Sample!$L$60:$L$61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Cheung_Morgan_Work_Sample!$H$62:$H$73</c:f>
              <c:strCache>
                <c:ptCount val="12"/>
                <c:pt idx="0">
                  <c:v>redacted 1</c:v>
                </c:pt>
                <c:pt idx="1">
                  <c:v>redacted 2</c:v>
                </c:pt>
                <c:pt idx="2">
                  <c:v>redacted 3</c:v>
                </c:pt>
                <c:pt idx="3">
                  <c:v>redacted 4</c:v>
                </c:pt>
                <c:pt idx="4">
                  <c:v>redacted 5</c:v>
                </c:pt>
                <c:pt idx="5">
                  <c:v>redacted 6</c:v>
                </c:pt>
                <c:pt idx="6">
                  <c:v>redacted 7</c:v>
                </c:pt>
                <c:pt idx="7">
                  <c:v>redacted 8</c:v>
                </c:pt>
                <c:pt idx="8">
                  <c:v>redacted 9</c:v>
                </c:pt>
                <c:pt idx="9">
                  <c:v>redacted 10</c:v>
                </c:pt>
                <c:pt idx="10">
                  <c:v>redacted 11</c:v>
                </c:pt>
                <c:pt idx="11">
                  <c:v>redacted 12</c:v>
                </c:pt>
              </c:strCache>
            </c:strRef>
          </c:cat>
          <c:val>
            <c:numRef>
              <c:f>Cheung_Morgan_Work_Sample!$L$62:$L$73</c:f>
              <c:numCache>
                <c:formatCode>0.00%</c:formatCode>
                <c:ptCount val="12"/>
                <c:pt idx="0">
                  <c:v>0.93600000000000005</c:v>
                </c:pt>
                <c:pt idx="1">
                  <c:v>1.0055555555555555</c:v>
                </c:pt>
                <c:pt idx="2">
                  <c:v>0.44266666666666671</c:v>
                </c:pt>
                <c:pt idx="3">
                  <c:v>0.21857142857142858</c:v>
                </c:pt>
                <c:pt idx="4">
                  <c:v>0.50249999999999995</c:v>
                </c:pt>
                <c:pt idx="5">
                  <c:v>0.54390243902439028</c:v>
                </c:pt>
                <c:pt idx="6">
                  <c:v>0.30161290322580647</c:v>
                </c:pt>
                <c:pt idx="7">
                  <c:v>0.84512195121951217</c:v>
                </c:pt>
                <c:pt idx="8">
                  <c:v>0.24356435643564356</c:v>
                </c:pt>
                <c:pt idx="9">
                  <c:v>0.29594594594594592</c:v>
                </c:pt>
                <c:pt idx="10">
                  <c:v>1.0274999999999999</c:v>
                </c:pt>
                <c:pt idx="11">
                  <c:v>0.8896551724137931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6D-9F4B-84E6-F13257CF6B27}"/>
            </c:ext>
          </c:extLst>
        </c:ser>
        <c:ser>
          <c:idx val="1"/>
          <c:order val="1"/>
          <c:tx>
            <c:strRef>
              <c:f>Cheung_Morgan_Work_Sample!$M$60:$M$61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Cheung_Morgan_Work_Sample!$H$62:$H$73</c:f>
              <c:strCache>
                <c:ptCount val="12"/>
                <c:pt idx="0">
                  <c:v>redacted 1</c:v>
                </c:pt>
                <c:pt idx="1">
                  <c:v>redacted 2</c:v>
                </c:pt>
                <c:pt idx="2">
                  <c:v>redacted 3</c:v>
                </c:pt>
                <c:pt idx="3">
                  <c:v>redacted 4</c:v>
                </c:pt>
                <c:pt idx="4">
                  <c:v>redacted 5</c:v>
                </c:pt>
                <c:pt idx="5">
                  <c:v>redacted 6</c:v>
                </c:pt>
                <c:pt idx="6">
                  <c:v>redacted 7</c:v>
                </c:pt>
                <c:pt idx="7">
                  <c:v>redacted 8</c:v>
                </c:pt>
                <c:pt idx="8">
                  <c:v>redacted 9</c:v>
                </c:pt>
                <c:pt idx="9">
                  <c:v>redacted 10</c:v>
                </c:pt>
                <c:pt idx="10">
                  <c:v>redacted 11</c:v>
                </c:pt>
                <c:pt idx="11">
                  <c:v>redacted 12</c:v>
                </c:pt>
              </c:strCache>
            </c:strRef>
          </c:cat>
          <c:val>
            <c:numRef>
              <c:f>Cheung_Morgan_Work_Sample!$M$62:$M$73</c:f>
              <c:numCache>
                <c:formatCode>0.00%</c:formatCode>
                <c:ptCount val="12"/>
                <c:pt idx="0">
                  <c:v>0.83499999999999996</c:v>
                </c:pt>
                <c:pt idx="1">
                  <c:v>0.61538461538461542</c:v>
                </c:pt>
                <c:pt idx="2">
                  <c:v>0.14594594594594595</c:v>
                </c:pt>
                <c:pt idx="3">
                  <c:v>4.5454545454545452E-3</c:v>
                </c:pt>
                <c:pt idx="4">
                  <c:v>0.20909090909090908</c:v>
                </c:pt>
                <c:pt idx="5">
                  <c:v>0.18790650406504067</c:v>
                </c:pt>
                <c:pt idx="6">
                  <c:v>9.1327913279132797E-2</c:v>
                </c:pt>
                <c:pt idx="7">
                  <c:v>0.27890243902439027</c:v>
                </c:pt>
                <c:pt idx="8">
                  <c:v>0.16666666666666666</c:v>
                </c:pt>
                <c:pt idx="9">
                  <c:v>1.3953488372093023E-2</c:v>
                </c:pt>
                <c:pt idx="10">
                  <c:v>0.50172166427546627</c:v>
                </c:pt>
                <c:pt idx="11">
                  <c:v>0.45463414634146343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6D-9F4B-84E6-F13257CF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198538"/>
        <c:axId val="1011490951"/>
      </c:barChart>
      <c:catAx>
        <c:axId val="666198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1490951"/>
        <c:crosses val="autoZero"/>
        <c:auto val="1"/>
        <c:lblAlgn val="ctr"/>
        <c:lblOffset val="100"/>
        <c:noMultiLvlLbl val="1"/>
      </c:catAx>
      <c:valAx>
        <c:axId val="1011490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61985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Puff PL/Game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SCU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numbers'!$A$5:$A$9</c:f>
              <c:strCache>
                <c:ptCount val="5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  <c:pt idx="3">
                  <c:v>Quarter 3</c:v>
                </c:pt>
                <c:pt idx="4">
                  <c:v>Quarter 4</c:v>
                </c:pt>
              </c:strCache>
            </c:strRef>
          </c:cat>
          <c:val>
            <c:numRef>
              <c:f>'scrimmage and game numbers'!$B$5:$B$9</c:f>
              <c:numCache>
                <c:formatCode>General</c:formatCode>
                <c:ptCount val="5"/>
                <c:pt idx="0">
                  <c:v>142</c:v>
                </c:pt>
                <c:pt idx="1">
                  <c:v>202</c:v>
                </c:pt>
                <c:pt idx="2">
                  <c:v>90</c:v>
                </c:pt>
                <c:pt idx="3">
                  <c:v>107</c:v>
                </c:pt>
                <c:pt idx="4">
                  <c:v>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9C-2345-9EA3-A77BBD835985}"/>
            </c:ext>
          </c:extLst>
        </c:ser>
        <c:ser>
          <c:idx val="1"/>
          <c:order val="1"/>
          <c:tx>
            <c:v>Westmont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numbers'!$A$5:$A$9</c:f>
              <c:strCache>
                <c:ptCount val="5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  <c:pt idx="3">
                  <c:v>Quarter 3</c:v>
                </c:pt>
                <c:pt idx="4">
                  <c:v>Quarter 4</c:v>
                </c:pt>
              </c:strCache>
            </c:strRef>
          </c:cat>
          <c:val>
            <c:numRef>
              <c:f>'scrimmage and game numbers'!$E$5:$E$9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9C-2345-9EA3-A77BBD835985}"/>
            </c:ext>
          </c:extLst>
        </c:ser>
        <c:ser>
          <c:idx val="2"/>
          <c:order val="2"/>
          <c:tx>
            <c:v>Vandy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numbers'!$A$5:$A$9</c:f>
              <c:strCache>
                <c:ptCount val="5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  <c:pt idx="3">
                  <c:v>Quarter 3</c:v>
                </c:pt>
                <c:pt idx="4">
                  <c:v>Quarter 4</c:v>
                </c:pt>
              </c:strCache>
            </c:strRef>
          </c:cat>
          <c:val>
            <c:numRef>
              <c:f>'scrimmage and game numbers'!$F$5:$F$9</c:f>
              <c:numCache>
                <c:formatCode>General</c:formatCode>
                <c:ptCount val="5"/>
                <c:pt idx="0">
                  <c:v>152</c:v>
                </c:pt>
                <c:pt idx="1">
                  <c:v>165</c:v>
                </c:pt>
                <c:pt idx="2">
                  <c:v>109</c:v>
                </c:pt>
                <c:pt idx="3">
                  <c:v>86</c:v>
                </c:pt>
                <c:pt idx="4">
                  <c:v>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9C-2345-9EA3-A77BBD835985}"/>
            </c:ext>
          </c:extLst>
        </c:ser>
        <c:ser>
          <c:idx val="3"/>
          <c:order val="3"/>
          <c:tx>
            <c:strRef>
              <c:f>'scrimmage and game numbers'!$I$4</c:f>
              <c:strCache>
                <c:ptCount val="1"/>
                <c:pt idx="0">
                  <c:v>Vanderbilt</c:v>
                </c:pt>
              </c:strCache>
            </c:strRef>
          </c:tx>
          <c:invertIfNegative val="1"/>
          <c:cat>
            <c:strRef>
              <c:f>'scrimmage and game numbers'!$A$5:$A$9</c:f>
              <c:strCache>
                <c:ptCount val="5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  <c:pt idx="3">
                  <c:v>Quarter 3</c:v>
                </c:pt>
                <c:pt idx="4">
                  <c:v>Quarter 4</c:v>
                </c:pt>
              </c:strCache>
            </c:strRef>
          </c:cat>
          <c:val>
            <c:numRef>
              <c:f>'scrimmage and game numbers'!$I$5:$I$9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9C-2345-9EA3-A77BBD835985}"/>
            </c:ext>
          </c:extLst>
        </c:ser>
        <c:ser>
          <c:idx val="4"/>
          <c:order val="4"/>
          <c:tx>
            <c:strRef>
              <c:f>'scrimmage and game numbers'!$J$4</c:f>
              <c:strCache>
                <c:ptCount val="1"/>
              </c:strCache>
            </c:strRef>
          </c:tx>
          <c:invertIfNegative val="1"/>
          <c:cat>
            <c:strRef>
              <c:f>'scrimmage and game numbers'!$A$5:$A$9</c:f>
              <c:strCache>
                <c:ptCount val="5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  <c:pt idx="3">
                  <c:v>Quarter 3</c:v>
                </c:pt>
                <c:pt idx="4">
                  <c:v>Quarter 4</c:v>
                </c:pt>
              </c:strCache>
            </c:strRef>
          </c:cat>
          <c:val>
            <c:numRef>
              <c:f>'scrimmage and game numbers'!$J$5:$J$9</c:f>
              <c:numCache>
                <c:formatCode>General</c:formatCode>
                <c:ptCount val="5"/>
                <c:pt idx="0">
                  <c:v>128</c:v>
                </c:pt>
                <c:pt idx="1">
                  <c:v>145</c:v>
                </c:pt>
                <c:pt idx="2">
                  <c:v>152</c:v>
                </c:pt>
                <c:pt idx="3">
                  <c:v>134</c:v>
                </c:pt>
                <c:pt idx="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9C-2345-9EA3-A77BBD835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910832"/>
        <c:axId val="1445262419"/>
      </c:barChart>
      <c:catAx>
        <c:axId val="66791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5262419"/>
        <c:crosses val="autoZero"/>
        <c:auto val="1"/>
        <c:lblAlgn val="ctr"/>
        <c:lblOffset val="100"/>
        <c:noMultiLvlLbl val="1"/>
      </c:catAx>
      <c:valAx>
        <c:axId val="1445262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79108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Clau PL/Game</a:t>
            </a:r>
          </a:p>
        </c:rich>
      </c:tx>
      <c:layout>
        <c:manualLayout>
          <c:xMode val="edge"/>
          <c:yMode val="edge"/>
          <c:x val="3.0926430517711174E-2"/>
          <c:y val="4.559471365638766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SCU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numbers'!$A$14:$A$17</c:f>
              <c:strCache>
                <c:ptCount val="3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</c:strCache>
            </c:strRef>
          </c:cat>
          <c:val>
            <c:numRef>
              <c:f>'scrimmage and game numbers'!$B$14:$B$17</c:f>
              <c:numCache>
                <c:formatCode>General</c:formatCode>
                <c:ptCount val="4"/>
                <c:pt idx="0">
                  <c:v>105</c:v>
                </c:pt>
                <c:pt idx="1">
                  <c:v>90</c:v>
                </c:pt>
                <c:pt idx="2">
                  <c:v>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21-E34E-AED3-15E81AEE7351}"/>
            </c:ext>
          </c:extLst>
        </c:ser>
        <c:ser>
          <c:idx val="1"/>
          <c:order val="1"/>
          <c:tx>
            <c:v>Westmont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numbers'!$A$14:$A$17</c:f>
              <c:strCache>
                <c:ptCount val="3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</c:strCache>
            </c:strRef>
          </c:cat>
          <c:val>
            <c:numRef>
              <c:f>'scrimmage and game numbers'!$E$14:$E$17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21-E34E-AED3-15E81AEE7351}"/>
            </c:ext>
          </c:extLst>
        </c:ser>
        <c:ser>
          <c:idx val="2"/>
          <c:order val="2"/>
          <c:tx>
            <c:v>Vandy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'scrimmage and game numbers'!$A$14:$A$17</c:f>
              <c:strCache>
                <c:ptCount val="3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</c:strCache>
            </c:strRef>
          </c:cat>
          <c:val>
            <c:numRef>
              <c:f>'scrimmage and game numbers'!$F$14:$F$17</c:f>
              <c:numCache>
                <c:formatCode>General</c:formatCode>
                <c:ptCount val="4"/>
                <c:pt idx="0">
                  <c:v>154</c:v>
                </c:pt>
                <c:pt idx="1">
                  <c:v>73</c:v>
                </c:pt>
                <c:pt idx="2">
                  <c:v>69</c:v>
                </c:pt>
                <c:pt idx="3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21-E34E-AED3-15E81AEE7351}"/>
            </c:ext>
          </c:extLst>
        </c:ser>
        <c:ser>
          <c:idx val="3"/>
          <c:order val="3"/>
          <c:tx>
            <c:strRef>
              <c:f>'scrimmage and game numbers'!$I$13</c:f>
              <c:strCache>
                <c:ptCount val="1"/>
                <c:pt idx="0">
                  <c:v>Vanderbilt</c:v>
                </c:pt>
              </c:strCache>
            </c:strRef>
          </c:tx>
          <c:invertIfNegative val="1"/>
          <c:cat>
            <c:strRef>
              <c:f>'scrimmage and game numbers'!$A$14:$A$17</c:f>
              <c:strCache>
                <c:ptCount val="3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</c:strCache>
            </c:strRef>
          </c:cat>
          <c:val>
            <c:numRef>
              <c:f>'scrimmage and game numbers'!$I$14:$I$17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21-E34E-AED3-15E81AEE7351}"/>
            </c:ext>
          </c:extLst>
        </c:ser>
        <c:ser>
          <c:idx val="4"/>
          <c:order val="4"/>
          <c:tx>
            <c:strRef>
              <c:f>'scrimmage and game numbers'!$J$13</c:f>
              <c:strCache>
                <c:ptCount val="1"/>
              </c:strCache>
            </c:strRef>
          </c:tx>
          <c:invertIfNegative val="1"/>
          <c:cat>
            <c:strRef>
              <c:f>'scrimmage and game numbers'!$A$14:$A$17</c:f>
              <c:strCache>
                <c:ptCount val="3"/>
                <c:pt idx="0">
                  <c:v>Warmup</c:v>
                </c:pt>
                <c:pt idx="1">
                  <c:v>Quarter 1</c:v>
                </c:pt>
                <c:pt idx="2">
                  <c:v>Quarter 2</c:v>
                </c:pt>
              </c:strCache>
            </c:strRef>
          </c:cat>
          <c:val>
            <c:numRef>
              <c:f>'scrimmage and game numbers'!$J$14:$J$17</c:f>
              <c:numCache>
                <c:formatCode>General</c:formatCode>
                <c:ptCount val="4"/>
                <c:pt idx="0">
                  <c:v>101</c:v>
                </c:pt>
                <c:pt idx="1">
                  <c:v>48</c:v>
                </c:pt>
                <c:pt idx="2">
                  <c:v>35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21-E34E-AED3-15E81AEE7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50117"/>
        <c:axId val="2013044184"/>
      </c:barChart>
      <c:catAx>
        <c:axId val="110750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3044184"/>
        <c:crosses val="autoZero"/>
        <c:auto val="1"/>
        <c:lblAlgn val="ctr"/>
        <c:lblOffset val="100"/>
        <c:noMultiLvlLbl val="1"/>
      </c:catAx>
      <c:valAx>
        <c:axId val="2013044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7501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gamemins_harvard!$J$39:$J$40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gamemins_harvard!$H$41:$H$52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twidale</c:v>
                </c:pt>
                <c:pt idx="5">
                  <c:v>mccallop</c:v>
                </c:pt>
                <c:pt idx="6">
                  <c:v>ojukwu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gamemins_harvard!$J$41:$J$52</c:f>
              <c:numCache>
                <c:formatCode>General</c:formatCode>
                <c:ptCount val="12"/>
                <c:pt idx="0">
                  <c:v>412</c:v>
                </c:pt>
                <c:pt idx="1">
                  <c:v>536</c:v>
                </c:pt>
                <c:pt idx="2">
                  <c:v>472</c:v>
                </c:pt>
                <c:pt idx="3">
                  <c:v>142</c:v>
                </c:pt>
                <c:pt idx="4">
                  <c:v>476</c:v>
                </c:pt>
                <c:pt idx="5">
                  <c:v>129</c:v>
                </c:pt>
                <c:pt idx="6">
                  <c:v>314</c:v>
                </c:pt>
                <c:pt idx="7">
                  <c:v>417</c:v>
                </c:pt>
                <c:pt idx="8">
                  <c:v>147</c:v>
                </c:pt>
                <c:pt idx="9">
                  <c:v>181</c:v>
                </c:pt>
                <c:pt idx="10">
                  <c:v>516</c:v>
                </c:pt>
                <c:pt idx="11">
                  <c:v>377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94-5E44-83DA-79EC38DCE752}"/>
            </c:ext>
          </c:extLst>
        </c:ser>
        <c:ser>
          <c:idx val="1"/>
          <c:order val="1"/>
          <c:tx>
            <c:strRef>
              <c:f>gamemins_harvard!$K$39:$K$40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gamemins_harvard!$H$41:$H$52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twidale</c:v>
                </c:pt>
                <c:pt idx="5">
                  <c:v>mccallop</c:v>
                </c:pt>
                <c:pt idx="6">
                  <c:v>ojukwu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gamemins_harvard!$K$41:$K$52</c:f>
              <c:numCache>
                <c:formatCode>General</c:formatCode>
                <c:ptCount val="12"/>
                <c:pt idx="0">
                  <c:v>63</c:v>
                </c:pt>
                <c:pt idx="1">
                  <c:v>23</c:v>
                </c:pt>
                <c:pt idx="2">
                  <c:v>54</c:v>
                </c:pt>
                <c:pt idx="3">
                  <c:v>2</c:v>
                </c:pt>
                <c:pt idx="4">
                  <c:v>60</c:v>
                </c:pt>
                <c:pt idx="5">
                  <c:v>2</c:v>
                </c:pt>
                <c:pt idx="6">
                  <c:v>40</c:v>
                </c:pt>
                <c:pt idx="7">
                  <c:v>70</c:v>
                </c:pt>
                <c:pt idx="8">
                  <c:v>15</c:v>
                </c:pt>
                <c:pt idx="9">
                  <c:v>1</c:v>
                </c:pt>
                <c:pt idx="10">
                  <c:v>75</c:v>
                </c:pt>
                <c:pt idx="11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D94-5E44-83DA-79EC38DCE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835430"/>
        <c:axId val="1465595182"/>
      </c:barChart>
      <c:catAx>
        <c:axId val="1410835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5595182"/>
        <c:crosses val="autoZero"/>
        <c:auto val="1"/>
        <c:lblAlgn val="ctr"/>
        <c:lblOffset val="100"/>
        <c:noMultiLvlLbl val="1"/>
      </c:catAx>
      <c:valAx>
        <c:axId val="1465595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08354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gamemins_harvard!$L$39:$L$40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gamemins_harvard!$H$41:$H$52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twidale</c:v>
                </c:pt>
                <c:pt idx="5">
                  <c:v>mccallop</c:v>
                </c:pt>
                <c:pt idx="6">
                  <c:v>ojukwu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gamemins_harvard!$L$41:$L$52</c:f>
              <c:numCache>
                <c:formatCode>0.00%</c:formatCode>
                <c:ptCount val="12"/>
                <c:pt idx="0">
                  <c:v>0.54933333333333334</c:v>
                </c:pt>
                <c:pt idx="1">
                  <c:v>0.74444444444444435</c:v>
                </c:pt>
                <c:pt idx="2">
                  <c:v>0.6293333333333333</c:v>
                </c:pt>
                <c:pt idx="3">
                  <c:v>0.20285714285714285</c:v>
                </c:pt>
                <c:pt idx="4">
                  <c:v>0.59499999999999997</c:v>
                </c:pt>
                <c:pt idx="5">
                  <c:v>0.15731707317073171</c:v>
                </c:pt>
                <c:pt idx="6">
                  <c:v>0.50645161290322582</c:v>
                </c:pt>
                <c:pt idx="7">
                  <c:v>0.50853658536585367</c:v>
                </c:pt>
                <c:pt idx="8">
                  <c:v>0.29108910891089113</c:v>
                </c:pt>
                <c:pt idx="9">
                  <c:v>0.24459459459459459</c:v>
                </c:pt>
                <c:pt idx="10">
                  <c:v>0.64500000000000002</c:v>
                </c:pt>
                <c:pt idx="11">
                  <c:v>0.64999999999999991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FB-3343-8453-77D2803DDFAD}"/>
            </c:ext>
          </c:extLst>
        </c:ser>
        <c:ser>
          <c:idx val="1"/>
          <c:order val="1"/>
          <c:tx>
            <c:strRef>
              <c:f>gamemins_harvard!$M$39:$M$40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gamemins_harvard!$H$41:$H$52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twidale</c:v>
                </c:pt>
                <c:pt idx="5">
                  <c:v>mccallop</c:v>
                </c:pt>
                <c:pt idx="6">
                  <c:v>ojukwu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gamemins_harvard!$M$41:$M$52</c:f>
              <c:numCache>
                <c:formatCode>0.00%</c:formatCode>
                <c:ptCount val="12"/>
                <c:pt idx="0">
                  <c:v>0.31500000000000006</c:v>
                </c:pt>
                <c:pt idx="1">
                  <c:v>0.35384615384615387</c:v>
                </c:pt>
                <c:pt idx="2">
                  <c:v>0.29189189189189191</c:v>
                </c:pt>
                <c:pt idx="3">
                  <c:v>9.0909090909090905E-3</c:v>
                </c:pt>
                <c:pt idx="4">
                  <c:v>0.27272727272727271</c:v>
                </c:pt>
                <c:pt idx="5">
                  <c:v>8.3333333333333332E-3</c:v>
                </c:pt>
                <c:pt idx="6">
                  <c:v>0.44444444444444442</c:v>
                </c:pt>
                <c:pt idx="7">
                  <c:v>0.35</c:v>
                </c:pt>
                <c:pt idx="8">
                  <c:v>0.3571428571428571</c:v>
                </c:pt>
                <c:pt idx="9">
                  <c:v>4.6511627906976744E-3</c:v>
                </c:pt>
                <c:pt idx="10">
                  <c:v>0.44117647058823528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FB-3343-8453-77D2803D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168222"/>
        <c:axId val="637381451"/>
      </c:barChart>
      <c:catAx>
        <c:axId val="641168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7381451"/>
        <c:crosses val="autoZero"/>
        <c:auto val="1"/>
        <c:lblAlgn val="ctr"/>
        <c:lblOffset val="100"/>
        <c:noMultiLvlLbl val="1"/>
      </c:catAx>
      <c:valAx>
        <c:axId val="637381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11682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gamemins_smc!$J$39:$J$40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gamemins_smc!$H$41:$H$52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gamemins_smc!$J$41:$J$52</c:f>
              <c:numCache>
                <c:formatCode>General</c:formatCode>
                <c:ptCount val="12"/>
                <c:pt idx="0">
                  <c:v>0</c:v>
                </c:pt>
                <c:pt idx="1">
                  <c:v>554</c:v>
                </c:pt>
                <c:pt idx="2">
                  <c:v>389</c:v>
                </c:pt>
                <c:pt idx="3">
                  <c:v>235</c:v>
                </c:pt>
                <c:pt idx="4">
                  <c:v>205</c:v>
                </c:pt>
                <c:pt idx="5">
                  <c:v>568</c:v>
                </c:pt>
                <c:pt idx="6">
                  <c:v>152</c:v>
                </c:pt>
                <c:pt idx="7">
                  <c:v>478</c:v>
                </c:pt>
                <c:pt idx="8">
                  <c:v>236</c:v>
                </c:pt>
                <c:pt idx="9">
                  <c:v>202</c:v>
                </c:pt>
                <c:pt idx="10">
                  <c:v>587</c:v>
                </c:pt>
                <c:pt idx="11">
                  <c:v>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24-C546-97A4-06D8D81F4ACC}"/>
            </c:ext>
          </c:extLst>
        </c:ser>
        <c:ser>
          <c:idx val="1"/>
          <c:order val="1"/>
          <c:tx>
            <c:strRef>
              <c:f>gamemins_smc!$K$39:$K$40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gamemins_smc!$H$41:$H$52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gamemins_smc!$K$41:$K$52</c:f>
              <c:numCache>
                <c:formatCode>General</c:formatCode>
                <c:ptCount val="12"/>
                <c:pt idx="0">
                  <c:v>0</c:v>
                </c:pt>
                <c:pt idx="1">
                  <c:v>26</c:v>
                </c:pt>
                <c:pt idx="2">
                  <c:v>23</c:v>
                </c:pt>
                <c:pt idx="3">
                  <c:v>26</c:v>
                </c:pt>
                <c:pt idx="4">
                  <c:v>5</c:v>
                </c:pt>
                <c:pt idx="5">
                  <c:v>55</c:v>
                </c:pt>
                <c:pt idx="6">
                  <c:v>7</c:v>
                </c:pt>
                <c:pt idx="7">
                  <c:v>63</c:v>
                </c:pt>
                <c:pt idx="8">
                  <c:v>15</c:v>
                </c:pt>
                <c:pt idx="9">
                  <c:v>4</c:v>
                </c:pt>
                <c:pt idx="10">
                  <c:v>73</c:v>
                </c:pt>
                <c:pt idx="11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24-C546-97A4-06D8D81F4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249805"/>
        <c:axId val="671744068"/>
      </c:barChart>
      <c:catAx>
        <c:axId val="1174249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1744068"/>
        <c:crosses val="autoZero"/>
        <c:auto val="1"/>
        <c:lblAlgn val="ctr"/>
        <c:lblOffset val="100"/>
        <c:noMultiLvlLbl val="1"/>
      </c:catAx>
      <c:valAx>
        <c:axId val="671744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42498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gamemins_smc!$L$39:$L$40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gamemins_smc!$H$41:$H$52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gamemins_smc!$L$41:$L$52</c:f>
              <c:numCache>
                <c:formatCode>0.00%</c:formatCode>
                <c:ptCount val="12"/>
                <c:pt idx="0">
                  <c:v>0</c:v>
                </c:pt>
                <c:pt idx="1">
                  <c:v>0.76944444444444438</c:v>
                </c:pt>
                <c:pt idx="2">
                  <c:v>0.51866666666666661</c:v>
                </c:pt>
                <c:pt idx="3">
                  <c:v>0.33571428571428574</c:v>
                </c:pt>
                <c:pt idx="4">
                  <c:v>0.25624999999999998</c:v>
                </c:pt>
                <c:pt idx="5">
                  <c:v>0.69268292682926824</c:v>
                </c:pt>
                <c:pt idx="6">
                  <c:v>0.24516129032258063</c:v>
                </c:pt>
                <c:pt idx="7">
                  <c:v>0.58292682926829276</c:v>
                </c:pt>
                <c:pt idx="8">
                  <c:v>0.4673267326732673</c:v>
                </c:pt>
                <c:pt idx="9">
                  <c:v>0.27297297297297296</c:v>
                </c:pt>
                <c:pt idx="10">
                  <c:v>0.73375000000000001</c:v>
                </c:pt>
                <c:pt idx="11">
                  <c:v>0.86206896551724144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DC-C045-8B24-DF40E019C81E}"/>
            </c:ext>
          </c:extLst>
        </c:ser>
        <c:ser>
          <c:idx val="1"/>
          <c:order val="1"/>
          <c:tx>
            <c:strRef>
              <c:f>gamemins_smc!$M$39:$M$40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gamemins_smc!$H$41:$H$52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gamemins_smc!$M$41:$M$52</c:f>
              <c:numCache>
                <c:formatCode>0.00%</c:formatCode>
                <c:ptCount val="12"/>
                <c:pt idx="0">
                  <c:v>0</c:v>
                </c:pt>
                <c:pt idx="1">
                  <c:v>0.4</c:v>
                </c:pt>
                <c:pt idx="2">
                  <c:v>0.12432432432432433</c:v>
                </c:pt>
                <c:pt idx="3">
                  <c:v>0.11818181818181819</c:v>
                </c:pt>
                <c:pt idx="4">
                  <c:v>2.2727272727272728E-2</c:v>
                </c:pt>
                <c:pt idx="5">
                  <c:v>0.22916666666666666</c:v>
                </c:pt>
                <c:pt idx="6">
                  <c:v>7.7777777777777779E-2</c:v>
                </c:pt>
                <c:pt idx="7">
                  <c:v>0.315</c:v>
                </c:pt>
                <c:pt idx="8">
                  <c:v>0.3571428571428571</c:v>
                </c:pt>
                <c:pt idx="9">
                  <c:v>1.8604651162790697E-2</c:v>
                </c:pt>
                <c:pt idx="10">
                  <c:v>0.42941176470588238</c:v>
                </c:pt>
                <c:pt idx="11">
                  <c:v>0.49333333333333335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2DC-C045-8B24-DF40E019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667802"/>
        <c:axId val="1261848280"/>
      </c:barChart>
      <c:catAx>
        <c:axId val="1092667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1848280"/>
        <c:crosses val="autoZero"/>
        <c:auto val="1"/>
        <c:lblAlgn val="ctr"/>
        <c:lblOffset val="100"/>
        <c:noMultiLvlLbl val="1"/>
      </c:catAx>
      <c:valAx>
        <c:axId val="1261848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26678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gamemins_sjsu!$J$39:$J$40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gamemins_sjsu!$H$41:$H$52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gamemins_sjsu!$J$41:$J$52</c:f>
              <c:numCache>
                <c:formatCode>General</c:formatCode>
                <c:ptCount val="12"/>
                <c:pt idx="0">
                  <c:v>262</c:v>
                </c:pt>
                <c:pt idx="1">
                  <c:v>448</c:v>
                </c:pt>
                <c:pt idx="2">
                  <c:v>405</c:v>
                </c:pt>
                <c:pt idx="3">
                  <c:v>376</c:v>
                </c:pt>
                <c:pt idx="4">
                  <c:v>330</c:v>
                </c:pt>
                <c:pt idx="5">
                  <c:v>493</c:v>
                </c:pt>
                <c:pt idx="6">
                  <c:v>405</c:v>
                </c:pt>
                <c:pt idx="7">
                  <c:v>297</c:v>
                </c:pt>
                <c:pt idx="8">
                  <c:v>126</c:v>
                </c:pt>
                <c:pt idx="9">
                  <c:v>384</c:v>
                </c:pt>
                <c:pt idx="10">
                  <c:v>492</c:v>
                </c:pt>
                <c:pt idx="11">
                  <c:v>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E6-3C4D-AA4C-C15B03ED12FE}"/>
            </c:ext>
          </c:extLst>
        </c:ser>
        <c:ser>
          <c:idx val="1"/>
          <c:order val="1"/>
          <c:tx>
            <c:strRef>
              <c:f>gamemins_sjsu!$K$39:$K$40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gamemins_sjsu!$H$41:$H$52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gamemins_sjsu!$K$41:$K$52</c:f>
              <c:numCache>
                <c:formatCode>General</c:formatCode>
                <c:ptCount val="12"/>
                <c:pt idx="0">
                  <c:v>63</c:v>
                </c:pt>
                <c:pt idx="1">
                  <c:v>22</c:v>
                </c:pt>
                <c:pt idx="2">
                  <c:v>43</c:v>
                </c:pt>
                <c:pt idx="3">
                  <c:v>62</c:v>
                </c:pt>
                <c:pt idx="4">
                  <c:v>29</c:v>
                </c:pt>
                <c:pt idx="5">
                  <c:v>111</c:v>
                </c:pt>
                <c:pt idx="6">
                  <c:v>46</c:v>
                </c:pt>
                <c:pt idx="7">
                  <c:v>82</c:v>
                </c:pt>
                <c:pt idx="8">
                  <c:v>51</c:v>
                </c:pt>
                <c:pt idx="9">
                  <c:v>41</c:v>
                </c:pt>
                <c:pt idx="10">
                  <c:v>52</c:v>
                </c:pt>
                <c:pt idx="11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E6-3C4D-AA4C-C15B03ED1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8980732"/>
        <c:axId val="1300678106"/>
      </c:barChart>
      <c:catAx>
        <c:axId val="1178980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0678106"/>
        <c:crosses val="autoZero"/>
        <c:auto val="1"/>
        <c:lblAlgn val="ctr"/>
        <c:lblOffset val="100"/>
        <c:noMultiLvlLbl val="1"/>
      </c:catAx>
      <c:valAx>
        <c:axId val="1300678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89807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gamemins_sjsu!$L$39:$L$40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gamemins_sjsu!$H$41:$H$52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gamemins_sjsu!$L$41:$L$52</c:f>
              <c:numCache>
                <c:formatCode>0.00%</c:formatCode>
                <c:ptCount val="12"/>
                <c:pt idx="0">
                  <c:v>0.34933333333333333</c:v>
                </c:pt>
                <c:pt idx="1">
                  <c:v>0.62222222222222223</c:v>
                </c:pt>
                <c:pt idx="2">
                  <c:v>0.54</c:v>
                </c:pt>
                <c:pt idx="3">
                  <c:v>0.53714285714285714</c:v>
                </c:pt>
                <c:pt idx="4">
                  <c:v>0.41249999999999998</c:v>
                </c:pt>
                <c:pt idx="5">
                  <c:v>0.60121951219512193</c:v>
                </c:pt>
                <c:pt idx="6">
                  <c:v>0.65322580645161299</c:v>
                </c:pt>
                <c:pt idx="7">
                  <c:v>0.36219512195121956</c:v>
                </c:pt>
                <c:pt idx="8">
                  <c:v>0.2495049504950495</c:v>
                </c:pt>
                <c:pt idx="9">
                  <c:v>0.51891891891891895</c:v>
                </c:pt>
                <c:pt idx="10">
                  <c:v>0.61499999999999999</c:v>
                </c:pt>
                <c:pt idx="11">
                  <c:v>0.55862068965517242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79-5047-AC34-390C51A6C9C9}"/>
            </c:ext>
          </c:extLst>
        </c:ser>
        <c:ser>
          <c:idx val="1"/>
          <c:order val="1"/>
          <c:tx>
            <c:strRef>
              <c:f>gamemins_sjsu!$M$39:$M$40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gamemins_sjsu!$H$41:$H$52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gamemins_sjsu!$M$41:$M$52</c:f>
              <c:numCache>
                <c:formatCode>0.00%</c:formatCode>
                <c:ptCount val="12"/>
                <c:pt idx="0">
                  <c:v>0.315</c:v>
                </c:pt>
                <c:pt idx="1">
                  <c:v>0.33846153846153848</c:v>
                </c:pt>
                <c:pt idx="2">
                  <c:v>0.23243243243243245</c:v>
                </c:pt>
                <c:pt idx="3">
                  <c:v>0.2818181818181818</c:v>
                </c:pt>
                <c:pt idx="4">
                  <c:v>0.13181818181818183</c:v>
                </c:pt>
                <c:pt idx="5">
                  <c:v>0.29166666666666669</c:v>
                </c:pt>
                <c:pt idx="6">
                  <c:v>0.56111111111111123</c:v>
                </c:pt>
                <c:pt idx="7">
                  <c:v>0.41000000000000003</c:v>
                </c:pt>
                <c:pt idx="8">
                  <c:v>0.3571428571428571</c:v>
                </c:pt>
                <c:pt idx="9">
                  <c:v>0.15553034600113441</c:v>
                </c:pt>
                <c:pt idx="10">
                  <c:v>0.27367288378766141</c:v>
                </c:pt>
                <c:pt idx="11">
                  <c:v>0.41097560975609759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479-5047-AC34-390C51A6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800886"/>
        <c:axId val="568372419"/>
      </c:barChart>
      <c:catAx>
        <c:axId val="212680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8372419"/>
        <c:crosses val="autoZero"/>
        <c:auto val="1"/>
        <c:lblAlgn val="ctr"/>
        <c:lblOffset val="100"/>
        <c:noMultiLvlLbl val="1"/>
      </c:catAx>
      <c:valAx>
        <c:axId val="568372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68008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gamemins_idaho!$J$39:$J$40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gamemins_idaho!$H$41:$H$52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gamemins_idaho!$J$41:$J$52</c:f>
              <c:numCache>
                <c:formatCode>General</c:formatCode>
                <c:ptCount val="12"/>
                <c:pt idx="0">
                  <c:v>459</c:v>
                </c:pt>
                <c:pt idx="1">
                  <c:v>264</c:v>
                </c:pt>
                <c:pt idx="2">
                  <c:v>350</c:v>
                </c:pt>
                <c:pt idx="3">
                  <c:v>86</c:v>
                </c:pt>
                <c:pt idx="4">
                  <c:v>219</c:v>
                </c:pt>
                <c:pt idx="5">
                  <c:v>527</c:v>
                </c:pt>
                <c:pt idx="6">
                  <c:v>95</c:v>
                </c:pt>
                <c:pt idx="7">
                  <c:v>431</c:v>
                </c:pt>
                <c:pt idx="8">
                  <c:v>72</c:v>
                </c:pt>
                <c:pt idx="9">
                  <c:v>107</c:v>
                </c:pt>
                <c:pt idx="10">
                  <c:v>414</c:v>
                </c:pt>
                <c:pt idx="11">
                  <c:v>386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DD-6841-AD83-941820707853}"/>
            </c:ext>
          </c:extLst>
        </c:ser>
        <c:ser>
          <c:idx val="1"/>
          <c:order val="1"/>
          <c:tx>
            <c:strRef>
              <c:f>gamemins_idaho!$K$39:$K$40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gamemins_idaho!$H$41:$H$52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gamemins_idaho!$K$41:$K$52</c:f>
              <c:numCache>
                <c:formatCode>General</c:formatCode>
                <c:ptCount val="12"/>
                <c:pt idx="0">
                  <c:v>123</c:v>
                </c:pt>
                <c:pt idx="1">
                  <c:v>18</c:v>
                </c:pt>
                <c:pt idx="2">
                  <c:v>34</c:v>
                </c:pt>
                <c:pt idx="3">
                  <c:v>1</c:v>
                </c:pt>
                <c:pt idx="4">
                  <c:v>32</c:v>
                </c:pt>
                <c:pt idx="5">
                  <c:v>73</c:v>
                </c:pt>
                <c:pt idx="6">
                  <c:v>1</c:v>
                </c:pt>
                <c:pt idx="7">
                  <c:v>117</c:v>
                </c:pt>
                <c:pt idx="8">
                  <c:v>2</c:v>
                </c:pt>
                <c:pt idx="9">
                  <c:v>0</c:v>
                </c:pt>
                <c:pt idx="10">
                  <c:v>55</c:v>
                </c:pt>
                <c:pt idx="11">
                  <c:v>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DD-6841-AD83-94182070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204992"/>
        <c:axId val="684311825"/>
      </c:barChart>
      <c:catAx>
        <c:axId val="107620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4311825"/>
        <c:crosses val="autoZero"/>
        <c:auto val="1"/>
        <c:lblAlgn val="ctr"/>
        <c:lblOffset val="100"/>
        <c:noMultiLvlLbl val="1"/>
      </c:catAx>
      <c:valAx>
        <c:axId val="68431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62049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gamemins_idaho!$L$39:$L$40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gamemins_idaho!$H$41:$H$52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gamemins_idaho!$L$41:$L$52</c:f>
              <c:numCache>
                <c:formatCode>0.00%</c:formatCode>
                <c:ptCount val="12"/>
                <c:pt idx="0">
                  <c:v>0.61199999999999999</c:v>
                </c:pt>
                <c:pt idx="1">
                  <c:v>0.3666666666666667</c:v>
                </c:pt>
                <c:pt idx="2">
                  <c:v>0.46666666666666667</c:v>
                </c:pt>
                <c:pt idx="3">
                  <c:v>0.12285714285714286</c:v>
                </c:pt>
                <c:pt idx="4">
                  <c:v>0.27374999999999999</c:v>
                </c:pt>
                <c:pt idx="5">
                  <c:v>0.64268292682926842</c:v>
                </c:pt>
                <c:pt idx="6">
                  <c:v>0.15322580645161291</c:v>
                </c:pt>
                <c:pt idx="7">
                  <c:v>0.525609756097561</c:v>
                </c:pt>
                <c:pt idx="8">
                  <c:v>0.14257425742574256</c:v>
                </c:pt>
                <c:pt idx="9">
                  <c:v>0.14459459459459459</c:v>
                </c:pt>
                <c:pt idx="10">
                  <c:v>0.51750000000000007</c:v>
                </c:pt>
                <c:pt idx="11">
                  <c:v>0.66551724137931034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3E-184C-872F-520394059889}"/>
            </c:ext>
          </c:extLst>
        </c:ser>
        <c:ser>
          <c:idx val="1"/>
          <c:order val="1"/>
          <c:tx>
            <c:strRef>
              <c:f>gamemins_idaho!$M$39:$M$40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gamemins_idaho!$H$41:$H$52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gamemins_idaho!$M$41:$M$52</c:f>
              <c:numCache>
                <c:formatCode>0.00%</c:formatCode>
                <c:ptCount val="12"/>
                <c:pt idx="0">
                  <c:v>0.61499999999999999</c:v>
                </c:pt>
                <c:pt idx="1">
                  <c:v>0.27692307692307694</c:v>
                </c:pt>
                <c:pt idx="2">
                  <c:v>0.18378378378378379</c:v>
                </c:pt>
                <c:pt idx="3">
                  <c:v>4.5454545454545452E-3</c:v>
                </c:pt>
                <c:pt idx="4">
                  <c:v>0.14545454545454545</c:v>
                </c:pt>
                <c:pt idx="5">
                  <c:v>0.3041666666666667</c:v>
                </c:pt>
                <c:pt idx="6">
                  <c:v>1.1111111111111112E-2</c:v>
                </c:pt>
                <c:pt idx="7">
                  <c:v>0.58499999999999996</c:v>
                </c:pt>
                <c:pt idx="8">
                  <c:v>4.7619047619047616E-2</c:v>
                </c:pt>
                <c:pt idx="9">
                  <c:v>0</c:v>
                </c:pt>
                <c:pt idx="10">
                  <c:v>0.32352941176470584</c:v>
                </c:pt>
                <c:pt idx="11">
                  <c:v>0.41333333333333333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3E-184C-872F-520394059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302184"/>
        <c:axId val="1483402265"/>
      </c:barChart>
      <c:catAx>
        <c:axId val="1993302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3402265"/>
        <c:crosses val="autoZero"/>
        <c:auto val="1"/>
        <c:lblAlgn val="ctr"/>
        <c:lblOffset val="100"/>
        <c:noMultiLvlLbl val="1"/>
      </c:catAx>
      <c:valAx>
        <c:axId val="1483402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33021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gamemins_stanford!$J$39:$J$40</c:f>
              <c:strCache>
                <c:ptCount val="2"/>
                <c:pt idx="1">
                  <c:v>total PL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gamemins_stanford!$H$41:$H$52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gamemins_stanford!$J$41:$J$52</c:f>
              <c:numCache>
                <c:formatCode>General</c:formatCode>
                <c:ptCount val="12"/>
                <c:pt idx="0">
                  <c:v>702</c:v>
                </c:pt>
                <c:pt idx="1">
                  <c:v>724</c:v>
                </c:pt>
                <c:pt idx="2">
                  <c:v>332</c:v>
                </c:pt>
                <c:pt idx="3">
                  <c:v>153</c:v>
                </c:pt>
                <c:pt idx="4">
                  <c:v>402</c:v>
                </c:pt>
                <c:pt idx="5">
                  <c:v>446</c:v>
                </c:pt>
                <c:pt idx="6">
                  <c:v>187</c:v>
                </c:pt>
                <c:pt idx="7">
                  <c:v>693</c:v>
                </c:pt>
                <c:pt idx="8">
                  <c:v>123</c:v>
                </c:pt>
                <c:pt idx="9">
                  <c:v>219</c:v>
                </c:pt>
                <c:pt idx="10">
                  <c:v>822</c:v>
                </c:pt>
                <c:pt idx="11">
                  <c:v>516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08-BB4E-BB5D-D09DD523845E}"/>
            </c:ext>
          </c:extLst>
        </c:ser>
        <c:ser>
          <c:idx val="1"/>
          <c:order val="1"/>
          <c:tx>
            <c:strRef>
              <c:f>gamemins_stanford!$K$39:$K$40</c:f>
              <c:strCache>
                <c:ptCount val="2"/>
                <c:pt idx="1">
                  <c:v>high PL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gamemins_stanford!$H$41:$H$52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gamemins_stanford!$K$41:$K$52</c:f>
              <c:numCache>
                <c:formatCode>General</c:formatCode>
                <c:ptCount val="12"/>
                <c:pt idx="0">
                  <c:v>167</c:v>
                </c:pt>
                <c:pt idx="1">
                  <c:v>40</c:v>
                </c:pt>
                <c:pt idx="2">
                  <c:v>27</c:v>
                </c:pt>
                <c:pt idx="3">
                  <c:v>1</c:v>
                </c:pt>
                <c:pt idx="4">
                  <c:v>46</c:v>
                </c:pt>
                <c:pt idx="5">
                  <c:v>43</c:v>
                </c:pt>
                <c:pt idx="6">
                  <c:v>44</c:v>
                </c:pt>
                <c:pt idx="7">
                  <c:v>47</c:v>
                </c:pt>
                <c:pt idx="8">
                  <c:v>7</c:v>
                </c:pt>
                <c:pt idx="9">
                  <c:v>43</c:v>
                </c:pt>
                <c:pt idx="10">
                  <c:v>89</c:v>
                </c:pt>
                <c:pt idx="11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08-BB4E-BB5D-D09DD523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749719"/>
        <c:axId val="319720295"/>
      </c:barChart>
      <c:catAx>
        <c:axId val="569749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9720295"/>
        <c:crosses val="autoZero"/>
        <c:auto val="1"/>
        <c:lblAlgn val="ctr"/>
        <c:lblOffset val="100"/>
        <c:noMultiLvlLbl val="1"/>
      </c:catAx>
      <c:valAx>
        <c:axId val="319720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97497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gamemins_stanford!$L$39:$L$40</c:f>
              <c:strCache>
                <c:ptCount val="2"/>
                <c:pt idx="1">
                  <c:v>tPL threshold%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gamemins_stanford!$H$41:$H$52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gamemins_stanford!$L$41:$L$52</c:f>
              <c:numCache>
                <c:formatCode>0.00%</c:formatCode>
                <c:ptCount val="12"/>
                <c:pt idx="0">
                  <c:v>0.93600000000000005</c:v>
                </c:pt>
                <c:pt idx="1">
                  <c:v>1.0055555555555555</c:v>
                </c:pt>
                <c:pt idx="2">
                  <c:v>0.44266666666666671</c:v>
                </c:pt>
                <c:pt idx="3">
                  <c:v>0.21857142857142858</c:v>
                </c:pt>
                <c:pt idx="4">
                  <c:v>0.50249999999999995</c:v>
                </c:pt>
                <c:pt idx="5">
                  <c:v>0.54390243902439028</c:v>
                </c:pt>
                <c:pt idx="6">
                  <c:v>0.30161290322580647</c:v>
                </c:pt>
                <c:pt idx="7">
                  <c:v>0.84512195121951217</c:v>
                </c:pt>
                <c:pt idx="8">
                  <c:v>0.24356435643564356</c:v>
                </c:pt>
                <c:pt idx="9">
                  <c:v>0.29594594594594592</c:v>
                </c:pt>
                <c:pt idx="10">
                  <c:v>1.0274999999999999</c:v>
                </c:pt>
                <c:pt idx="11">
                  <c:v>0.8896551724137931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E8-9145-A990-5A18F8DEAFE1}"/>
            </c:ext>
          </c:extLst>
        </c:ser>
        <c:ser>
          <c:idx val="1"/>
          <c:order val="1"/>
          <c:tx>
            <c:strRef>
              <c:f>gamemins_stanford!$M$39:$M$40</c:f>
              <c:strCache>
                <c:ptCount val="2"/>
                <c:pt idx="1">
                  <c:v>hPL threshold%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gamemins_stanford!$H$41:$H$52</c:f>
              <c:strCache>
                <c:ptCount val="12"/>
                <c:pt idx="0">
                  <c:v>sheppard</c:v>
                </c:pt>
                <c:pt idx="1">
                  <c:v>barnes</c:v>
                </c:pt>
                <c:pt idx="2">
                  <c:v>donez</c:v>
                </c:pt>
                <c:pt idx="3">
                  <c:v>johnson</c:v>
                </c:pt>
                <c:pt idx="4">
                  <c:v>ojukwu</c:v>
                </c:pt>
                <c:pt idx="5">
                  <c:v>twidale</c:v>
                </c:pt>
                <c:pt idx="6">
                  <c:v>mccallop</c:v>
                </c:pt>
                <c:pt idx="7">
                  <c:v>maul</c:v>
                </c:pt>
                <c:pt idx="8">
                  <c:v>langarita</c:v>
                </c:pt>
                <c:pt idx="9">
                  <c:v>drosouni</c:v>
                </c:pt>
                <c:pt idx="10">
                  <c:v>morris</c:v>
                </c:pt>
                <c:pt idx="11">
                  <c:v>walker</c:v>
                </c:pt>
              </c:strCache>
            </c:strRef>
          </c:cat>
          <c:val>
            <c:numRef>
              <c:f>gamemins_stanford!$M$41:$M$52</c:f>
              <c:numCache>
                <c:formatCode>0.00%</c:formatCode>
                <c:ptCount val="12"/>
                <c:pt idx="0">
                  <c:v>0.83499999999999996</c:v>
                </c:pt>
                <c:pt idx="1">
                  <c:v>0.61538461538461542</c:v>
                </c:pt>
                <c:pt idx="2">
                  <c:v>0.14594594594594595</c:v>
                </c:pt>
                <c:pt idx="3">
                  <c:v>4.5454545454545452E-3</c:v>
                </c:pt>
                <c:pt idx="4">
                  <c:v>0.20909090909090908</c:v>
                </c:pt>
                <c:pt idx="5">
                  <c:v>0.18790650406504067</c:v>
                </c:pt>
                <c:pt idx="6">
                  <c:v>9.1327913279132797E-2</c:v>
                </c:pt>
                <c:pt idx="7">
                  <c:v>0.27890243902439027</c:v>
                </c:pt>
                <c:pt idx="8">
                  <c:v>0.16666666666666666</c:v>
                </c:pt>
                <c:pt idx="9">
                  <c:v>1.3953488372093023E-2</c:v>
                </c:pt>
                <c:pt idx="10">
                  <c:v>0.50172166427546627</c:v>
                </c:pt>
                <c:pt idx="11">
                  <c:v>0.45463414634146343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E8-9145-A990-5A18F8DE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7935655"/>
        <c:axId val="1563417529"/>
      </c:barChart>
      <c:catAx>
        <c:axId val="1577935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3417529"/>
        <c:crosses val="autoZero"/>
        <c:auto val="1"/>
        <c:lblAlgn val="ctr"/>
        <c:lblOffset val="100"/>
        <c:noMultiLvlLbl val="1"/>
      </c:catAx>
      <c:valAx>
        <c:axId val="1563417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79356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puff</a:t>
            </a:r>
          </a:p>
        </c:rich>
      </c:tx>
      <c:layout>
        <c:manualLayout>
          <c:xMode val="edge"/>
          <c:yMode val="edge"/>
          <c:x val="3.0916666666666669E-2"/>
          <c:y val="5.539083557951482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westmont</c:v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32C-9A4F-8B74-EDEC8AA020CF}"/>
              </c:ext>
            </c:extLst>
          </c:dPt>
          <c:cat>
            <c:strRef>
              <c:f>move_prof_visuals!$K$1:$N$1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move_prof_visuals!$K$2:$N$2</c:f>
              <c:numCache>
                <c:formatCode>General</c:formatCode>
                <c:ptCount val="4"/>
                <c:pt idx="0">
                  <c:v>5.67</c:v>
                </c:pt>
                <c:pt idx="1">
                  <c:v>4.05</c:v>
                </c:pt>
                <c:pt idx="2">
                  <c:v>8.01</c:v>
                </c:pt>
                <c:pt idx="3">
                  <c:v>1.9000000000000001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32C-9A4F-8B74-EDEC8AA020CF}"/>
            </c:ext>
          </c:extLst>
        </c:ser>
        <c:ser>
          <c:idx val="1"/>
          <c:order val="1"/>
          <c:tx>
            <c:v>vandy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632C-9A4F-8B74-EDEC8AA020CF}"/>
              </c:ext>
            </c:extLst>
          </c:dPt>
          <c:cat>
            <c:strRef>
              <c:f>move_prof_visuals!$K$1:$N$1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move_prof_visuals!$K$3:$N$3</c:f>
              <c:numCache>
                <c:formatCode>General</c:formatCode>
                <c:ptCount val="4"/>
                <c:pt idx="0">
                  <c:v>6.93</c:v>
                </c:pt>
                <c:pt idx="1">
                  <c:v>6.45</c:v>
                </c:pt>
                <c:pt idx="2">
                  <c:v>9.07</c:v>
                </c:pt>
                <c:pt idx="3">
                  <c:v>4.05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32C-9A4F-8B74-EDEC8AA020CF}"/>
            </c:ext>
          </c:extLst>
        </c:ser>
        <c:ser>
          <c:idx val="2"/>
          <c:order val="2"/>
          <c:tx>
            <c:v>sac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move_prof_visuals!$K$1:$N$1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move_prof_visuals!$K$4:$N$4</c:f>
              <c:numCache>
                <c:formatCode>General</c:formatCode>
                <c:ptCount val="4"/>
                <c:pt idx="0">
                  <c:v>6.06</c:v>
                </c:pt>
                <c:pt idx="1">
                  <c:v>5.25</c:v>
                </c:pt>
                <c:pt idx="2">
                  <c:v>7.95</c:v>
                </c:pt>
                <c:pt idx="3">
                  <c:v>3.45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32C-9A4F-8B74-EDEC8AA020CF}"/>
            </c:ext>
          </c:extLst>
        </c:ser>
        <c:ser>
          <c:idx val="3"/>
          <c:order val="3"/>
          <c:tx>
            <c:v>pacific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move_prof_visuals!$K$1:$N$1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move_prof_visuals!$K$5:$N$5</c:f>
              <c:numCache>
                <c:formatCode>General</c:formatCode>
                <c:ptCount val="4"/>
                <c:pt idx="0">
                  <c:v>4.99</c:v>
                </c:pt>
                <c:pt idx="1">
                  <c:v>4.5</c:v>
                </c:pt>
                <c:pt idx="2">
                  <c:v>8.2100000000000009</c:v>
                </c:pt>
                <c:pt idx="3">
                  <c:v>2.75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32C-9A4F-8B74-EDEC8AA02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431883"/>
        <c:axId val="1585432519"/>
      </c:barChart>
      <c:catAx>
        <c:axId val="273431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game/quarter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2519"/>
        <c:crosses val="autoZero"/>
        <c:auto val="1"/>
        <c:lblAlgn val="ctr"/>
        <c:lblOffset val="100"/>
        <c:noMultiLvlLbl val="1"/>
      </c:catAx>
      <c:valAx>
        <c:axId val="1585432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3431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clau</a:t>
            </a:r>
          </a:p>
        </c:rich>
      </c:tx>
      <c:layout>
        <c:manualLayout>
          <c:xMode val="edge"/>
          <c:yMode val="edge"/>
          <c:x val="3.0916666666666669E-2"/>
          <c:y val="5.9895340084019331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westmont</c:v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3B1-084A-9A1B-8A2EF69D37ED}"/>
              </c:ext>
            </c:extLst>
          </c:dPt>
          <c:cat>
            <c:strRef>
              <c:f>move_prof_visuals!$K$6:$N$6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move_prof_visuals!$K$7:$N$7</c:f>
              <c:numCache>
                <c:formatCode>General</c:formatCode>
                <c:ptCount val="4"/>
                <c:pt idx="0">
                  <c:v>3.68</c:v>
                </c:pt>
                <c:pt idx="1">
                  <c:v>0.95000000000000007</c:v>
                </c:pt>
                <c:pt idx="2">
                  <c:v>6.2</c:v>
                </c:pt>
                <c:pt idx="3">
                  <c:v>1.2000000000000002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B1-084A-9A1B-8A2EF69D37ED}"/>
            </c:ext>
          </c:extLst>
        </c:ser>
        <c:ser>
          <c:idx val="1"/>
          <c:order val="1"/>
          <c:tx>
            <c:v>vandy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83B1-084A-9A1B-8A2EF69D37ED}"/>
              </c:ext>
            </c:extLst>
          </c:dPt>
          <c:cat>
            <c:strRef>
              <c:f>move_prof_visuals!$K$6:$N$6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move_prof_visuals!$K$8:$N$8</c:f>
              <c:numCache>
                <c:formatCode>General</c:formatCode>
                <c:ptCount val="4"/>
                <c:pt idx="0">
                  <c:v>2.14</c:v>
                </c:pt>
                <c:pt idx="1">
                  <c:v>0.55000000000000004</c:v>
                </c:pt>
                <c:pt idx="2">
                  <c:v>5.66</c:v>
                </c:pt>
                <c:pt idx="3">
                  <c:v>0.85000000000000009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3B1-084A-9A1B-8A2EF69D37ED}"/>
            </c:ext>
          </c:extLst>
        </c:ser>
        <c:ser>
          <c:idx val="2"/>
          <c:order val="2"/>
          <c:tx>
            <c:v>sac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move_prof_visuals!$K$6:$N$6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move_prof_visuals!$K$9:$N$9</c:f>
              <c:numCache>
                <c:formatCode>General</c:formatCode>
                <c:ptCount val="4"/>
                <c:pt idx="0">
                  <c:v>2.88</c:v>
                </c:pt>
                <c:pt idx="1">
                  <c:v>0.60000000000000009</c:v>
                </c:pt>
                <c:pt idx="2">
                  <c:v>4.76</c:v>
                </c:pt>
                <c:pt idx="3">
                  <c:v>0.70000000000000007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3B1-084A-9A1B-8A2EF69D37ED}"/>
            </c:ext>
          </c:extLst>
        </c:ser>
        <c:ser>
          <c:idx val="3"/>
          <c:order val="3"/>
          <c:tx>
            <c:v>pacific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move_prof_visuals!$K$6:$N$6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move_prof_visuals!$K$10:$N$10</c:f>
              <c:numCache>
                <c:formatCode>General</c:formatCode>
                <c:ptCount val="4"/>
                <c:pt idx="0">
                  <c:v>2.25</c:v>
                </c:pt>
                <c:pt idx="1">
                  <c:v>0.15000000000000002</c:v>
                </c:pt>
                <c:pt idx="2">
                  <c:v>4.58</c:v>
                </c:pt>
                <c:pt idx="3">
                  <c:v>0.85000000000000009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3B1-084A-9A1B-8A2EF69D3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05930"/>
        <c:axId val="1828599730"/>
      </c:barChart>
      <c:catAx>
        <c:axId val="190405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game/quarter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8599730"/>
        <c:crosses val="autoZero"/>
        <c:auto val="1"/>
        <c:lblAlgn val="ctr"/>
        <c:lblOffset val="100"/>
        <c:noMultiLvlLbl val="1"/>
      </c:catAx>
      <c:valAx>
        <c:axId val="1828599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4059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gmaul</a:t>
            </a:r>
          </a:p>
        </c:rich>
      </c:tx>
      <c:layout>
        <c:manualLayout>
          <c:xMode val="edge"/>
          <c:yMode val="edge"/>
          <c:x val="3.0916666666666669E-2"/>
          <c:y val="5.539083557951482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westmont</c:v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6A3-9B43-A807-C4D06E5D757F}"/>
              </c:ext>
            </c:extLst>
          </c:dPt>
          <c:cat>
            <c:strRef>
              <c:f>move_prof_visuals!$K$11:$N$11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move_prof_visuals!$K$12:$N$12</c:f>
              <c:numCache>
                <c:formatCode>General</c:formatCode>
                <c:ptCount val="4"/>
                <c:pt idx="0">
                  <c:v>4.76</c:v>
                </c:pt>
                <c:pt idx="1">
                  <c:v>3.8000000000000003</c:v>
                </c:pt>
                <c:pt idx="2">
                  <c:v>8.33</c:v>
                </c:pt>
                <c:pt idx="3">
                  <c:v>1.7000000000000002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A3-9B43-A807-C4D06E5D757F}"/>
            </c:ext>
          </c:extLst>
        </c:ser>
        <c:ser>
          <c:idx val="1"/>
          <c:order val="1"/>
          <c:tx>
            <c:v>vandy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76A3-9B43-A807-C4D06E5D757F}"/>
              </c:ext>
            </c:extLst>
          </c:dPt>
          <c:cat>
            <c:strRef>
              <c:f>move_prof_visuals!$K$11:$N$11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move_prof_visuals!$K$13:$N$13</c:f>
              <c:numCache>
                <c:formatCode>General</c:formatCode>
                <c:ptCount val="4"/>
                <c:pt idx="0">
                  <c:v>2.82</c:v>
                </c:pt>
                <c:pt idx="1">
                  <c:v>1.2000000000000002</c:v>
                </c:pt>
                <c:pt idx="2">
                  <c:v>7.77</c:v>
                </c:pt>
                <c:pt idx="3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6A3-9B43-A807-C4D06E5D757F}"/>
            </c:ext>
          </c:extLst>
        </c:ser>
        <c:ser>
          <c:idx val="2"/>
          <c:order val="2"/>
          <c:tx>
            <c:v>sac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move_prof_visuals!$K$11:$N$11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move_prof_visuals!$K$14:$N$14</c:f>
              <c:numCache>
                <c:formatCode>General</c:formatCode>
                <c:ptCount val="4"/>
                <c:pt idx="0">
                  <c:v>5.67</c:v>
                </c:pt>
                <c:pt idx="1">
                  <c:v>4.3500000000000005</c:v>
                </c:pt>
                <c:pt idx="2">
                  <c:v>7.82</c:v>
                </c:pt>
                <c:pt idx="3">
                  <c:v>1.3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6A3-9B43-A807-C4D06E5D757F}"/>
            </c:ext>
          </c:extLst>
        </c:ser>
        <c:ser>
          <c:idx val="3"/>
          <c:order val="3"/>
          <c:tx>
            <c:v>pacific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move_prof_visuals!$K$11:$N$11</c:f>
              <c:strCache>
                <c:ptCount val="4"/>
                <c:pt idx="0">
                  <c:v>Tot PL</c:v>
                </c:pt>
                <c:pt idx="1">
                  <c:v>PL Bands 3+</c:v>
                </c:pt>
                <c:pt idx="2">
                  <c:v>PL Per Minute</c:v>
                </c:pt>
                <c:pt idx="3">
                  <c:v>High IMA</c:v>
                </c:pt>
              </c:strCache>
            </c:strRef>
          </c:cat>
          <c:val>
            <c:numRef>
              <c:f>move_prof_visuals!$K$15:$N$15</c:f>
              <c:numCache>
                <c:formatCode>General</c:formatCode>
                <c:ptCount val="4"/>
                <c:pt idx="0">
                  <c:v>5.59</c:v>
                </c:pt>
                <c:pt idx="1">
                  <c:v>4.9000000000000004</c:v>
                </c:pt>
                <c:pt idx="2">
                  <c:v>8.5</c:v>
                </c:pt>
                <c:pt idx="3">
                  <c:v>1.85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6A3-9B43-A807-C4D06E5D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904154"/>
        <c:axId val="622025985"/>
      </c:barChart>
      <c:catAx>
        <c:axId val="831904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game/quarter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2025985"/>
        <c:crosses val="autoZero"/>
        <c:auto val="1"/>
        <c:lblAlgn val="ctr"/>
        <c:lblOffset val="100"/>
        <c:noMultiLvlLbl val="1"/>
      </c:catAx>
      <c:valAx>
        <c:axId val="622025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9041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expected min/game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'PL numbers'!$D$20</c:f>
              <c:strCache>
                <c:ptCount val="1"/>
                <c:pt idx="0">
                  <c:v>expected min/game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'PL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'PL numbers'!$D$21:$D$25</c:f>
              <c:numCache>
                <c:formatCode>0.0</c:formatCode>
                <c:ptCount val="5"/>
                <c:pt idx="0">
                  <c:v>31.64516129032258</c:v>
                </c:pt>
                <c:pt idx="1">
                  <c:v>32.108401645648847</c:v>
                </c:pt>
                <c:pt idx="2">
                  <c:v>22.066666666666663</c:v>
                </c:pt>
                <c:pt idx="3">
                  <c:v>13.831271451632301</c:v>
                </c:pt>
                <c:pt idx="4">
                  <c:v>8.129032258064516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7E-2741-844E-48BF40C3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9145783"/>
        <c:axId val="2033607427"/>
      </c:barChart>
      <c:catAx>
        <c:axId val="12591457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3607427"/>
        <c:crosses val="autoZero"/>
        <c:auto val="1"/>
        <c:lblAlgn val="ctr"/>
        <c:lblOffset val="100"/>
        <c:noMultiLvlLbl val="1"/>
      </c:catAx>
      <c:valAx>
        <c:axId val="2033607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expected min/game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914578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High IMA/game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'High IMA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'High IMA numbers'!$C$21:$C$25</c:f>
              <c:numCache>
                <c:formatCode>0.0</c:formatCode>
                <c:ptCount val="5"/>
                <c:pt idx="0">
                  <c:v>72.41935483870968</c:v>
                </c:pt>
                <c:pt idx="1">
                  <c:v>47.896551724137929</c:v>
                </c:pt>
                <c:pt idx="2">
                  <c:v>48.866666666666667</c:v>
                </c:pt>
                <c:pt idx="3">
                  <c:v>26.847826086956523</c:v>
                </c:pt>
                <c:pt idx="4">
                  <c:v>23.870967741935484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2E-A345-87E9-14CA7921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179558"/>
        <c:axId val="2069787763"/>
      </c:barChart>
      <c:catAx>
        <c:axId val="16181795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9787763"/>
        <c:crosses val="autoZero"/>
        <c:auto val="1"/>
        <c:lblAlgn val="ctr"/>
        <c:lblOffset val="100"/>
        <c:noMultiLvlLbl val="1"/>
      </c:catAx>
      <c:valAx>
        <c:axId val="20697877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High IMA/game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17955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MII 1/game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'MII 1 numbers'!$C$20</c:f>
              <c:strCache>
                <c:ptCount val="1"/>
                <c:pt idx="0">
                  <c:v>average MII 1/game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'MII 1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'MII 1 numbers'!$C$21:$C$25</c:f>
              <c:numCache>
                <c:formatCode>0.0</c:formatCode>
                <c:ptCount val="5"/>
                <c:pt idx="0">
                  <c:v>21.451612903225808</c:v>
                </c:pt>
                <c:pt idx="1">
                  <c:v>18.556704980842913</c:v>
                </c:pt>
                <c:pt idx="2">
                  <c:v>18.566666666666666</c:v>
                </c:pt>
                <c:pt idx="3">
                  <c:v>17.170568561872908</c:v>
                </c:pt>
                <c:pt idx="4">
                  <c:v>17.870967741935484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31-0E43-8444-C9EB2B47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18210"/>
        <c:axId val="17976857"/>
      </c:barChart>
      <c:catAx>
        <c:axId val="1223182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76857"/>
        <c:crosses val="autoZero"/>
        <c:auto val="1"/>
        <c:lblAlgn val="ctr"/>
        <c:lblOffset val="100"/>
        <c:noMultiLvlLbl val="1"/>
      </c:catAx>
      <c:valAx>
        <c:axId val="17976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MII 1/game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3182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MII 2/game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'MII 2 numbers'!$C$20</c:f>
              <c:strCache>
                <c:ptCount val="1"/>
                <c:pt idx="0">
                  <c:v>average MII 2/game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'MII 2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'MII 2 numbers'!$C$21:$C$25</c:f>
              <c:numCache>
                <c:formatCode>0.0</c:formatCode>
                <c:ptCount val="5"/>
                <c:pt idx="0">
                  <c:v>47.516129032258064</c:v>
                </c:pt>
                <c:pt idx="1">
                  <c:v>41.680076628352488</c:v>
                </c:pt>
                <c:pt idx="2">
                  <c:v>41.033333333333331</c:v>
                </c:pt>
                <c:pt idx="3">
                  <c:v>36.392976588628763</c:v>
                </c:pt>
                <c:pt idx="4">
                  <c:v>34.354838709677416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90-D748-AC0E-021715CC5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359811"/>
        <c:axId val="1953411042"/>
      </c:barChart>
      <c:catAx>
        <c:axId val="7373598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3411042"/>
        <c:crosses val="autoZero"/>
        <c:auto val="1"/>
        <c:lblAlgn val="ctr"/>
        <c:lblOffset val="100"/>
        <c:noMultiLvlLbl val="1"/>
      </c:catAx>
      <c:valAx>
        <c:axId val="1953411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MII 2/game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35981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MII 3/game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'MII 3 numbers'!$C$20</c:f>
              <c:strCache>
                <c:ptCount val="1"/>
                <c:pt idx="0">
                  <c:v>average MII 3/game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'MII 3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'MII 3 numbers'!$C$21:$C$25</c:f>
              <c:numCache>
                <c:formatCode>0.0</c:formatCode>
                <c:ptCount val="5"/>
                <c:pt idx="0">
                  <c:v>71.258064516129039</c:v>
                </c:pt>
                <c:pt idx="1">
                  <c:v>61.569731800766284</c:v>
                </c:pt>
                <c:pt idx="2">
                  <c:v>57.43333333333333</c:v>
                </c:pt>
                <c:pt idx="3">
                  <c:v>47.012541806020067</c:v>
                </c:pt>
                <c:pt idx="4">
                  <c:v>38.774193548387096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A7-7B49-A6A7-F6AE6906E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8009274"/>
        <c:axId val="1429668174"/>
      </c:barChart>
      <c:catAx>
        <c:axId val="16280092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9668174"/>
        <c:crosses val="autoZero"/>
        <c:auto val="1"/>
        <c:lblAlgn val="ctr"/>
        <c:lblOffset val="100"/>
        <c:noMultiLvlLbl val="1"/>
      </c:catAx>
      <c:valAx>
        <c:axId val="14296681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MII 3/game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800927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PL 3+/game vs. position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'PL 3+ numbers'!$C$20</c:f>
              <c:strCache>
                <c:ptCount val="1"/>
                <c:pt idx="0">
                  <c:v>average PL 3+/game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'PL 3+ numbers'!$A$21:$A$25</c:f>
              <c:strCache>
                <c:ptCount val="5"/>
                <c:pt idx="0">
                  <c:v>point guard</c:v>
                </c:pt>
                <c:pt idx="1">
                  <c:v>primary guard</c:v>
                </c:pt>
                <c:pt idx="2">
                  <c:v>primary forward</c:v>
                </c:pt>
                <c:pt idx="3">
                  <c:v>secondary guard</c:v>
                </c:pt>
                <c:pt idx="4">
                  <c:v>secondary forward</c:v>
                </c:pt>
              </c:strCache>
            </c:strRef>
          </c:cat>
          <c:val>
            <c:numRef>
              <c:f>'PL 3+ numbers'!$C$21:$C$25</c:f>
              <c:numCache>
                <c:formatCode>0.0</c:formatCode>
                <c:ptCount val="5"/>
                <c:pt idx="0">
                  <c:v>173.74193548387098</c:v>
                </c:pt>
                <c:pt idx="1">
                  <c:v>79.742145593869736</c:v>
                </c:pt>
                <c:pt idx="2">
                  <c:v>65.233333333333334</c:v>
                </c:pt>
                <c:pt idx="3">
                  <c:v>41.445652173913047</c:v>
                </c:pt>
                <c:pt idx="4">
                  <c:v>26.483870967741936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B2-154D-A136-BAB3D3BDA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517546"/>
        <c:axId val="599839248"/>
      </c:barChart>
      <c:catAx>
        <c:axId val="7425175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839248"/>
        <c:crosses val="autoZero"/>
        <c:auto val="1"/>
        <c:lblAlgn val="ctr"/>
        <c:lblOffset val="100"/>
        <c:noMultiLvlLbl val="1"/>
      </c:catAx>
      <c:valAx>
        <c:axId val="5998392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PL 3+/game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251754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76</xdr:row>
      <xdr:rowOff>76200</xdr:rowOff>
    </xdr:from>
    <xdr:ext cx="6410325" cy="397192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2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962025</xdr:colOff>
      <xdr:row>76</xdr:row>
      <xdr:rowOff>76200</xdr:rowOff>
    </xdr:from>
    <xdr:ext cx="6410325" cy="397192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2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76200</xdr:colOff>
      <xdr:row>2</xdr:row>
      <xdr:rowOff>38100</xdr:rowOff>
    </xdr:from>
    <xdr:ext cx="3495675" cy="21621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76200</xdr:colOff>
      <xdr:row>12</xdr:row>
      <xdr:rowOff>161925</xdr:rowOff>
    </xdr:from>
    <xdr:ext cx="3495675" cy="21621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914400</xdr:colOff>
      <xdr:row>54</xdr:row>
      <xdr:rowOff>19050</xdr:rowOff>
    </xdr:from>
    <xdr:ext cx="6410325" cy="397192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1238250</xdr:colOff>
      <xdr:row>54</xdr:row>
      <xdr:rowOff>19050</xdr:rowOff>
    </xdr:from>
    <xdr:ext cx="6410325" cy="397192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914400</xdr:colOff>
      <xdr:row>54</xdr:row>
      <xdr:rowOff>19050</xdr:rowOff>
    </xdr:from>
    <xdr:ext cx="6410325" cy="397192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1238250</xdr:colOff>
      <xdr:row>54</xdr:row>
      <xdr:rowOff>19050</xdr:rowOff>
    </xdr:from>
    <xdr:ext cx="6410325" cy="397192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914400</xdr:colOff>
      <xdr:row>54</xdr:row>
      <xdr:rowOff>19050</xdr:rowOff>
    </xdr:from>
    <xdr:ext cx="6410325" cy="397192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1238250</xdr:colOff>
      <xdr:row>54</xdr:row>
      <xdr:rowOff>19050</xdr:rowOff>
    </xdr:from>
    <xdr:ext cx="6410325" cy="397192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914400</xdr:colOff>
      <xdr:row>54</xdr:row>
      <xdr:rowOff>19050</xdr:rowOff>
    </xdr:from>
    <xdr:ext cx="6410325" cy="397192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1238250</xdr:colOff>
      <xdr:row>54</xdr:row>
      <xdr:rowOff>19050</xdr:rowOff>
    </xdr:from>
    <xdr:ext cx="6410325" cy="397192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85725</xdr:rowOff>
    </xdr:from>
    <xdr:ext cx="6410325" cy="397192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923925</xdr:colOff>
      <xdr:row>55</xdr:row>
      <xdr:rowOff>85725</xdr:rowOff>
    </xdr:from>
    <xdr:ext cx="6410325" cy="397192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2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933450</xdr:colOff>
      <xdr:row>1</xdr:row>
      <xdr:rowOff>0</xdr:rowOff>
    </xdr:from>
    <xdr:ext cx="5715000" cy="2819400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2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933450</xdr:colOff>
      <xdr:row>15</xdr:row>
      <xdr:rowOff>19050</xdr:rowOff>
    </xdr:from>
    <xdr:ext cx="5715000" cy="2819400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2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933450</xdr:colOff>
      <xdr:row>29</xdr:row>
      <xdr:rowOff>38100</xdr:rowOff>
    </xdr:from>
    <xdr:ext cx="5715000" cy="2819400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2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17</xdr:row>
      <xdr:rowOff>47625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17</xdr:row>
      <xdr:rowOff>47625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17</xdr:row>
      <xdr:rowOff>47625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17</xdr:row>
      <xdr:rowOff>47625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17</xdr:row>
      <xdr:rowOff>47625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17</xdr:row>
      <xdr:rowOff>47625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WS_WARMUP" displayName="WS_WARMUP" ref="A24:E38">
  <tableColumns count="5">
    <tableColumn id="1" xr3:uid="{00000000-0010-0000-3200-000001000000}" name="player"/>
    <tableColumn id="2" xr3:uid="{00000000-0010-0000-3200-000002000000}" name="total PL"/>
    <tableColumn id="3" xr3:uid="{00000000-0010-0000-3200-000003000000}" name="high PL"/>
    <tableColumn id="4" xr3:uid="{00000000-0010-0000-3200-000004000000}" name="tPL %"/>
    <tableColumn id="5" xr3:uid="{00000000-0010-0000-3200-000005000000}" name="hPL %"/>
  </tableColumns>
  <tableStyleInfo name="Cheung_Morgan_Work_Sa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quarter_one_8" displayName="quarter_one_8" ref="H24:M38">
  <tableColumns count="6">
    <tableColumn id="1" xr3:uid="{00000000-0010-0000-3300-000001000000}" name="player"/>
    <tableColumn id="2" xr3:uid="{00000000-0010-0000-3300-000002000000}" name="mins"/>
    <tableColumn id="3" xr3:uid="{00000000-0010-0000-3300-000003000000}" name="total PL"/>
    <tableColumn id="4" xr3:uid="{00000000-0010-0000-3300-000004000000}" name="high PL"/>
    <tableColumn id="5" xr3:uid="{00000000-0010-0000-3300-000005000000}" name="tPL %"/>
    <tableColumn id="6" xr3:uid="{00000000-0010-0000-3300-000006000000}" name="hPL %"/>
  </tableColumns>
  <tableStyleInfo name="Cheung_Morgan_Work_Sampl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quarter_two_8" displayName="quarter_two_8" ref="A41:F55">
  <tableColumns count="6">
    <tableColumn id="1" xr3:uid="{00000000-0010-0000-3400-000001000000}" name="player"/>
    <tableColumn id="2" xr3:uid="{00000000-0010-0000-3400-000002000000}" name="mins"/>
    <tableColumn id="3" xr3:uid="{00000000-0010-0000-3400-000003000000}" name="total PL"/>
    <tableColumn id="4" xr3:uid="{00000000-0010-0000-3400-000004000000}" name="high PL"/>
    <tableColumn id="5" xr3:uid="{00000000-0010-0000-3400-000005000000}" name="tPL %"/>
    <tableColumn id="6" xr3:uid="{00000000-0010-0000-3400-000006000000}" name="hPL %"/>
  </tableColumns>
  <tableStyleInfo name="Cheung_Morgan_Work_Sampl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quarter_three_8" displayName="quarter_three_8" ref="H41:M55">
  <tableColumns count="6">
    <tableColumn id="1" xr3:uid="{00000000-0010-0000-3500-000001000000}" name="player"/>
    <tableColumn id="2" xr3:uid="{00000000-0010-0000-3500-000002000000}" name="mins"/>
    <tableColumn id="3" xr3:uid="{00000000-0010-0000-3500-000003000000}" name="total PL"/>
    <tableColumn id="4" xr3:uid="{00000000-0010-0000-3500-000004000000}" name="high PL"/>
    <tableColumn id="5" xr3:uid="{00000000-0010-0000-3500-000005000000}" name="tPL %"/>
    <tableColumn id="6" xr3:uid="{00000000-0010-0000-3500-000006000000}" name="hPL %"/>
  </tableColumns>
  <tableStyleInfo name="Cheung_Morgan_Work_Sample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quarter_four_8" displayName="quarter_four_8" ref="A61:F75">
  <tableColumns count="6">
    <tableColumn id="1" xr3:uid="{00000000-0010-0000-3600-000001000000}" name="player"/>
    <tableColumn id="2" xr3:uid="{00000000-0010-0000-3600-000002000000}" name="mins"/>
    <tableColumn id="3" xr3:uid="{00000000-0010-0000-3600-000003000000}" name="total PL"/>
    <tableColumn id="4" xr3:uid="{00000000-0010-0000-3600-000004000000}" name="high PL"/>
    <tableColumn id="5" xr3:uid="{00000000-0010-0000-3600-000005000000}" name="tPL %"/>
    <tableColumn id="6" xr3:uid="{00000000-0010-0000-3600-000006000000}" name="hPL %"/>
  </tableColumns>
  <tableStyleInfo name="Cheung_Morgan_Work_Sample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cumulative_report_8" displayName="cumulative_report_8" ref="H61:M75">
  <tableColumns count="6">
    <tableColumn id="1" xr3:uid="{00000000-0010-0000-3700-000001000000}" name="player"/>
    <tableColumn id="2" xr3:uid="{00000000-0010-0000-3700-000002000000}" name="mins"/>
    <tableColumn id="3" xr3:uid="{00000000-0010-0000-3700-000003000000}" name="total PL"/>
    <tableColumn id="4" xr3:uid="{00000000-0010-0000-3700-000004000000}" name="high PL"/>
    <tableColumn id="5" xr3:uid="{00000000-0010-0000-3700-000005000000}" name="tPL threshold%"/>
    <tableColumn id="6" xr3:uid="{00000000-0010-0000-3700-000006000000}" name="hPL threshold%"/>
  </tableColumns>
  <tableStyleInfo name="Cheung_Morgan_Work_Sample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9:I41">
  <tableColumns count="9">
    <tableColumn id="1" xr3:uid="{00000000-0010-0000-0000-000001000000}" name="player"/>
    <tableColumn id="2" xr3:uid="{00000000-0010-0000-0000-000002000000}" name="warmup"/>
    <tableColumn id="3" xr3:uid="{00000000-0010-0000-0000-000003000000}" name="q1"/>
    <tableColumn id="4" xr3:uid="{00000000-0010-0000-0000-000004000000}" name="q2"/>
    <tableColumn id="5" xr3:uid="{00000000-0010-0000-0000-000005000000}" name="half total"/>
    <tableColumn id="6" xr3:uid="{00000000-0010-0000-0000-000006000000}" name="q3"/>
    <tableColumn id="7" xr3:uid="{00000000-0010-0000-0000-000007000000}" name="pre fourth total"/>
    <tableColumn id="8" xr3:uid="{00000000-0010-0000-0000-000008000000}" name="q4"/>
    <tableColumn id="9" xr3:uid="{00000000-0010-0000-0000-000009000000}" name="total"/>
  </tableColumns>
  <tableStyleInfo name="gamemins_west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_1" displayName="quarter_1" ref="A38:E52">
  <tableColumns count="5">
    <tableColumn id="1" xr3:uid="{00000000-0010-0000-0100-000001000000}" name="player"/>
    <tableColumn id="2" xr3:uid="{00000000-0010-0000-0100-000002000000}" name="mins"/>
    <tableColumn id="3" xr3:uid="{00000000-0010-0000-0100-000003000000}" name="total PL"/>
    <tableColumn id="4" xr3:uid="{00000000-0010-0000-0100-000004000000}" name="high PL"/>
    <tableColumn id="5" xr3:uid="{00000000-0010-0000-0100-000005000000}" name="threshold %"/>
  </tableColumns>
  <tableStyleInfo name="gamemins_sac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arter_2" displayName="quarter_2" ref="F38:J52">
  <tableColumns count="5">
    <tableColumn id="1" xr3:uid="{00000000-0010-0000-0200-000001000000}" name="player"/>
    <tableColumn id="2" xr3:uid="{00000000-0010-0000-0200-000002000000}" name="mins"/>
    <tableColumn id="3" xr3:uid="{00000000-0010-0000-0200-000003000000}" name="total PL"/>
    <tableColumn id="4" xr3:uid="{00000000-0010-0000-0200-000004000000}" name="high PL"/>
    <tableColumn id="5" xr3:uid="{00000000-0010-0000-0200-000005000000}" name="threshold %"/>
  </tableColumns>
  <tableStyleInfo name="gamemins_sac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arter_3" displayName="quarter_3" ref="K38:O52">
  <tableColumns count="5">
    <tableColumn id="1" xr3:uid="{00000000-0010-0000-0300-000001000000}" name="player"/>
    <tableColumn id="2" xr3:uid="{00000000-0010-0000-0300-000002000000}" name="mins"/>
    <tableColumn id="3" xr3:uid="{00000000-0010-0000-0300-000003000000}" name="total PL"/>
    <tableColumn id="4" xr3:uid="{00000000-0010-0000-0300-000004000000}" name="high PL"/>
    <tableColumn id="5" xr3:uid="{00000000-0010-0000-0300-000005000000}" name="threshold %"/>
  </tableColumns>
  <tableStyleInfo name="gamemins_sac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arter_4" displayName="quarter_4" ref="P38:T52">
  <tableColumns count="5">
    <tableColumn id="1" xr3:uid="{00000000-0010-0000-0400-000001000000}" name="player"/>
    <tableColumn id="2" xr3:uid="{00000000-0010-0000-0400-000002000000}" name="mins"/>
    <tableColumn id="3" xr3:uid="{00000000-0010-0000-0400-000003000000}" name="total PL"/>
    <tableColumn id="4" xr3:uid="{00000000-0010-0000-0400-000004000000}" name="high PL"/>
    <tableColumn id="5" xr3:uid="{00000000-0010-0000-0400-000005000000}" name="threshold %"/>
  </tableColumns>
  <tableStyleInfo name="gamemins_sac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V39:Y51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gamemins_sac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alftime_report" displayName="halftime_report" ref="A55:E69">
  <tableColumns count="5">
    <tableColumn id="1" xr3:uid="{00000000-0010-0000-0600-000001000000}" name="player"/>
    <tableColumn id="2" xr3:uid="{00000000-0010-0000-0600-000002000000}" name="mins"/>
    <tableColumn id="3" xr3:uid="{00000000-0010-0000-0600-000003000000}" name="total PL"/>
    <tableColumn id="4" xr3:uid="{00000000-0010-0000-0600-000004000000}" name="high PL"/>
    <tableColumn id="5" xr3:uid="{00000000-0010-0000-0600-000005000000}" name="threshold %"/>
  </tableColumns>
  <tableStyleInfo name="gamemins_sac-style 6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nal_report" displayName="final_report" ref="G55:K69">
  <tableColumns count="5">
    <tableColumn id="1" xr3:uid="{00000000-0010-0000-0700-000001000000}" name="player"/>
    <tableColumn id="2" xr3:uid="{00000000-0010-0000-0700-000002000000}" name="mins"/>
    <tableColumn id="3" xr3:uid="{00000000-0010-0000-0700-000003000000}" name="total PL"/>
    <tableColumn id="4" xr3:uid="{00000000-0010-0000-0700-000004000000}" name="high PL"/>
    <tableColumn id="5" xr3:uid="{00000000-0010-0000-0700-000005000000}" name="threshold %"/>
  </tableColumns>
  <tableStyleInfo name="gamemins_sac-style 7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armup" displayName="warmup" ref="A23:E37">
  <tableColumns count="5">
    <tableColumn id="1" xr3:uid="{00000000-0010-0000-0800-000001000000}" name="player"/>
    <tableColumn id="2" xr3:uid="{00000000-0010-0000-0800-000002000000}" name="total PL"/>
    <tableColumn id="3" xr3:uid="{00000000-0010-0000-0800-000003000000}" name="high PL"/>
    <tableColumn id="4" xr3:uid="{00000000-0010-0000-0800-000004000000}" name="tPL %"/>
    <tableColumn id="5" xr3:uid="{00000000-0010-0000-0800-000005000000}" name="hPL %"/>
  </tableColumns>
  <tableStyleInfo name="gamemins_pac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arter_one" displayName="quarter_one" ref="G23:L37">
  <tableColumns count="6">
    <tableColumn id="1" xr3:uid="{00000000-0010-0000-0900-000001000000}" name="player"/>
    <tableColumn id="2" xr3:uid="{00000000-0010-0000-0900-000002000000}" name="mins"/>
    <tableColumn id="3" xr3:uid="{00000000-0010-0000-0900-000003000000}" name="total PL"/>
    <tableColumn id="4" xr3:uid="{00000000-0010-0000-0900-000004000000}" name="high PL"/>
    <tableColumn id="5" xr3:uid="{00000000-0010-0000-0900-000005000000}" name="tPL %"/>
    <tableColumn id="6" xr3:uid="{00000000-0010-0000-0900-000006000000}" name="hPL %"/>
  </tableColumns>
  <tableStyleInfo name="gamemins_pac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arter_two" displayName="quarter_two" ref="N23:S37">
  <tableColumns count="6">
    <tableColumn id="1" xr3:uid="{00000000-0010-0000-0A00-000001000000}" name="player"/>
    <tableColumn id="2" xr3:uid="{00000000-0010-0000-0A00-000002000000}" name="mins"/>
    <tableColumn id="3" xr3:uid="{00000000-0010-0000-0A00-000003000000}" name="total PL"/>
    <tableColumn id="4" xr3:uid="{00000000-0010-0000-0A00-000004000000}" name="high PL"/>
    <tableColumn id="5" xr3:uid="{00000000-0010-0000-0A00-000005000000}" name="tPL %"/>
    <tableColumn id="6" xr3:uid="{00000000-0010-0000-0A00-000006000000}" name="hPL %"/>
  </tableColumns>
  <tableStyleInfo name="gamemins_pac-style 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arter_three" displayName="quarter_three" ref="U23:Z37">
  <tableColumns count="6">
    <tableColumn id="1" xr3:uid="{00000000-0010-0000-0B00-000001000000}" name="player"/>
    <tableColumn id="2" xr3:uid="{00000000-0010-0000-0B00-000002000000}" name="mins"/>
    <tableColumn id="3" xr3:uid="{00000000-0010-0000-0B00-000003000000}" name="total PL"/>
    <tableColumn id="4" xr3:uid="{00000000-0010-0000-0B00-000004000000}" name="high PL"/>
    <tableColumn id="5" xr3:uid="{00000000-0010-0000-0B00-000005000000}" name="tPL %"/>
    <tableColumn id="6" xr3:uid="{00000000-0010-0000-0B00-000006000000}" name="hPL %"/>
  </tableColumns>
  <tableStyleInfo name="gamemins_pac-style 4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quarter_four" displayName="quarter_four" ref="A40:F54">
  <tableColumns count="6">
    <tableColumn id="1" xr3:uid="{00000000-0010-0000-0C00-000001000000}" name="player"/>
    <tableColumn id="2" xr3:uid="{00000000-0010-0000-0C00-000002000000}" name="mins"/>
    <tableColumn id="3" xr3:uid="{00000000-0010-0000-0C00-000003000000}" name="total PL"/>
    <tableColumn id="4" xr3:uid="{00000000-0010-0000-0C00-000004000000}" name="high PL"/>
    <tableColumn id="5" xr3:uid="{00000000-0010-0000-0C00-000005000000}" name="tPL %"/>
    <tableColumn id="6" xr3:uid="{00000000-0010-0000-0C00-000006000000}" name="hPL %"/>
  </tableColumns>
  <tableStyleInfo name="gamemins_pac-style 5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umulative_report" displayName="cumulative_report" ref="H40:M54">
  <tableColumns count="6">
    <tableColumn id="1" xr3:uid="{00000000-0010-0000-0D00-000001000000}" name="player"/>
    <tableColumn id="2" xr3:uid="{00000000-0010-0000-0D00-000002000000}" name="mins"/>
    <tableColumn id="3" xr3:uid="{00000000-0010-0000-0D00-000003000000}" name="total PL"/>
    <tableColumn id="4" xr3:uid="{00000000-0010-0000-0D00-000004000000}" name="high PL"/>
    <tableColumn id="5" xr3:uid="{00000000-0010-0000-0D00-000005000000}" name="tPL threshold%"/>
    <tableColumn id="6" xr3:uid="{00000000-0010-0000-0D00-000006000000}" name="hPL threshold%"/>
  </tableColumns>
  <tableStyleInfo name="gamemins_pac-style 6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armup_2" displayName="warmup_2" ref="A23:E37">
  <tableColumns count="5">
    <tableColumn id="1" xr3:uid="{00000000-0010-0000-0E00-000001000000}" name="player"/>
    <tableColumn id="2" xr3:uid="{00000000-0010-0000-0E00-000002000000}" name="total PL"/>
    <tableColumn id="3" xr3:uid="{00000000-0010-0000-0E00-000003000000}" name="high PL"/>
    <tableColumn id="4" xr3:uid="{00000000-0010-0000-0E00-000004000000}" name="tPL %"/>
    <tableColumn id="5" xr3:uid="{00000000-0010-0000-0E00-000005000000}" name="hPL %"/>
  </tableColumns>
  <tableStyleInfo name="gamemins_charlotte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quarter_one_2" displayName="quarter_one_2" ref="G23:L37">
  <tableColumns count="6">
    <tableColumn id="1" xr3:uid="{00000000-0010-0000-0F00-000001000000}" name="player"/>
    <tableColumn id="2" xr3:uid="{00000000-0010-0000-0F00-000002000000}" name="mins"/>
    <tableColumn id="3" xr3:uid="{00000000-0010-0000-0F00-000003000000}" name="total PL"/>
    <tableColumn id="4" xr3:uid="{00000000-0010-0000-0F00-000004000000}" name="high PL"/>
    <tableColumn id="5" xr3:uid="{00000000-0010-0000-0F00-000005000000}" name="tPL %"/>
    <tableColumn id="6" xr3:uid="{00000000-0010-0000-0F00-000006000000}" name="hPL %"/>
  </tableColumns>
  <tableStyleInfo name="gamemins_charlotte-style 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quarter_two_2" displayName="quarter_two_2" ref="N23:S37">
  <tableColumns count="6">
    <tableColumn id="1" xr3:uid="{00000000-0010-0000-1000-000001000000}" name="player"/>
    <tableColumn id="2" xr3:uid="{00000000-0010-0000-1000-000002000000}" name="mins"/>
    <tableColumn id="3" xr3:uid="{00000000-0010-0000-1000-000003000000}" name="total PL"/>
    <tableColumn id="4" xr3:uid="{00000000-0010-0000-1000-000004000000}" name="high PL"/>
    <tableColumn id="5" xr3:uid="{00000000-0010-0000-1000-000005000000}" name="tPL %"/>
    <tableColumn id="6" xr3:uid="{00000000-0010-0000-1000-000006000000}" name="hPL %"/>
  </tableColumns>
  <tableStyleInfo name="gamemins_charlotte-style 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quarter_three_2" displayName="quarter_three_2" ref="U23:AE37">
  <tableColumns count="11">
    <tableColumn id="1" xr3:uid="{00000000-0010-0000-1100-000001000000}" name="player"/>
    <tableColumn id="2" xr3:uid="{00000000-0010-0000-1100-000002000000}" name="mins"/>
    <tableColumn id="3" xr3:uid="{00000000-0010-0000-1100-000003000000}" name="total PL"/>
    <tableColumn id="4" xr3:uid="{00000000-0010-0000-1100-000004000000}" name="high PL"/>
    <tableColumn id="5" xr3:uid="{00000000-0010-0000-1100-000005000000}" name="tPL %"/>
    <tableColumn id="6" xr3:uid="{00000000-0010-0000-1100-000006000000}" name="hPL %"/>
    <tableColumn id="7" xr3:uid="{00000000-0010-0000-1100-000007000000}" name="Column 9"/>
    <tableColumn id="8" xr3:uid="{00000000-0010-0000-1100-000008000000}" name="Column 7"/>
    <tableColumn id="9" xr3:uid="{00000000-0010-0000-1100-000009000000}" name="Column 8"/>
    <tableColumn id="10" xr3:uid="{00000000-0010-0000-1100-00000A000000}" name="Column 11"/>
    <tableColumn id="11" xr3:uid="{00000000-0010-0000-1100-00000B000000}" name="Column 12"/>
  </tableColumns>
  <tableStyleInfo name="gamemins_charlotte-style 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quarter_four_2" displayName="quarter_four_2" ref="A40:F54">
  <tableColumns count="6">
    <tableColumn id="1" xr3:uid="{00000000-0010-0000-1200-000001000000}" name="player"/>
    <tableColumn id="2" xr3:uid="{00000000-0010-0000-1200-000002000000}" name="mins"/>
    <tableColumn id="3" xr3:uid="{00000000-0010-0000-1200-000003000000}" name="total PL"/>
    <tableColumn id="4" xr3:uid="{00000000-0010-0000-1200-000004000000}" name="high PL"/>
    <tableColumn id="5" xr3:uid="{00000000-0010-0000-1200-000005000000}" name="tPL %"/>
    <tableColumn id="6" xr3:uid="{00000000-0010-0000-1200-000006000000}" name="hPL %"/>
  </tableColumns>
  <tableStyleInfo name="gamemins_charlotte-style 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umulative_report_2" displayName="cumulative_report_2" ref="H40:M54">
  <tableColumns count="6">
    <tableColumn id="1" xr3:uid="{00000000-0010-0000-1300-000001000000}" name="player"/>
    <tableColumn id="2" xr3:uid="{00000000-0010-0000-1300-000002000000}" name="mins"/>
    <tableColumn id="3" xr3:uid="{00000000-0010-0000-1300-000003000000}" name="total PL"/>
    <tableColumn id="4" xr3:uid="{00000000-0010-0000-1300-000004000000}" name="high PL"/>
    <tableColumn id="5" xr3:uid="{00000000-0010-0000-1300-000005000000}" name="tPL threshold%"/>
    <tableColumn id="6" xr3:uid="{00000000-0010-0000-1300-000006000000}" name="hPL threshold%"/>
  </tableColumns>
  <tableStyleInfo name="gamemins_charlotte-style 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warmup_3" displayName="warmup_3" ref="A23:E37">
  <tableColumns count="5">
    <tableColumn id="1" xr3:uid="{00000000-0010-0000-1400-000001000000}" name="player"/>
    <tableColumn id="2" xr3:uid="{00000000-0010-0000-1400-000002000000}" name="total PL"/>
    <tableColumn id="3" xr3:uid="{00000000-0010-0000-1400-000003000000}" name="high PL"/>
    <tableColumn id="4" xr3:uid="{00000000-0010-0000-1400-000004000000}" name="tPL %"/>
    <tableColumn id="5" xr3:uid="{00000000-0010-0000-1400-000005000000}" name="hPL %"/>
  </tableColumns>
  <tableStyleInfo name="gamemins_harvard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quarter_one_3" displayName="quarter_one_3" ref="G23:L37">
  <tableColumns count="6">
    <tableColumn id="1" xr3:uid="{00000000-0010-0000-1500-000001000000}" name="player"/>
    <tableColumn id="2" xr3:uid="{00000000-0010-0000-1500-000002000000}" name="mins"/>
    <tableColumn id="3" xr3:uid="{00000000-0010-0000-1500-000003000000}" name="total PL"/>
    <tableColumn id="4" xr3:uid="{00000000-0010-0000-1500-000004000000}" name="high PL"/>
    <tableColumn id="5" xr3:uid="{00000000-0010-0000-1500-000005000000}" name="tPL %"/>
    <tableColumn id="6" xr3:uid="{00000000-0010-0000-1500-000006000000}" name="hPL %"/>
  </tableColumns>
  <tableStyleInfo name="gamemins_harvard-style 2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quarter_two_3" displayName="quarter_two_3" ref="N23:S37">
  <tableColumns count="6">
    <tableColumn id="1" xr3:uid="{00000000-0010-0000-1600-000001000000}" name="player"/>
    <tableColumn id="2" xr3:uid="{00000000-0010-0000-1600-000002000000}" name="mins"/>
    <tableColumn id="3" xr3:uid="{00000000-0010-0000-1600-000003000000}" name="total PL"/>
    <tableColumn id="4" xr3:uid="{00000000-0010-0000-1600-000004000000}" name="high PL"/>
    <tableColumn id="5" xr3:uid="{00000000-0010-0000-1600-000005000000}" name="tPL %"/>
    <tableColumn id="6" xr3:uid="{00000000-0010-0000-1600-000006000000}" name="hPL %"/>
  </tableColumns>
  <tableStyleInfo name="gamemins_harvard-style 3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quarter_three_3" displayName="quarter_three_3" ref="U23:Z37">
  <tableColumns count="6">
    <tableColumn id="1" xr3:uid="{00000000-0010-0000-1700-000001000000}" name="player"/>
    <tableColumn id="2" xr3:uid="{00000000-0010-0000-1700-000002000000}" name="mins"/>
    <tableColumn id="3" xr3:uid="{00000000-0010-0000-1700-000003000000}" name="total PL"/>
    <tableColumn id="4" xr3:uid="{00000000-0010-0000-1700-000004000000}" name="high PL"/>
    <tableColumn id="5" xr3:uid="{00000000-0010-0000-1700-000005000000}" name="tPL %"/>
    <tableColumn id="6" xr3:uid="{00000000-0010-0000-1700-000006000000}" name="hPL %"/>
  </tableColumns>
  <tableStyleInfo name="gamemins_harvard-style 4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quarter_four_3" displayName="quarter_four_3" ref="A40:F54">
  <tableColumns count="6">
    <tableColumn id="1" xr3:uid="{00000000-0010-0000-1800-000001000000}" name="player"/>
    <tableColumn id="2" xr3:uid="{00000000-0010-0000-1800-000002000000}" name="mins"/>
    <tableColumn id="3" xr3:uid="{00000000-0010-0000-1800-000003000000}" name="total PL"/>
    <tableColumn id="4" xr3:uid="{00000000-0010-0000-1800-000004000000}" name="high PL"/>
    <tableColumn id="5" xr3:uid="{00000000-0010-0000-1800-000005000000}" name="tPL %"/>
    <tableColumn id="6" xr3:uid="{00000000-0010-0000-1800-000006000000}" name="hPL %"/>
  </tableColumns>
  <tableStyleInfo name="gamemins_harvard-style 5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umulative_report_3" displayName="cumulative_report_3" ref="H40:M54">
  <tableColumns count="6">
    <tableColumn id="1" xr3:uid="{00000000-0010-0000-1900-000001000000}" name="player"/>
    <tableColumn id="2" xr3:uid="{00000000-0010-0000-1900-000002000000}" name="mins"/>
    <tableColumn id="3" xr3:uid="{00000000-0010-0000-1900-000003000000}" name="total PL"/>
    <tableColumn id="4" xr3:uid="{00000000-0010-0000-1900-000004000000}" name="high PL"/>
    <tableColumn id="5" xr3:uid="{00000000-0010-0000-1900-000005000000}" name="tPL threshold%"/>
    <tableColumn id="6" xr3:uid="{00000000-0010-0000-1900-000006000000}" name="hPL threshold%"/>
  </tableColumns>
  <tableStyleInfo name="gamemins_harvard-style 6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warmup_4" displayName="warmup_4" ref="A23:E37">
  <tableColumns count="5">
    <tableColumn id="1" xr3:uid="{00000000-0010-0000-1A00-000001000000}" name="player"/>
    <tableColumn id="2" xr3:uid="{00000000-0010-0000-1A00-000002000000}" name="total PL"/>
    <tableColumn id="3" xr3:uid="{00000000-0010-0000-1A00-000003000000}" name="high PL"/>
    <tableColumn id="4" xr3:uid="{00000000-0010-0000-1A00-000004000000}" name="tPL %"/>
    <tableColumn id="5" xr3:uid="{00000000-0010-0000-1A00-000005000000}" name="hPL %"/>
  </tableColumns>
  <tableStyleInfo name="gamemins_smc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quarter_one_4" displayName="quarter_one_4" ref="G23:L37">
  <tableColumns count="6">
    <tableColumn id="1" xr3:uid="{00000000-0010-0000-1B00-000001000000}" name="player"/>
    <tableColumn id="2" xr3:uid="{00000000-0010-0000-1B00-000002000000}" name="mins"/>
    <tableColumn id="3" xr3:uid="{00000000-0010-0000-1B00-000003000000}" name="total PL"/>
    <tableColumn id="4" xr3:uid="{00000000-0010-0000-1B00-000004000000}" name="high PL"/>
    <tableColumn id="5" xr3:uid="{00000000-0010-0000-1B00-000005000000}" name="tPL %"/>
    <tableColumn id="6" xr3:uid="{00000000-0010-0000-1B00-000006000000}" name="hPL %"/>
  </tableColumns>
  <tableStyleInfo name="gamemins_smc-style 2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quarter_two_4" displayName="quarter_two_4" ref="N23:S37">
  <tableColumns count="6">
    <tableColumn id="1" xr3:uid="{00000000-0010-0000-1C00-000001000000}" name="player"/>
    <tableColumn id="2" xr3:uid="{00000000-0010-0000-1C00-000002000000}" name="mins"/>
    <tableColumn id="3" xr3:uid="{00000000-0010-0000-1C00-000003000000}" name="total PL"/>
    <tableColumn id="4" xr3:uid="{00000000-0010-0000-1C00-000004000000}" name="high PL"/>
    <tableColumn id="5" xr3:uid="{00000000-0010-0000-1C00-000005000000}" name="tPL %"/>
    <tableColumn id="6" xr3:uid="{00000000-0010-0000-1C00-000006000000}" name="hPL %"/>
  </tableColumns>
  <tableStyleInfo name="gamemins_smc-style 3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quarter_three_4" displayName="quarter_three_4" ref="U23:Z37">
  <tableColumns count="6">
    <tableColumn id="1" xr3:uid="{00000000-0010-0000-1D00-000001000000}" name="player"/>
    <tableColumn id="2" xr3:uid="{00000000-0010-0000-1D00-000002000000}" name="mins"/>
    <tableColumn id="3" xr3:uid="{00000000-0010-0000-1D00-000003000000}" name="total PL"/>
    <tableColumn id="4" xr3:uid="{00000000-0010-0000-1D00-000004000000}" name="high PL"/>
    <tableColumn id="5" xr3:uid="{00000000-0010-0000-1D00-000005000000}" name="tPL %"/>
    <tableColumn id="6" xr3:uid="{00000000-0010-0000-1D00-000006000000}" name="hPL %"/>
  </tableColumns>
  <tableStyleInfo name="gamemins_smc-style 4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quarter_four_4" displayName="quarter_four_4" ref="A40:F54">
  <tableColumns count="6">
    <tableColumn id="1" xr3:uid="{00000000-0010-0000-1E00-000001000000}" name="player"/>
    <tableColumn id="2" xr3:uid="{00000000-0010-0000-1E00-000002000000}" name="mins"/>
    <tableColumn id="3" xr3:uid="{00000000-0010-0000-1E00-000003000000}" name="total PL"/>
    <tableColumn id="4" xr3:uid="{00000000-0010-0000-1E00-000004000000}" name="high PL"/>
    <tableColumn id="5" xr3:uid="{00000000-0010-0000-1E00-000005000000}" name="tPL %"/>
    <tableColumn id="6" xr3:uid="{00000000-0010-0000-1E00-000006000000}" name="hPL %"/>
  </tableColumns>
  <tableStyleInfo name="gamemins_smc-style 5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umulative_report_4" displayName="cumulative_report_4" ref="H40:M54">
  <tableColumns count="6">
    <tableColumn id="1" xr3:uid="{00000000-0010-0000-1F00-000001000000}" name="player"/>
    <tableColumn id="2" xr3:uid="{00000000-0010-0000-1F00-000002000000}" name="mins"/>
    <tableColumn id="3" xr3:uid="{00000000-0010-0000-1F00-000003000000}" name="total PL"/>
    <tableColumn id="4" xr3:uid="{00000000-0010-0000-1F00-000004000000}" name="high PL"/>
    <tableColumn id="5" xr3:uid="{00000000-0010-0000-1F00-000005000000}" name="tPL threshold%"/>
    <tableColumn id="6" xr3:uid="{00000000-0010-0000-1F00-000006000000}" name="hPL threshold%"/>
  </tableColumns>
  <tableStyleInfo name="gamemins_smc-style 6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warmup_5" displayName="warmup_5" ref="A23:E37">
  <tableColumns count="5">
    <tableColumn id="1" xr3:uid="{00000000-0010-0000-2000-000001000000}" name="player"/>
    <tableColumn id="2" xr3:uid="{00000000-0010-0000-2000-000002000000}" name="total PL"/>
    <tableColumn id="3" xr3:uid="{00000000-0010-0000-2000-000003000000}" name="high PL"/>
    <tableColumn id="4" xr3:uid="{00000000-0010-0000-2000-000004000000}" name="tPL %"/>
    <tableColumn id="5" xr3:uid="{00000000-0010-0000-2000-000005000000}" name="hPL %"/>
  </tableColumns>
  <tableStyleInfo name="gamemins_sjsu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quarter_one_5" displayName="quarter_one_5" ref="G23:L37">
  <tableColumns count="6">
    <tableColumn id="1" xr3:uid="{00000000-0010-0000-2100-000001000000}" name="player"/>
    <tableColumn id="2" xr3:uid="{00000000-0010-0000-2100-000002000000}" name="mins"/>
    <tableColumn id="3" xr3:uid="{00000000-0010-0000-2100-000003000000}" name="total PL"/>
    <tableColumn id="4" xr3:uid="{00000000-0010-0000-2100-000004000000}" name="high PL"/>
    <tableColumn id="5" xr3:uid="{00000000-0010-0000-2100-000005000000}" name="tPL %"/>
    <tableColumn id="6" xr3:uid="{00000000-0010-0000-2100-000006000000}" name="hPL %"/>
  </tableColumns>
  <tableStyleInfo name="gamemins_sjsu-style 2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quarter_two_5" displayName="quarter_two_5" ref="N23:S37">
  <tableColumns count="6">
    <tableColumn id="1" xr3:uid="{00000000-0010-0000-2200-000001000000}" name="player"/>
    <tableColumn id="2" xr3:uid="{00000000-0010-0000-2200-000002000000}" name="mins"/>
    <tableColumn id="3" xr3:uid="{00000000-0010-0000-2200-000003000000}" name="total PL"/>
    <tableColumn id="4" xr3:uid="{00000000-0010-0000-2200-000004000000}" name="high PL"/>
    <tableColumn id="5" xr3:uid="{00000000-0010-0000-2200-000005000000}" name="tPL %"/>
    <tableColumn id="6" xr3:uid="{00000000-0010-0000-2200-000006000000}" name="hPL %"/>
  </tableColumns>
  <tableStyleInfo name="gamemins_sjsu-style 3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quarter_three_5" displayName="quarter_three_5" ref="U23:Z37">
  <tableColumns count="6">
    <tableColumn id="1" xr3:uid="{00000000-0010-0000-2300-000001000000}" name="player"/>
    <tableColumn id="2" xr3:uid="{00000000-0010-0000-2300-000002000000}" name="mins"/>
    <tableColumn id="3" xr3:uid="{00000000-0010-0000-2300-000003000000}" name="total PL"/>
    <tableColumn id="4" xr3:uid="{00000000-0010-0000-2300-000004000000}" name="high PL"/>
    <tableColumn id="5" xr3:uid="{00000000-0010-0000-2300-000005000000}" name="tPL %"/>
    <tableColumn id="6" xr3:uid="{00000000-0010-0000-2300-000006000000}" name="hPL %"/>
  </tableColumns>
  <tableStyleInfo name="gamemins_sjsu-style 4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quarter_four_5" displayName="quarter_four_5" ref="A40:F54">
  <tableColumns count="6">
    <tableColumn id="1" xr3:uid="{00000000-0010-0000-2400-000001000000}" name="player"/>
    <tableColumn id="2" xr3:uid="{00000000-0010-0000-2400-000002000000}" name="mins"/>
    <tableColumn id="3" xr3:uid="{00000000-0010-0000-2400-000003000000}" name="total PL"/>
    <tableColumn id="4" xr3:uid="{00000000-0010-0000-2400-000004000000}" name="high PL"/>
    <tableColumn id="5" xr3:uid="{00000000-0010-0000-2400-000005000000}" name="tPL %"/>
    <tableColumn id="6" xr3:uid="{00000000-0010-0000-2400-000006000000}" name="hPL %"/>
  </tableColumns>
  <tableStyleInfo name="gamemins_sjsu-style 5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umulative_report_5" displayName="cumulative_report_5" ref="H40:M54">
  <tableColumns count="6">
    <tableColumn id="1" xr3:uid="{00000000-0010-0000-2500-000001000000}" name="player"/>
    <tableColumn id="2" xr3:uid="{00000000-0010-0000-2500-000002000000}" name="mins"/>
    <tableColumn id="3" xr3:uid="{00000000-0010-0000-2500-000003000000}" name="total PL"/>
    <tableColumn id="4" xr3:uid="{00000000-0010-0000-2500-000004000000}" name="high PL"/>
    <tableColumn id="5" xr3:uid="{00000000-0010-0000-2500-000005000000}" name="tPL threshold%"/>
    <tableColumn id="6" xr3:uid="{00000000-0010-0000-2500-000006000000}" name="hPL threshold%"/>
  </tableColumns>
  <tableStyleInfo name="gamemins_sjsu-style 6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warmup_6" displayName="warmup_6" ref="A23:E37">
  <tableColumns count="5">
    <tableColumn id="1" xr3:uid="{00000000-0010-0000-2600-000001000000}" name="player"/>
    <tableColumn id="2" xr3:uid="{00000000-0010-0000-2600-000002000000}" name="total PL"/>
    <tableColumn id="3" xr3:uid="{00000000-0010-0000-2600-000003000000}" name="high PL"/>
    <tableColumn id="4" xr3:uid="{00000000-0010-0000-2600-000004000000}" name="tPL %"/>
    <tableColumn id="5" xr3:uid="{00000000-0010-0000-2600-000005000000}" name="hPL %"/>
  </tableColumns>
  <tableStyleInfo name="gamemins_idaho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quarter_one_6" displayName="quarter_one_6" ref="G23:L37">
  <tableColumns count="6">
    <tableColumn id="1" xr3:uid="{00000000-0010-0000-2700-000001000000}" name="player"/>
    <tableColumn id="2" xr3:uid="{00000000-0010-0000-2700-000002000000}" name="mins"/>
    <tableColumn id="3" xr3:uid="{00000000-0010-0000-2700-000003000000}" name="total PL"/>
    <tableColumn id="4" xr3:uid="{00000000-0010-0000-2700-000004000000}" name="high PL"/>
    <tableColumn id="5" xr3:uid="{00000000-0010-0000-2700-000005000000}" name="tPL %"/>
    <tableColumn id="6" xr3:uid="{00000000-0010-0000-2700-000006000000}" name="hPL %"/>
  </tableColumns>
  <tableStyleInfo name="gamemins_idaho-style 2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quarter_two_6" displayName="quarter_two_6" ref="N23:S37">
  <tableColumns count="6">
    <tableColumn id="1" xr3:uid="{00000000-0010-0000-2800-000001000000}" name="player"/>
    <tableColumn id="2" xr3:uid="{00000000-0010-0000-2800-000002000000}" name="mins"/>
    <tableColumn id="3" xr3:uid="{00000000-0010-0000-2800-000003000000}" name="total PL"/>
    <tableColumn id="4" xr3:uid="{00000000-0010-0000-2800-000004000000}" name="high PL"/>
    <tableColumn id="5" xr3:uid="{00000000-0010-0000-2800-000005000000}" name="tPL %"/>
    <tableColumn id="6" xr3:uid="{00000000-0010-0000-2800-000006000000}" name="hPL %"/>
  </tableColumns>
  <tableStyleInfo name="gamemins_idaho-style 3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quarter_three_6" displayName="quarter_three_6" ref="U23:Z37">
  <tableColumns count="6">
    <tableColumn id="1" xr3:uid="{00000000-0010-0000-2900-000001000000}" name="player"/>
    <tableColumn id="2" xr3:uid="{00000000-0010-0000-2900-000002000000}" name="mins"/>
    <tableColumn id="3" xr3:uid="{00000000-0010-0000-2900-000003000000}" name="total PL"/>
    <tableColumn id="4" xr3:uid="{00000000-0010-0000-2900-000004000000}" name="high PL"/>
    <tableColumn id="5" xr3:uid="{00000000-0010-0000-2900-000005000000}" name="tPL %"/>
    <tableColumn id="6" xr3:uid="{00000000-0010-0000-2900-000006000000}" name="hPL %"/>
  </tableColumns>
  <tableStyleInfo name="gamemins_idaho-style 4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quarter_four_6" displayName="quarter_four_6" ref="A40:F54">
  <tableColumns count="6">
    <tableColumn id="1" xr3:uid="{00000000-0010-0000-2A00-000001000000}" name="player"/>
    <tableColumn id="2" xr3:uid="{00000000-0010-0000-2A00-000002000000}" name="mins"/>
    <tableColumn id="3" xr3:uid="{00000000-0010-0000-2A00-000003000000}" name="total PL"/>
    <tableColumn id="4" xr3:uid="{00000000-0010-0000-2A00-000004000000}" name="high PL"/>
    <tableColumn id="5" xr3:uid="{00000000-0010-0000-2A00-000005000000}" name="tPL %"/>
    <tableColumn id="6" xr3:uid="{00000000-0010-0000-2A00-000006000000}" name="hPL %"/>
  </tableColumns>
  <tableStyleInfo name="gamemins_idaho-style 5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umulative_report_6" displayName="cumulative_report_6" ref="H40:M54">
  <tableColumns count="6">
    <tableColumn id="1" xr3:uid="{00000000-0010-0000-2B00-000001000000}" name="player"/>
    <tableColumn id="2" xr3:uid="{00000000-0010-0000-2B00-000002000000}" name="mins"/>
    <tableColumn id="3" xr3:uid="{00000000-0010-0000-2B00-000003000000}" name="total PL"/>
    <tableColumn id="4" xr3:uid="{00000000-0010-0000-2B00-000004000000}" name="high PL"/>
    <tableColumn id="5" xr3:uid="{00000000-0010-0000-2B00-000005000000}" name="tPL threshold%"/>
    <tableColumn id="6" xr3:uid="{00000000-0010-0000-2B00-000006000000}" name="hPL threshold%"/>
  </tableColumns>
  <tableStyleInfo name="gamemins_idaho-style 6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warmup_7" displayName="warmup_7" ref="A23:E37">
  <tableColumns count="5">
    <tableColumn id="1" xr3:uid="{00000000-0010-0000-2C00-000001000000}" name="player"/>
    <tableColumn id="2" xr3:uid="{00000000-0010-0000-2C00-000002000000}" name="total PL"/>
    <tableColumn id="3" xr3:uid="{00000000-0010-0000-2C00-000003000000}" name="high PL"/>
    <tableColumn id="4" xr3:uid="{00000000-0010-0000-2C00-000004000000}" name="tPL %"/>
    <tableColumn id="5" xr3:uid="{00000000-0010-0000-2C00-000005000000}" name="hPL %"/>
  </tableColumns>
  <tableStyleInfo name="gamemins_stanford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quarter_one_7" displayName="quarter_one_7" ref="G23:L37">
  <tableColumns count="6">
    <tableColumn id="1" xr3:uid="{00000000-0010-0000-2D00-000001000000}" name="player"/>
    <tableColumn id="2" xr3:uid="{00000000-0010-0000-2D00-000002000000}" name="mins"/>
    <tableColumn id="3" xr3:uid="{00000000-0010-0000-2D00-000003000000}" name="total PL"/>
    <tableColumn id="4" xr3:uid="{00000000-0010-0000-2D00-000004000000}" name="high PL"/>
    <tableColumn id="5" xr3:uid="{00000000-0010-0000-2D00-000005000000}" name="tPL %"/>
    <tableColumn id="6" xr3:uid="{00000000-0010-0000-2D00-000006000000}" name="hPL %"/>
  </tableColumns>
  <tableStyleInfo name="gamemins_stanford-style 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quarter_two_7" displayName="quarter_two_7" ref="N23:S37">
  <tableColumns count="6">
    <tableColumn id="1" xr3:uid="{00000000-0010-0000-2E00-000001000000}" name="player"/>
    <tableColumn id="2" xr3:uid="{00000000-0010-0000-2E00-000002000000}" name="mins"/>
    <tableColumn id="3" xr3:uid="{00000000-0010-0000-2E00-000003000000}" name="total PL"/>
    <tableColumn id="4" xr3:uid="{00000000-0010-0000-2E00-000004000000}" name="high PL"/>
    <tableColumn id="5" xr3:uid="{00000000-0010-0000-2E00-000005000000}" name="tPL %"/>
    <tableColumn id="6" xr3:uid="{00000000-0010-0000-2E00-000006000000}" name="hPL %"/>
  </tableColumns>
  <tableStyleInfo name="gamemins_stanford-style 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quarter_three_7" displayName="quarter_three_7" ref="U23:Z37">
  <tableColumns count="6">
    <tableColumn id="1" xr3:uid="{00000000-0010-0000-2F00-000001000000}" name="player"/>
    <tableColumn id="2" xr3:uid="{00000000-0010-0000-2F00-000002000000}" name="mins"/>
    <tableColumn id="3" xr3:uid="{00000000-0010-0000-2F00-000003000000}" name="total PL"/>
    <tableColumn id="4" xr3:uid="{00000000-0010-0000-2F00-000004000000}" name="high PL"/>
    <tableColumn id="5" xr3:uid="{00000000-0010-0000-2F00-000005000000}" name="tPL %"/>
    <tableColumn id="6" xr3:uid="{00000000-0010-0000-2F00-000006000000}" name="hPL %"/>
  </tableColumns>
  <tableStyleInfo name="gamemins_stanford-style 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quarter_four_7" displayName="quarter_four_7" ref="A40:F54">
  <tableColumns count="6">
    <tableColumn id="1" xr3:uid="{00000000-0010-0000-3000-000001000000}" name="player"/>
    <tableColumn id="2" xr3:uid="{00000000-0010-0000-3000-000002000000}" name="mins"/>
    <tableColumn id="3" xr3:uid="{00000000-0010-0000-3000-000003000000}" name="total PL"/>
    <tableColumn id="4" xr3:uid="{00000000-0010-0000-3000-000004000000}" name="high PL"/>
    <tableColumn id="5" xr3:uid="{00000000-0010-0000-3000-000005000000}" name="tPL %"/>
    <tableColumn id="6" xr3:uid="{00000000-0010-0000-3000-000006000000}" name="hPL %"/>
  </tableColumns>
  <tableStyleInfo name="gamemins_stanford-style 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umulative_report_7" displayName="cumulative_report_7" ref="H40:M54">
  <tableColumns count="6">
    <tableColumn id="1" xr3:uid="{00000000-0010-0000-3100-000001000000}" name="player"/>
    <tableColumn id="2" xr3:uid="{00000000-0010-0000-3100-000002000000}" name="mins"/>
    <tableColumn id="3" xr3:uid="{00000000-0010-0000-3100-000003000000}" name="total PL"/>
    <tableColumn id="4" xr3:uid="{00000000-0010-0000-3100-000004000000}" name="high PL"/>
    <tableColumn id="5" xr3:uid="{00000000-0010-0000-3100-000005000000}" name="tPL threshold%"/>
    <tableColumn id="6" xr3:uid="{00000000-0010-0000-3100-000006000000}" name="hPL threshold%"/>
  </tableColumns>
  <tableStyleInfo name="gamemins_stanford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8&amp;path=wbball" TargetMode="External"/><Relationship Id="rId13" Type="http://schemas.openxmlformats.org/officeDocument/2006/relationships/hyperlink" Target="https://calbears.com/boxscore.aspx?id=36901&amp;path=wbball" TargetMode="External"/><Relationship Id="rId18" Type="http://schemas.openxmlformats.org/officeDocument/2006/relationships/hyperlink" Target="https://calbears.com/boxscore.aspx?id=36906&amp;path=wbball" TargetMode="External"/><Relationship Id="rId26" Type="http://schemas.openxmlformats.org/officeDocument/2006/relationships/hyperlink" Target="https://calbears.com/boxscore.aspx?id=36915&amp;path=wbball" TargetMode="External"/><Relationship Id="rId3" Type="http://schemas.openxmlformats.org/officeDocument/2006/relationships/hyperlink" Target="https://calbears.com/boxscore.aspx?id=36703&amp;path=wbball" TargetMode="External"/><Relationship Id="rId21" Type="http://schemas.openxmlformats.org/officeDocument/2006/relationships/hyperlink" Target="https://calbears.com/boxscore.aspx?id=36910&amp;path=wbball" TargetMode="External"/><Relationship Id="rId7" Type="http://schemas.openxmlformats.org/officeDocument/2006/relationships/hyperlink" Target="https://calbears.com/boxscore.aspx?id=36707&amp;path=wbball" TargetMode="External"/><Relationship Id="rId12" Type="http://schemas.openxmlformats.org/officeDocument/2006/relationships/hyperlink" Target="https://calbears.com/boxscore.aspx?id=37044&amp;path=wbball" TargetMode="External"/><Relationship Id="rId17" Type="http://schemas.openxmlformats.org/officeDocument/2006/relationships/hyperlink" Target="https://calbears.com/boxscore.aspx?id=36905&amp;path=wbball" TargetMode="External"/><Relationship Id="rId25" Type="http://schemas.openxmlformats.org/officeDocument/2006/relationships/hyperlink" Target="https://calbears.com/boxscore.aspx?id=36914&amp;path=wbball" TargetMode="External"/><Relationship Id="rId2" Type="http://schemas.openxmlformats.org/officeDocument/2006/relationships/hyperlink" Target="https://calbears.com/boxscore.aspx?id=36702&amp;path=wbball" TargetMode="External"/><Relationship Id="rId16" Type="http://schemas.openxmlformats.org/officeDocument/2006/relationships/hyperlink" Target="https://calbears.com/boxscore.aspx?id=36904&amp;path=wbball" TargetMode="External"/><Relationship Id="rId20" Type="http://schemas.openxmlformats.org/officeDocument/2006/relationships/hyperlink" Target="https://calbears.com/boxscore.aspx?id=36908&amp;path=wbball" TargetMode="External"/><Relationship Id="rId29" Type="http://schemas.openxmlformats.org/officeDocument/2006/relationships/hyperlink" Target="https://calbears.com/boxscore.aspx?id=37438&amp;path=wbball" TargetMode="External"/><Relationship Id="rId1" Type="http://schemas.openxmlformats.org/officeDocument/2006/relationships/hyperlink" Target="https://calbears.com/boxscore.aspx?id=36701&amp;path=wbball" TargetMode="External"/><Relationship Id="rId6" Type="http://schemas.openxmlformats.org/officeDocument/2006/relationships/hyperlink" Target="https://calbears.com/boxscore.aspx?id=36706&amp;path=wbball" TargetMode="External"/><Relationship Id="rId11" Type="http://schemas.openxmlformats.org/officeDocument/2006/relationships/hyperlink" Target="https://calbears.com/boxscore.aspx?id=36710&amp;path=wbball" TargetMode="External"/><Relationship Id="rId24" Type="http://schemas.openxmlformats.org/officeDocument/2006/relationships/hyperlink" Target="https://calbears.com/boxscore.aspx?id=36913&amp;path=wbball" TargetMode="External"/><Relationship Id="rId32" Type="http://schemas.openxmlformats.org/officeDocument/2006/relationships/comments" Target="../comments3.xml"/><Relationship Id="rId5" Type="http://schemas.openxmlformats.org/officeDocument/2006/relationships/hyperlink" Target="https://calbears.com/boxscore.aspx?id=36705&amp;path=wbball" TargetMode="External"/><Relationship Id="rId15" Type="http://schemas.openxmlformats.org/officeDocument/2006/relationships/hyperlink" Target="https://calbears.com/boxscore.aspx?id=36903&amp;path=wbball" TargetMode="External"/><Relationship Id="rId23" Type="http://schemas.openxmlformats.org/officeDocument/2006/relationships/hyperlink" Target="https://calbears.com/boxscore.aspx?id=36912&amp;path=wbball" TargetMode="External"/><Relationship Id="rId28" Type="http://schemas.openxmlformats.org/officeDocument/2006/relationships/hyperlink" Target="https://calbears.com/boxscore.aspx?id=36917&amp;path=wbball" TargetMode="External"/><Relationship Id="rId10" Type="http://schemas.openxmlformats.org/officeDocument/2006/relationships/hyperlink" Target="https://calbears.com/boxscore.aspx?id=36894&amp;path=wbball" TargetMode="External"/><Relationship Id="rId19" Type="http://schemas.openxmlformats.org/officeDocument/2006/relationships/hyperlink" Target="https://calbears.com/boxscore.aspx?id=36907&amp;path=wbball" TargetMode="External"/><Relationship Id="rId31" Type="http://schemas.openxmlformats.org/officeDocument/2006/relationships/vmlDrawing" Target="../drawings/vmlDrawing3.vml"/><Relationship Id="rId4" Type="http://schemas.openxmlformats.org/officeDocument/2006/relationships/hyperlink" Target="https://calbears.com/boxscore.aspx?id=36704&amp;path=wbball" TargetMode="External"/><Relationship Id="rId9" Type="http://schemas.openxmlformats.org/officeDocument/2006/relationships/hyperlink" Target="https://calbears.com/boxscore.aspx?id=36709&amp;path=wbball" TargetMode="External"/><Relationship Id="rId14" Type="http://schemas.openxmlformats.org/officeDocument/2006/relationships/hyperlink" Target="https://calbears.com/boxscore.aspx?id=36902&amp;path=wbball" TargetMode="External"/><Relationship Id="rId22" Type="http://schemas.openxmlformats.org/officeDocument/2006/relationships/hyperlink" Target="https://calbears.com/boxscore.aspx?id=36911&amp;path=wbball" TargetMode="External"/><Relationship Id="rId27" Type="http://schemas.openxmlformats.org/officeDocument/2006/relationships/hyperlink" Target="https://calbears.com/boxscore.aspx?id=36916&amp;path=wbball" TargetMode="External"/><Relationship Id="rId30" Type="http://schemas.openxmlformats.org/officeDocument/2006/relationships/hyperlink" Target="https://calbears.com/boxscore.aspx?id=37440&amp;path=wbbal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" TargetMode="External"/><Relationship Id="rId13" Type="http://schemas.openxmlformats.org/officeDocument/2006/relationships/hyperlink" Target="https://calbears.com/boxscore.aspx?id=37044&amp;path=" TargetMode="External"/><Relationship Id="rId18" Type="http://schemas.openxmlformats.org/officeDocument/2006/relationships/hyperlink" Target="https://calbears.com/boxscore.aspx?id=36905&amp;path=" TargetMode="External"/><Relationship Id="rId26" Type="http://schemas.openxmlformats.org/officeDocument/2006/relationships/hyperlink" Target="https://calbears.com/boxscore.aspx?id=36914&amp;path=" TargetMode="External"/><Relationship Id="rId3" Type="http://schemas.openxmlformats.org/officeDocument/2006/relationships/hyperlink" Target="https://calbears.com/boxscore.aspx?id=36702&amp;path=" TargetMode="External"/><Relationship Id="rId21" Type="http://schemas.openxmlformats.org/officeDocument/2006/relationships/hyperlink" Target="https://calbears.com/boxscore.aspx?id=36908&amp;path=" TargetMode="External"/><Relationship Id="rId7" Type="http://schemas.openxmlformats.org/officeDocument/2006/relationships/hyperlink" Target="https://calbears.com/boxscore.aspx?id=36706&amp;path=" TargetMode="External"/><Relationship Id="rId12" Type="http://schemas.openxmlformats.org/officeDocument/2006/relationships/hyperlink" Target="https://calbears.com/boxscore.aspx?id=36710&amp;path=" TargetMode="External"/><Relationship Id="rId17" Type="http://schemas.openxmlformats.org/officeDocument/2006/relationships/hyperlink" Target="https://calbears.com/boxscore.aspx?id=36904&amp;path=" TargetMode="External"/><Relationship Id="rId25" Type="http://schemas.openxmlformats.org/officeDocument/2006/relationships/hyperlink" Target="https://calbears.com/boxscore.aspx?id=36913&amp;path=" TargetMode="External"/><Relationship Id="rId2" Type="http://schemas.openxmlformats.org/officeDocument/2006/relationships/hyperlink" Target="https://calbears.com/boxscore.aspx?id=36701&amp;path=" TargetMode="External"/><Relationship Id="rId16" Type="http://schemas.openxmlformats.org/officeDocument/2006/relationships/hyperlink" Target="https://calbears.com/boxscore.aspx?id=36903&amp;path=" TargetMode="External"/><Relationship Id="rId20" Type="http://schemas.openxmlformats.org/officeDocument/2006/relationships/hyperlink" Target="https://calbears.com/boxscore.aspx?id=36907&amp;path=" TargetMode="External"/><Relationship Id="rId29" Type="http://schemas.openxmlformats.org/officeDocument/2006/relationships/hyperlink" Target="https://calbears.com/boxscore.aspx?id=36917&amp;path=" TargetMode="External"/><Relationship Id="rId1" Type="http://schemas.openxmlformats.org/officeDocument/2006/relationships/hyperlink" Target="https://calbears.com/boxscore.aspx?id=36700&amp;path=" TargetMode="External"/><Relationship Id="rId6" Type="http://schemas.openxmlformats.org/officeDocument/2006/relationships/hyperlink" Target="https://calbears.com/boxscore.aspx?id=36705&amp;path=" TargetMode="External"/><Relationship Id="rId11" Type="http://schemas.openxmlformats.org/officeDocument/2006/relationships/hyperlink" Target="https://calbears.com/boxscore.aspx?id=36894&amp;path=" TargetMode="External"/><Relationship Id="rId24" Type="http://schemas.openxmlformats.org/officeDocument/2006/relationships/hyperlink" Target="https://calbears.com/boxscore.aspx?id=36912&amp;path=" TargetMode="External"/><Relationship Id="rId5" Type="http://schemas.openxmlformats.org/officeDocument/2006/relationships/hyperlink" Target="https://calbears.com/boxscore.aspx?id=36704&amp;path=" TargetMode="External"/><Relationship Id="rId15" Type="http://schemas.openxmlformats.org/officeDocument/2006/relationships/hyperlink" Target="https://calbears.com/boxscore.aspx?id=36902&amp;path=" TargetMode="External"/><Relationship Id="rId23" Type="http://schemas.openxmlformats.org/officeDocument/2006/relationships/hyperlink" Target="https://calbears.com/boxscore.aspx?id=36911&amp;path=" TargetMode="External"/><Relationship Id="rId28" Type="http://schemas.openxmlformats.org/officeDocument/2006/relationships/hyperlink" Target="https://calbears.com/boxscore.aspx?id=36916&amp;path=" TargetMode="External"/><Relationship Id="rId10" Type="http://schemas.openxmlformats.org/officeDocument/2006/relationships/hyperlink" Target="https://calbears.com/boxscore.aspx?id=36709&amp;path=" TargetMode="External"/><Relationship Id="rId19" Type="http://schemas.openxmlformats.org/officeDocument/2006/relationships/hyperlink" Target="https://calbears.com/boxscore.aspx?id=36906&amp;path=" TargetMode="External"/><Relationship Id="rId31" Type="http://schemas.openxmlformats.org/officeDocument/2006/relationships/hyperlink" Target="https://calbears.com/boxscore.aspx?id=37440&amp;path=" TargetMode="External"/><Relationship Id="rId4" Type="http://schemas.openxmlformats.org/officeDocument/2006/relationships/hyperlink" Target="https://calbears.com/boxscore.aspx?id=36703&amp;path=" TargetMode="External"/><Relationship Id="rId9" Type="http://schemas.openxmlformats.org/officeDocument/2006/relationships/hyperlink" Target="https://calbears.com/boxscore.aspx?id=36708&amp;path=" TargetMode="External"/><Relationship Id="rId14" Type="http://schemas.openxmlformats.org/officeDocument/2006/relationships/hyperlink" Target="https://calbears.com/boxscore.aspx?id=36901&amp;path=" TargetMode="External"/><Relationship Id="rId22" Type="http://schemas.openxmlformats.org/officeDocument/2006/relationships/hyperlink" Target="https://calbears.com/boxscore.aspx?id=36910&amp;path=" TargetMode="External"/><Relationship Id="rId27" Type="http://schemas.openxmlformats.org/officeDocument/2006/relationships/hyperlink" Target="https://calbears.com/boxscore.aspx?id=36915&amp;path=" TargetMode="External"/><Relationship Id="rId30" Type="http://schemas.openxmlformats.org/officeDocument/2006/relationships/hyperlink" Target="https://calbears.com/boxscore.aspx?id=37438&amp;path=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894&amp;path=wbball" TargetMode="External"/><Relationship Id="rId13" Type="http://schemas.openxmlformats.org/officeDocument/2006/relationships/hyperlink" Target="https://calbears.com/boxscore.aspx?id=36903&amp;path=wbball" TargetMode="External"/><Relationship Id="rId18" Type="http://schemas.openxmlformats.org/officeDocument/2006/relationships/hyperlink" Target="https://calbears.com/boxscore.aspx?id=36908&amp;path=wbball" TargetMode="External"/><Relationship Id="rId26" Type="http://schemas.openxmlformats.org/officeDocument/2006/relationships/hyperlink" Target="https://calbears.com/boxscore.aspx?id=37438&amp;path=wbball" TargetMode="External"/><Relationship Id="rId3" Type="http://schemas.openxmlformats.org/officeDocument/2006/relationships/hyperlink" Target="https://calbears.com/boxscore.aspx?id=36703&amp;path=wbball" TargetMode="External"/><Relationship Id="rId21" Type="http://schemas.openxmlformats.org/officeDocument/2006/relationships/hyperlink" Target="https://calbears.com/boxscore.aspx?id=36912&amp;path=wbball" TargetMode="External"/><Relationship Id="rId7" Type="http://schemas.openxmlformats.org/officeDocument/2006/relationships/hyperlink" Target="https://calbears.com/boxscore.aspx?id=36709&amp;path=wbball" TargetMode="External"/><Relationship Id="rId12" Type="http://schemas.openxmlformats.org/officeDocument/2006/relationships/hyperlink" Target="https://calbears.com/boxscore.aspx?id=36902&amp;path=wbball" TargetMode="External"/><Relationship Id="rId17" Type="http://schemas.openxmlformats.org/officeDocument/2006/relationships/hyperlink" Target="https://calbears.com/boxscore.aspx?id=36907&amp;path=wbball" TargetMode="External"/><Relationship Id="rId25" Type="http://schemas.openxmlformats.org/officeDocument/2006/relationships/hyperlink" Target="https://calbears.com/boxscore.aspx?id=36917&amp;path=wbball" TargetMode="External"/><Relationship Id="rId2" Type="http://schemas.openxmlformats.org/officeDocument/2006/relationships/hyperlink" Target="https://calbears.com/boxscore.aspx?id=36702&amp;path=wbball" TargetMode="External"/><Relationship Id="rId16" Type="http://schemas.openxmlformats.org/officeDocument/2006/relationships/hyperlink" Target="https://calbears.com/boxscore.aspx?id=36906&amp;path=wbball" TargetMode="External"/><Relationship Id="rId20" Type="http://schemas.openxmlformats.org/officeDocument/2006/relationships/hyperlink" Target="https://calbears.com/boxscore.aspx?id=36911&amp;path=wbball" TargetMode="External"/><Relationship Id="rId1" Type="http://schemas.openxmlformats.org/officeDocument/2006/relationships/hyperlink" Target="https://calbears.com/boxscore.aspx?id=36701&amp;path=wbball" TargetMode="External"/><Relationship Id="rId6" Type="http://schemas.openxmlformats.org/officeDocument/2006/relationships/hyperlink" Target="https://calbears.com/boxscore.aspx?id=36708&amp;path=wbball" TargetMode="External"/><Relationship Id="rId11" Type="http://schemas.openxmlformats.org/officeDocument/2006/relationships/hyperlink" Target="https://calbears.com/boxscore.aspx?id=36901&amp;path=wbball" TargetMode="External"/><Relationship Id="rId24" Type="http://schemas.openxmlformats.org/officeDocument/2006/relationships/hyperlink" Target="https://calbears.com/boxscore.aspx?id=36916&amp;path=wbball" TargetMode="External"/><Relationship Id="rId5" Type="http://schemas.openxmlformats.org/officeDocument/2006/relationships/hyperlink" Target="https://calbears.com/boxscore.aspx?id=36705&amp;path=wbball" TargetMode="External"/><Relationship Id="rId15" Type="http://schemas.openxmlformats.org/officeDocument/2006/relationships/hyperlink" Target="https://calbears.com/boxscore.aspx?id=36905&amp;path=wbball" TargetMode="External"/><Relationship Id="rId23" Type="http://schemas.openxmlformats.org/officeDocument/2006/relationships/hyperlink" Target="https://calbears.com/boxscore.aspx?id=36915&amp;path=wbball" TargetMode="External"/><Relationship Id="rId10" Type="http://schemas.openxmlformats.org/officeDocument/2006/relationships/hyperlink" Target="https://calbears.com/boxscore.aspx?id=37044&amp;path=wbball" TargetMode="External"/><Relationship Id="rId19" Type="http://schemas.openxmlformats.org/officeDocument/2006/relationships/hyperlink" Target="https://calbears.com/boxscore.aspx?id=36910&amp;path=wbball" TargetMode="External"/><Relationship Id="rId4" Type="http://schemas.openxmlformats.org/officeDocument/2006/relationships/hyperlink" Target="https://calbears.com/boxscore.aspx?id=36704&amp;path=wbball" TargetMode="External"/><Relationship Id="rId9" Type="http://schemas.openxmlformats.org/officeDocument/2006/relationships/hyperlink" Target="https://calbears.com/boxscore.aspx?id=36710&amp;path=wbball" TargetMode="External"/><Relationship Id="rId14" Type="http://schemas.openxmlformats.org/officeDocument/2006/relationships/hyperlink" Target="https://calbears.com/boxscore.aspx?id=36904&amp;path=wbball" TargetMode="External"/><Relationship Id="rId22" Type="http://schemas.openxmlformats.org/officeDocument/2006/relationships/hyperlink" Target="https://calbears.com/boxscore.aspx?id=36913&amp;path=wbbal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wbball" TargetMode="External"/><Relationship Id="rId13" Type="http://schemas.openxmlformats.org/officeDocument/2006/relationships/hyperlink" Target="https://calbears.com/boxscore.aspx?id=36902&amp;path=wbball" TargetMode="External"/><Relationship Id="rId18" Type="http://schemas.openxmlformats.org/officeDocument/2006/relationships/hyperlink" Target="https://calbears.com/boxscore.aspx?id=36907&amp;path=wbball" TargetMode="External"/><Relationship Id="rId26" Type="http://schemas.openxmlformats.org/officeDocument/2006/relationships/hyperlink" Target="https://calbears.com/boxscore.aspx?id=36916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11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6901&amp;path=wbball" TargetMode="External"/><Relationship Id="rId17" Type="http://schemas.openxmlformats.org/officeDocument/2006/relationships/hyperlink" Target="https://calbears.com/boxscore.aspx?id=36906&amp;path=wbball" TargetMode="External"/><Relationship Id="rId25" Type="http://schemas.openxmlformats.org/officeDocument/2006/relationships/hyperlink" Target="https://calbears.com/boxscore.aspx?id=36915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05&amp;path=wbball" TargetMode="External"/><Relationship Id="rId20" Type="http://schemas.openxmlformats.org/officeDocument/2006/relationships/hyperlink" Target="https://calbears.com/boxscore.aspx?id=36910&amp;path=wbball" TargetMode="External"/><Relationship Id="rId29" Type="http://schemas.openxmlformats.org/officeDocument/2006/relationships/hyperlink" Target="https://calbears.com/boxscore.aspx?id=37440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894&amp;path=wbball" TargetMode="External"/><Relationship Id="rId24" Type="http://schemas.openxmlformats.org/officeDocument/2006/relationships/hyperlink" Target="https://calbears.com/boxscore.aspx?id=36914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04&amp;path=wbball" TargetMode="External"/><Relationship Id="rId23" Type="http://schemas.openxmlformats.org/officeDocument/2006/relationships/hyperlink" Target="https://calbears.com/boxscore.aspx?id=36913&amp;path=wbball" TargetMode="External"/><Relationship Id="rId28" Type="http://schemas.openxmlformats.org/officeDocument/2006/relationships/hyperlink" Target="https://calbears.com/boxscore.aspx?id=37438&amp;path=wbball" TargetMode="External"/><Relationship Id="rId10" Type="http://schemas.openxmlformats.org/officeDocument/2006/relationships/hyperlink" Target="https://calbears.com/boxscore.aspx?id=36709&amp;path=wbball" TargetMode="External"/><Relationship Id="rId19" Type="http://schemas.openxmlformats.org/officeDocument/2006/relationships/hyperlink" Target="https://calbears.com/boxscore.aspx?id=36908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8&amp;path=wbball" TargetMode="External"/><Relationship Id="rId14" Type="http://schemas.openxmlformats.org/officeDocument/2006/relationships/hyperlink" Target="https://calbears.com/boxscore.aspx?id=36903&amp;path=wbball" TargetMode="External"/><Relationship Id="rId22" Type="http://schemas.openxmlformats.org/officeDocument/2006/relationships/hyperlink" Target="https://calbears.com/boxscore.aspx?id=36912&amp;path=wbball" TargetMode="External"/><Relationship Id="rId27" Type="http://schemas.openxmlformats.org/officeDocument/2006/relationships/hyperlink" Target="https://calbears.com/boxscore.aspx?id=36917&amp;path=wbbal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wbball" TargetMode="External"/><Relationship Id="rId13" Type="http://schemas.openxmlformats.org/officeDocument/2006/relationships/hyperlink" Target="https://calbears.com/boxscore.aspx?id=37044&amp;path=wbball" TargetMode="External"/><Relationship Id="rId18" Type="http://schemas.openxmlformats.org/officeDocument/2006/relationships/hyperlink" Target="https://calbears.com/boxscore.aspx?id=36905&amp;path=wbball" TargetMode="External"/><Relationship Id="rId26" Type="http://schemas.openxmlformats.org/officeDocument/2006/relationships/hyperlink" Target="https://calbears.com/boxscore.aspx?id=36914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08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6710&amp;path=wbball" TargetMode="External"/><Relationship Id="rId17" Type="http://schemas.openxmlformats.org/officeDocument/2006/relationships/hyperlink" Target="https://calbears.com/boxscore.aspx?id=36904&amp;path=wbball" TargetMode="External"/><Relationship Id="rId25" Type="http://schemas.openxmlformats.org/officeDocument/2006/relationships/hyperlink" Target="https://calbears.com/boxscore.aspx?id=36913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03&amp;path=wbball" TargetMode="External"/><Relationship Id="rId20" Type="http://schemas.openxmlformats.org/officeDocument/2006/relationships/hyperlink" Target="https://calbears.com/boxscore.aspx?id=36907&amp;path=wbball" TargetMode="External"/><Relationship Id="rId29" Type="http://schemas.openxmlformats.org/officeDocument/2006/relationships/hyperlink" Target="https://calbears.com/boxscore.aspx?id=36917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894&amp;path=wbball" TargetMode="External"/><Relationship Id="rId24" Type="http://schemas.openxmlformats.org/officeDocument/2006/relationships/hyperlink" Target="https://calbears.com/boxscore.aspx?id=36912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02&amp;path=wbball" TargetMode="External"/><Relationship Id="rId23" Type="http://schemas.openxmlformats.org/officeDocument/2006/relationships/hyperlink" Target="https://calbears.com/boxscore.aspx?id=36911&amp;path=wbball" TargetMode="External"/><Relationship Id="rId28" Type="http://schemas.openxmlformats.org/officeDocument/2006/relationships/hyperlink" Target="https://calbears.com/boxscore.aspx?id=36916&amp;path=wbball" TargetMode="External"/><Relationship Id="rId10" Type="http://schemas.openxmlformats.org/officeDocument/2006/relationships/hyperlink" Target="https://calbears.com/boxscore.aspx?id=36709&amp;path=wbball" TargetMode="External"/><Relationship Id="rId19" Type="http://schemas.openxmlformats.org/officeDocument/2006/relationships/hyperlink" Target="https://calbears.com/boxscore.aspx?id=36906&amp;path=wbball" TargetMode="External"/><Relationship Id="rId31" Type="http://schemas.openxmlformats.org/officeDocument/2006/relationships/hyperlink" Target="https://calbears.com/boxscore.aspx?id=37440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8&amp;path=wbball" TargetMode="External"/><Relationship Id="rId14" Type="http://schemas.openxmlformats.org/officeDocument/2006/relationships/hyperlink" Target="https://calbears.com/boxscore.aspx?id=36901&amp;path=wbball" TargetMode="External"/><Relationship Id="rId22" Type="http://schemas.openxmlformats.org/officeDocument/2006/relationships/hyperlink" Target="https://calbears.com/boxscore.aspx?id=36910&amp;path=wbball" TargetMode="External"/><Relationship Id="rId27" Type="http://schemas.openxmlformats.org/officeDocument/2006/relationships/hyperlink" Target="https://calbears.com/boxscore.aspx?id=36915&amp;path=wbball" TargetMode="External"/><Relationship Id="rId30" Type="http://schemas.openxmlformats.org/officeDocument/2006/relationships/hyperlink" Target="https://calbears.com/boxscore.aspx?id=37438&amp;path=wbbal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wbball" TargetMode="External"/><Relationship Id="rId13" Type="http://schemas.openxmlformats.org/officeDocument/2006/relationships/hyperlink" Target="https://calbears.com/boxscore.aspx?id=37044&amp;path=wbball" TargetMode="External"/><Relationship Id="rId18" Type="http://schemas.openxmlformats.org/officeDocument/2006/relationships/hyperlink" Target="https://calbears.com/boxscore.aspx?id=36905&amp;path=wbball" TargetMode="External"/><Relationship Id="rId26" Type="http://schemas.openxmlformats.org/officeDocument/2006/relationships/hyperlink" Target="https://calbears.com/boxscore.aspx?id=36914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08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6710&amp;path=wbball" TargetMode="External"/><Relationship Id="rId17" Type="http://schemas.openxmlformats.org/officeDocument/2006/relationships/hyperlink" Target="https://calbears.com/boxscore.aspx?id=36904&amp;path=wbball" TargetMode="External"/><Relationship Id="rId25" Type="http://schemas.openxmlformats.org/officeDocument/2006/relationships/hyperlink" Target="https://calbears.com/boxscore.aspx?id=36913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03&amp;path=wbball" TargetMode="External"/><Relationship Id="rId20" Type="http://schemas.openxmlformats.org/officeDocument/2006/relationships/hyperlink" Target="https://calbears.com/boxscore.aspx?id=36907&amp;path=wbball" TargetMode="External"/><Relationship Id="rId29" Type="http://schemas.openxmlformats.org/officeDocument/2006/relationships/hyperlink" Target="https://calbears.com/boxscore.aspx?id=36917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894&amp;path=wbball" TargetMode="External"/><Relationship Id="rId24" Type="http://schemas.openxmlformats.org/officeDocument/2006/relationships/hyperlink" Target="https://calbears.com/boxscore.aspx?id=36912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02&amp;path=wbball" TargetMode="External"/><Relationship Id="rId23" Type="http://schemas.openxmlformats.org/officeDocument/2006/relationships/hyperlink" Target="https://calbears.com/boxscore.aspx?id=36911&amp;path=wbball" TargetMode="External"/><Relationship Id="rId28" Type="http://schemas.openxmlformats.org/officeDocument/2006/relationships/hyperlink" Target="https://calbears.com/boxscore.aspx?id=36916&amp;path=wbball" TargetMode="External"/><Relationship Id="rId10" Type="http://schemas.openxmlformats.org/officeDocument/2006/relationships/hyperlink" Target="https://calbears.com/boxscore.aspx?id=36709&amp;path=wbball" TargetMode="External"/><Relationship Id="rId19" Type="http://schemas.openxmlformats.org/officeDocument/2006/relationships/hyperlink" Target="https://calbears.com/boxscore.aspx?id=36906&amp;path=wbball" TargetMode="External"/><Relationship Id="rId31" Type="http://schemas.openxmlformats.org/officeDocument/2006/relationships/hyperlink" Target="https://calbears.com/boxscore.aspx?id=37440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8&amp;path=wbball" TargetMode="External"/><Relationship Id="rId14" Type="http://schemas.openxmlformats.org/officeDocument/2006/relationships/hyperlink" Target="https://calbears.com/boxscore.aspx?id=36901&amp;path=wbball" TargetMode="External"/><Relationship Id="rId22" Type="http://schemas.openxmlformats.org/officeDocument/2006/relationships/hyperlink" Target="https://calbears.com/boxscore.aspx?id=36910&amp;path=wbball" TargetMode="External"/><Relationship Id="rId27" Type="http://schemas.openxmlformats.org/officeDocument/2006/relationships/hyperlink" Target="https://calbears.com/boxscore.aspx?id=36915&amp;path=wbball" TargetMode="External"/><Relationship Id="rId30" Type="http://schemas.openxmlformats.org/officeDocument/2006/relationships/hyperlink" Target="https://calbears.com/boxscore.aspx?id=37438&amp;path=wbbal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wbball" TargetMode="External"/><Relationship Id="rId13" Type="http://schemas.openxmlformats.org/officeDocument/2006/relationships/hyperlink" Target="https://calbears.com/boxscore.aspx?id=37044&amp;path=wbball" TargetMode="External"/><Relationship Id="rId18" Type="http://schemas.openxmlformats.org/officeDocument/2006/relationships/hyperlink" Target="https://calbears.com/boxscore.aspx?id=36905&amp;path=wbball" TargetMode="External"/><Relationship Id="rId26" Type="http://schemas.openxmlformats.org/officeDocument/2006/relationships/hyperlink" Target="https://calbears.com/boxscore.aspx?id=36914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08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6710&amp;path=wbball" TargetMode="External"/><Relationship Id="rId17" Type="http://schemas.openxmlformats.org/officeDocument/2006/relationships/hyperlink" Target="https://calbears.com/boxscore.aspx?id=36904&amp;path=wbball" TargetMode="External"/><Relationship Id="rId25" Type="http://schemas.openxmlformats.org/officeDocument/2006/relationships/hyperlink" Target="https://calbears.com/boxscore.aspx?id=36913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03&amp;path=wbball" TargetMode="External"/><Relationship Id="rId20" Type="http://schemas.openxmlformats.org/officeDocument/2006/relationships/hyperlink" Target="https://calbears.com/boxscore.aspx?id=36907&amp;path=wbball" TargetMode="External"/><Relationship Id="rId29" Type="http://schemas.openxmlformats.org/officeDocument/2006/relationships/hyperlink" Target="https://calbears.com/boxscore.aspx?id=36917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894&amp;path=wbball" TargetMode="External"/><Relationship Id="rId24" Type="http://schemas.openxmlformats.org/officeDocument/2006/relationships/hyperlink" Target="https://calbears.com/boxscore.aspx?id=36912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02&amp;path=wbball" TargetMode="External"/><Relationship Id="rId23" Type="http://schemas.openxmlformats.org/officeDocument/2006/relationships/hyperlink" Target="https://calbears.com/boxscore.aspx?id=36911&amp;path=wbball" TargetMode="External"/><Relationship Id="rId28" Type="http://schemas.openxmlformats.org/officeDocument/2006/relationships/hyperlink" Target="https://calbears.com/boxscore.aspx?id=36916&amp;path=wbball" TargetMode="External"/><Relationship Id="rId10" Type="http://schemas.openxmlformats.org/officeDocument/2006/relationships/hyperlink" Target="https://calbears.com/boxscore.aspx?id=36709&amp;path=wbball" TargetMode="External"/><Relationship Id="rId19" Type="http://schemas.openxmlformats.org/officeDocument/2006/relationships/hyperlink" Target="https://calbears.com/boxscore.aspx?id=36906&amp;path=wbball" TargetMode="External"/><Relationship Id="rId31" Type="http://schemas.openxmlformats.org/officeDocument/2006/relationships/hyperlink" Target="https://calbears.com/boxscore.aspx?id=37440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8&amp;path=wbball" TargetMode="External"/><Relationship Id="rId14" Type="http://schemas.openxmlformats.org/officeDocument/2006/relationships/hyperlink" Target="https://calbears.com/boxscore.aspx?id=36901&amp;path=wbball" TargetMode="External"/><Relationship Id="rId22" Type="http://schemas.openxmlformats.org/officeDocument/2006/relationships/hyperlink" Target="https://calbears.com/boxscore.aspx?id=36910&amp;path=wbball" TargetMode="External"/><Relationship Id="rId27" Type="http://schemas.openxmlformats.org/officeDocument/2006/relationships/hyperlink" Target="https://calbears.com/boxscore.aspx?id=36915&amp;path=wbball" TargetMode="External"/><Relationship Id="rId30" Type="http://schemas.openxmlformats.org/officeDocument/2006/relationships/hyperlink" Target="https://calbears.com/boxscore.aspx?id=37438&amp;path=wbbal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7&amp;path=wbball" TargetMode="External"/><Relationship Id="rId13" Type="http://schemas.openxmlformats.org/officeDocument/2006/relationships/hyperlink" Target="https://calbears.com/boxscore.aspx?id=36907&amp;path=wbball" TargetMode="External"/><Relationship Id="rId18" Type="http://schemas.openxmlformats.org/officeDocument/2006/relationships/hyperlink" Target="https://calbears.com/boxscore.aspx?id=36914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17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6906&amp;path=wbball" TargetMode="External"/><Relationship Id="rId17" Type="http://schemas.openxmlformats.org/officeDocument/2006/relationships/hyperlink" Target="https://calbears.com/boxscore.aspx?id=36912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11&amp;path=wbball" TargetMode="External"/><Relationship Id="rId20" Type="http://schemas.openxmlformats.org/officeDocument/2006/relationships/hyperlink" Target="https://calbears.com/boxscore.aspx?id=36916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894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10&amp;path=wbball" TargetMode="External"/><Relationship Id="rId23" Type="http://schemas.openxmlformats.org/officeDocument/2006/relationships/hyperlink" Target="https://calbears.com/boxscore.aspx?id=37440&amp;path=wbball" TargetMode="External"/><Relationship Id="rId10" Type="http://schemas.openxmlformats.org/officeDocument/2006/relationships/hyperlink" Target="https://calbears.com/boxscore.aspx?id=36709&amp;path=wbball" TargetMode="External"/><Relationship Id="rId19" Type="http://schemas.openxmlformats.org/officeDocument/2006/relationships/hyperlink" Target="https://calbears.com/boxscore.aspx?id=36915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8&amp;path=wbball" TargetMode="External"/><Relationship Id="rId14" Type="http://schemas.openxmlformats.org/officeDocument/2006/relationships/hyperlink" Target="https://calbears.com/boxscore.aspx?id=36908&amp;path=wbball" TargetMode="External"/><Relationship Id="rId22" Type="http://schemas.openxmlformats.org/officeDocument/2006/relationships/hyperlink" Target="https://calbears.com/boxscore.aspx?id=37438&amp;path=wbbal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902&amp;path=wbball" TargetMode="External"/><Relationship Id="rId13" Type="http://schemas.openxmlformats.org/officeDocument/2006/relationships/hyperlink" Target="https://calbears.com/boxscore.aspx?id=36907&amp;path=wbball" TargetMode="External"/><Relationship Id="rId18" Type="http://schemas.openxmlformats.org/officeDocument/2006/relationships/hyperlink" Target="https://calbears.com/boxscore.aspx?id=36916&amp;path=wbball" TargetMode="External"/><Relationship Id="rId3" Type="http://schemas.openxmlformats.org/officeDocument/2006/relationships/hyperlink" Target="https://calbears.com/boxscore.aspx?id=36704&amp;path=wbball" TargetMode="External"/><Relationship Id="rId7" Type="http://schemas.openxmlformats.org/officeDocument/2006/relationships/hyperlink" Target="https://calbears.com/boxscore.aspx?id=36901&amp;path=wbball" TargetMode="External"/><Relationship Id="rId12" Type="http://schemas.openxmlformats.org/officeDocument/2006/relationships/hyperlink" Target="https://calbears.com/boxscore.aspx?id=36906&amp;path=wbball" TargetMode="External"/><Relationship Id="rId17" Type="http://schemas.openxmlformats.org/officeDocument/2006/relationships/hyperlink" Target="https://calbears.com/boxscore.aspx?id=36912&amp;path=wbball" TargetMode="External"/><Relationship Id="rId2" Type="http://schemas.openxmlformats.org/officeDocument/2006/relationships/hyperlink" Target="https://calbears.com/boxscore.aspx?id=36702&amp;path=wbball" TargetMode="External"/><Relationship Id="rId16" Type="http://schemas.openxmlformats.org/officeDocument/2006/relationships/hyperlink" Target="https://calbears.com/boxscore.aspx?id=36911&amp;path=wbball" TargetMode="External"/><Relationship Id="rId20" Type="http://schemas.openxmlformats.org/officeDocument/2006/relationships/hyperlink" Target="https://calbears.com/boxscore.aspx?id=37440&amp;path=wbball" TargetMode="External"/><Relationship Id="rId1" Type="http://schemas.openxmlformats.org/officeDocument/2006/relationships/hyperlink" Target="https://calbears.com/boxscore.aspx?id=36701&amp;path=wbball" TargetMode="External"/><Relationship Id="rId6" Type="http://schemas.openxmlformats.org/officeDocument/2006/relationships/hyperlink" Target="https://calbears.com/boxscore.aspx?id=37044&amp;path=wbball" TargetMode="External"/><Relationship Id="rId11" Type="http://schemas.openxmlformats.org/officeDocument/2006/relationships/hyperlink" Target="https://calbears.com/boxscore.aspx?id=36905&amp;path=wbball" TargetMode="External"/><Relationship Id="rId5" Type="http://schemas.openxmlformats.org/officeDocument/2006/relationships/hyperlink" Target="https://calbears.com/boxscore.aspx?id=36710&amp;path=wbball" TargetMode="External"/><Relationship Id="rId15" Type="http://schemas.openxmlformats.org/officeDocument/2006/relationships/hyperlink" Target="https://calbears.com/boxscore.aspx?id=36910&amp;path=wbball" TargetMode="External"/><Relationship Id="rId10" Type="http://schemas.openxmlformats.org/officeDocument/2006/relationships/hyperlink" Target="https://calbears.com/boxscore.aspx?id=36904&amp;path=wbball" TargetMode="External"/><Relationship Id="rId19" Type="http://schemas.openxmlformats.org/officeDocument/2006/relationships/hyperlink" Target="https://calbears.com/boxscore.aspx?id=36917&amp;path=wbball" TargetMode="External"/><Relationship Id="rId4" Type="http://schemas.openxmlformats.org/officeDocument/2006/relationships/hyperlink" Target="https://calbears.com/boxscore.aspx?id=36894&amp;path=wbball" TargetMode="External"/><Relationship Id="rId9" Type="http://schemas.openxmlformats.org/officeDocument/2006/relationships/hyperlink" Target="https://calbears.com/boxscore.aspx?id=36903&amp;path=wbball" TargetMode="External"/><Relationship Id="rId14" Type="http://schemas.openxmlformats.org/officeDocument/2006/relationships/hyperlink" Target="https://calbears.com/boxscore.aspx?id=36908&amp;path=wbbal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7044&amp;path=wbball" TargetMode="External"/><Relationship Id="rId13" Type="http://schemas.openxmlformats.org/officeDocument/2006/relationships/hyperlink" Target="https://calbears.com/boxscore.aspx?id=36911&amp;path=wbball" TargetMode="External"/><Relationship Id="rId18" Type="http://schemas.openxmlformats.org/officeDocument/2006/relationships/hyperlink" Target="https://calbears.com/boxscore.aspx?id=36917&amp;path=wbball" TargetMode="External"/><Relationship Id="rId3" Type="http://schemas.openxmlformats.org/officeDocument/2006/relationships/hyperlink" Target="https://calbears.com/boxscore.aspx?id=36707&amp;path=wbball" TargetMode="External"/><Relationship Id="rId7" Type="http://schemas.openxmlformats.org/officeDocument/2006/relationships/hyperlink" Target="https://calbears.com/boxscore.aspx?id=36710&amp;path=wbball" TargetMode="External"/><Relationship Id="rId12" Type="http://schemas.openxmlformats.org/officeDocument/2006/relationships/hyperlink" Target="https://calbears.com/boxscore.aspx?id=36910&amp;path=wbball" TargetMode="External"/><Relationship Id="rId17" Type="http://schemas.openxmlformats.org/officeDocument/2006/relationships/hyperlink" Target="https://calbears.com/boxscore.aspx?id=36916&amp;path=wbball" TargetMode="External"/><Relationship Id="rId2" Type="http://schemas.openxmlformats.org/officeDocument/2006/relationships/hyperlink" Target="https://calbears.com/boxscore.aspx?id=36706&amp;path=wbball" TargetMode="External"/><Relationship Id="rId16" Type="http://schemas.openxmlformats.org/officeDocument/2006/relationships/hyperlink" Target="https://calbears.com/boxscore.aspx?id=36914&amp;path=wbball" TargetMode="External"/><Relationship Id="rId20" Type="http://schemas.openxmlformats.org/officeDocument/2006/relationships/hyperlink" Target="https://calbears.com/boxscore.aspx?id=37440&amp;path=wbball" TargetMode="External"/><Relationship Id="rId1" Type="http://schemas.openxmlformats.org/officeDocument/2006/relationships/hyperlink" Target="https://calbears.com/boxscore.aspx?id=36704&amp;path=wbball" TargetMode="External"/><Relationship Id="rId6" Type="http://schemas.openxmlformats.org/officeDocument/2006/relationships/hyperlink" Target="https://calbears.com/boxscore.aspx?id=36894&amp;path=wbball" TargetMode="External"/><Relationship Id="rId11" Type="http://schemas.openxmlformats.org/officeDocument/2006/relationships/hyperlink" Target="https://calbears.com/boxscore.aspx?id=36907&amp;path=wbball" TargetMode="External"/><Relationship Id="rId5" Type="http://schemas.openxmlformats.org/officeDocument/2006/relationships/hyperlink" Target="https://calbears.com/boxscore.aspx?id=36709&amp;path=wbball" TargetMode="External"/><Relationship Id="rId15" Type="http://schemas.openxmlformats.org/officeDocument/2006/relationships/hyperlink" Target="https://calbears.com/boxscore.aspx?id=36913&amp;path=wbball" TargetMode="External"/><Relationship Id="rId10" Type="http://schemas.openxmlformats.org/officeDocument/2006/relationships/hyperlink" Target="https://calbears.com/boxscore.aspx?id=36902&amp;path=wbball" TargetMode="External"/><Relationship Id="rId19" Type="http://schemas.openxmlformats.org/officeDocument/2006/relationships/hyperlink" Target="https://calbears.com/boxscore.aspx?id=37438&amp;path=wbball" TargetMode="External"/><Relationship Id="rId4" Type="http://schemas.openxmlformats.org/officeDocument/2006/relationships/hyperlink" Target="https://calbears.com/boxscore.aspx?id=36708&amp;path=wbball" TargetMode="External"/><Relationship Id="rId9" Type="http://schemas.openxmlformats.org/officeDocument/2006/relationships/hyperlink" Target="https://calbears.com/boxscore.aspx?id=36901&amp;path=wbball" TargetMode="External"/><Relationship Id="rId14" Type="http://schemas.openxmlformats.org/officeDocument/2006/relationships/hyperlink" Target="https://calbears.com/boxscore.aspx?id=36912&amp;path=wbbal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7044&amp;path=wbball" TargetMode="External"/><Relationship Id="rId13" Type="http://schemas.openxmlformats.org/officeDocument/2006/relationships/hyperlink" Target="https://calbears.com/boxscore.aspx?id=36917&amp;path=wbball" TargetMode="External"/><Relationship Id="rId3" Type="http://schemas.openxmlformats.org/officeDocument/2006/relationships/hyperlink" Target="https://calbears.com/boxscore.aspx?id=36702&amp;path=wbball" TargetMode="External"/><Relationship Id="rId7" Type="http://schemas.openxmlformats.org/officeDocument/2006/relationships/hyperlink" Target="https://calbears.com/boxscore.aspx?id=36710&amp;path=wbball" TargetMode="External"/><Relationship Id="rId12" Type="http://schemas.openxmlformats.org/officeDocument/2006/relationships/hyperlink" Target="https://calbears.com/boxscore.aspx?id=36916&amp;path=wbball" TargetMode="External"/><Relationship Id="rId2" Type="http://schemas.openxmlformats.org/officeDocument/2006/relationships/hyperlink" Target="https://calbears.com/boxscore.aspx?id=36701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894&amp;path=wbball" TargetMode="External"/><Relationship Id="rId11" Type="http://schemas.openxmlformats.org/officeDocument/2006/relationships/hyperlink" Target="https://calbears.com/boxscore.aspx?id=36906&amp;path=wbball" TargetMode="External"/><Relationship Id="rId5" Type="http://schemas.openxmlformats.org/officeDocument/2006/relationships/hyperlink" Target="https://calbears.com/boxscore.aspx?id=36704&amp;path=wbball" TargetMode="External"/><Relationship Id="rId10" Type="http://schemas.openxmlformats.org/officeDocument/2006/relationships/hyperlink" Target="https://calbears.com/boxscore.aspx?id=36904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902&amp;path=wbbal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708&amp;path=wbball" TargetMode="External"/><Relationship Id="rId13" Type="http://schemas.openxmlformats.org/officeDocument/2006/relationships/hyperlink" Target="https://calbears.com/boxscore.aspx?id=36901&amp;path=wbball" TargetMode="External"/><Relationship Id="rId18" Type="http://schemas.openxmlformats.org/officeDocument/2006/relationships/hyperlink" Target="https://calbears.com/boxscore.aspx?id=36907&amp;path=wbball" TargetMode="External"/><Relationship Id="rId3" Type="http://schemas.openxmlformats.org/officeDocument/2006/relationships/hyperlink" Target="https://calbears.com/boxscore.aspx?id=36702&amp;path=wbball" TargetMode="External"/><Relationship Id="rId21" Type="http://schemas.openxmlformats.org/officeDocument/2006/relationships/hyperlink" Target="https://calbears.com/boxscore.aspx?id=36915&amp;path=wbball" TargetMode="External"/><Relationship Id="rId7" Type="http://schemas.openxmlformats.org/officeDocument/2006/relationships/hyperlink" Target="https://calbears.com/boxscore.aspx?id=36706&amp;path=wbball" TargetMode="External"/><Relationship Id="rId12" Type="http://schemas.openxmlformats.org/officeDocument/2006/relationships/hyperlink" Target="https://calbears.com/boxscore.aspx?id=37044&amp;path=wbball" TargetMode="External"/><Relationship Id="rId17" Type="http://schemas.openxmlformats.org/officeDocument/2006/relationships/hyperlink" Target="https://calbears.com/boxscore.aspx?id=36906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05&amp;path=wbball" TargetMode="External"/><Relationship Id="rId20" Type="http://schemas.openxmlformats.org/officeDocument/2006/relationships/hyperlink" Target="https://calbears.com/boxscore.aspx?id=36914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5&amp;path=wbball" TargetMode="External"/><Relationship Id="rId11" Type="http://schemas.openxmlformats.org/officeDocument/2006/relationships/hyperlink" Target="https://calbears.com/boxscore.aspx?id=36710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04&amp;path=wbball" TargetMode="External"/><Relationship Id="rId23" Type="http://schemas.openxmlformats.org/officeDocument/2006/relationships/hyperlink" Target="https://calbears.com/boxscore.aspx?id=37440&amp;path=wbball" TargetMode="External"/><Relationship Id="rId10" Type="http://schemas.openxmlformats.org/officeDocument/2006/relationships/hyperlink" Target="https://calbears.com/boxscore.aspx?id=36894&amp;path=wbball" TargetMode="External"/><Relationship Id="rId19" Type="http://schemas.openxmlformats.org/officeDocument/2006/relationships/hyperlink" Target="https://calbears.com/boxscore.aspx?id=36913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09&amp;path=wbball" TargetMode="External"/><Relationship Id="rId14" Type="http://schemas.openxmlformats.org/officeDocument/2006/relationships/hyperlink" Target="https://calbears.com/boxscore.aspx?id=36902&amp;path=wbball" TargetMode="External"/><Relationship Id="rId22" Type="http://schemas.openxmlformats.org/officeDocument/2006/relationships/hyperlink" Target="https://calbears.com/boxscore.aspx?id=36917&amp;path=wbball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calbears.com/boxscore.aspx?id=36702&amp;path=wbball" TargetMode="External"/><Relationship Id="rId2" Type="http://schemas.openxmlformats.org/officeDocument/2006/relationships/hyperlink" Target="https://calbears.com/boxscore.aspx?id=36701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7044&amp;path=wbball" TargetMode="External"/><Relationship Id="rId5" Type="http://schemas.openxmlformats.org/officeDocument/2006/relationships/hyperlink" Target="https://calbears.com/boxscore.aspx?id=36894&amp;path=wbball" TargetMode="External"/><Relationship Id="rId4" Type="http://schemas.openxmlformats.org/officeDocument/2006/relationships/hyperlink" Target="https://calbears.com/boxscore.aspx?id=36704&amp;path=wbbal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calbears.com/boxscore.aspx?id=36894&amp;path=wbball" TargetMode="External"/><Relationship Id="rId13" Type="http://schemas.openxmlformats.org/officeDocument/2006/relationships/hyperlink" Target="https://calbears.com/boxscore.aspx?id=36905&amp;path=wbball" TargetMode="External"/><Relationship Id="rId3" Type="http://schemas.openxmlformats.org/officeDocument/2006/relationships/hyperlink" Target="https://calbears.com/boxscore.aspx?id=36702&amp;path=wbball" TargetMode="External"/><Relationship Id="rId7" Type="http://schemas.openxmlformats.org/officeDocument/2006/relationships/hyperlink" Target="https://calbears.com/boxscore.aspx?id=36709&amp;path=wbball" TargetMode="External"/><Relationship Id="rId12" Type="http://schemas.openxmlformats.org/officeDocument/2006/relationships/hyperlink" Target="https://calbears.com/boxscore.aspx?id=36904&amp;path=wbball" TargetMode="External"/><Relationship Id="rId2" Type="http://schemas.openxmlformats.org/officeDocument/2006/relationships/hyperlink" Target="https://calbears.com/boxscore.aspx?id=36701&amp;path=wbball" TargetMode="External"/><Relationship Id="rId16" Type="http://schemas.openxmlformats.org/officeDocument/2006/relationships/hyperlink" Target="https://calbears.com/boxscore.aspx?id=36916&amp;path=wbball" TargetMode="External"/><Relationship Id="rId1" Type="http://schemas.openxmlformats.org/officeDocument/2006/relationships/hyperlink" Target="https://calbears.com/boxscore.aspx?id=36700&amp;path=wbball" TargetMode="External"/><Relationship Id="rId6" Type="http://schemas.openxmlformats.org/officeDocument/2006/relationships/hyperlink" Target="https://calbears.com/boxscore.aspx?id=36707&amp;path=wbball" TargetMode="External"/><Relationship Id="rId11" Type="http://schemas.openxmlformats.org/officeDocument/2006/relationships/hyperlink" Target="https://calbears.com/boxscore.aspx?id=36902&amp;path=wbball" TargetMode="External"/><Relationship Id="rId5" Type="http://schemas.openxmlformats.org/officeDocument/2006/relationships/hyperlink" Target="https://calbears.com/boxscore.aspx?id=36704&amp;path=wbball" TargetMode="External"/><Relationship Id="rId15" Type="http://schemas.openxmlformats.org/officeDocument/2006/relationships/hyperlink" Target="https://calbears.com/boxscore.aspx?id=36911&amp;path=wbball" TargetMode="External"/><Relationship Id="rId10" Type="http://schemas.openxmlformats.org/officeDocument/2006/relationships/hyperlink" Target="https://calbears.com/boxscore.aspx?id=37044&amp;path=wbball" TargetMode="External"/><Relationship Id="rId4" Type="http://schemas.openxmlformats.org/officeDocument/2006/relationships/hyperlink" Target="https://calbears.com/boxscore.aspx?id=36703&amp;path=wbball" TargetMode="External"/><Relationship Id="rId9" Type="http://schemas.openxmlformats.org/officeDocument/2006/relationships/hyperlink" Target="https://calbears.com/boxscore.aspx?id=36710&amp;path=wbball" TargetMode="External"/><Relationship Id="rId14" Type="http://schemas.openxmlformats.org/officeDocument/2006/relationships/hyperlink" Target="https://calbears.com/boxscore.aspx?id=36906&amp;path=wbbal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2" Type="http://schemas.openxmlformats.org/officeDocument/2006/relationships/table" Target="../tables/table27.xml"/><Relationship Id="rId1" Type="http://schemas.openxmlformats.org/officeDocument/2006/relationships/drawing" Target="../drawings/drawing3.xml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drawing" Target="../drawings/drawing4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7" Type="http://schemas.openxmlformats.org/officeDocument/2006/relationships/table" Target="../tables/table44.xml"/><Relationship Id="rId2" Type="http://schemas.openxmlformats.org/officeDocument/2006/relationships/table" Target="../tables/table39.xml"/><Relationship Id="rId1" Type="http://schemas.openxmlformats.org/officeDocument/2006/relationships/drawing" Target="../drawings/drawing5.xml"/><Relationship Id="rId6" Type="http://schemas.openxmlformats.org/officeDocument/2006/relationships/table" Target="../tables/table43.xml"/><Relationship Id="rId5" Type="http://schemas.openxmlformats.org/officeDocument/2006/relationships/table" Target="../tables/table42.xml"/><Relationship Id="rId4" Type="http://schemas.openxmlformats.org/officeDocument/2006/relationships/table" Target="../tables/table4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7" Type="http://schemas.openxmlformats.org/officeDocument/2006/relationships/table" Target="../tables/table50.xml"/><Relationship Id="rId2" Type="http://schemas.openxmlformats.org/officeDocument/2006/relationships/table" Target="../tables/table45.xml"/><Relationship Id="rId1" Type="http://schemas.openxmlformats.org/officeDocument/2006/relationships/drawing" Target="../drawings/drawing6.xml"/><Relationship Id="rId6" Type="http://schemas.openxmlformats.org/officeDocument/2006/relationships/table" Target="../tables/table49.xml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7" Type="http://schemas.openxmlformats.org/officeDocument/2006/relationships/table" Target="../tables/table56.xml"/><Relationship Id="rId2" Type="http://schemas.openxmlformats.org/officeDocument/2006/relationships/table" Target="../tables/table51.xml"/><Relationship Id="rId1" Type="http://schemas.openxmlformats.org/officeDocument/2006/relationships/drawing" Target="../drawings/drawing7.xml"/><Relationship Id="rId6" Type="http://schemas.openxmlformats.org/officeDocument/2006/relationships/table" Target="../tables/table55.xml"/><Relationship Id="rId5" Type="http://schemas.openxmlformats.org/officeDocument/2006/relationships/table" Target="../tables/table54.xml"/><Relationship Id="rId4" Type="http://schemas.openxmlformats.org/officeDocument/2006/relationships/table" Target="../tables/table5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"/>
  <sheetViews>
    <sheetView tabSelected="1" workbookViewId="0">
      <pane xSplit="1" topLeftCell="B1" activePane="topRight" state="frozen"/>
      <selection pane="topRight" activeCell="I20" sqref="I20"/>
    </sheetView>
  </sheetViews>
  <sheetFormatPr baseColWidth="10" defaultColWidth="12.6640625" defaultRowHeight="15.75" customHeight="1"/>
  <cols>
    <col min="1" max="1" width="18.5" customWidth="1"/>
    <col min="2" max="16" width="8.83203125" customWidth="1"/>
  </cols>
  <sheetData>
    <row r="1" spans="1:16" ht="15.75" customHeight="1" thickBot="1">
      <c r="A1" s="262" t="s">
        <v>784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.75" customHeight="1" thickBot="1">
      <c r="A2" s="1"/>
      <c r="B2" s="221" t="s">
        <v>0</v>
      </c>
      <c r="C2" s="222"/>
      <c r="D2" s="222"/>
      <c r="E2" s="222"/>
      <c r="F2" s="222"/>
      <c r="G2" s="223"/>
      <c r="H2" s="224" t="s">
        <v>1</v>
      </c>
      <c r="I2" s="222"/>
      <c r="J2" s="222"/>
      <c r="K2" s="225" t="s">
        <v>2</v>
      </c>
      <c r="L2" s="222"/>
      <c r="M2" s="222"/>
      <c r="N2" s="222"/>
      <c r="O2" s="222"/>
      <c r="P2" s="223"/>
    </row>
    <row r="3" spans="1:16" ht="15.75" customHeight="1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6</v>
      </c>
      <c r="I3" s="5" t="s">
        <v>7</v>
      </c>
      <c r="J3" s="5" t="s">
        <v>8</v>
      </c>
      <c r="K3" s="6" t="s">
        <v>4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</row>
    <row r="4" spans="1:16" ht="15.75" customHeight="1">
      <c r="A4" s="2" t="s">
        <v>10</v>
      </c>
      <c r="B4" s="7">
        <f>'PL numbers'!C21</f>
        <v>619.54838709677415</v>
      </c>
      <c r="C4" s="8">
        <f>'High IMA numbers'!C21</f>
        <v>72.41935483870968</v>
      </c>
      <c r="D4" s="8">
        <f>'MII 1 numbers'!C21</f>
        <v>21.451612903225808</v>
      </c>
      <c r="E4" s="8">
        <f>'MII 2 numbers'!C21</f>
        <v>47.516129032258064</v>
      </c>
      <c r="F4" s="8">
        <f>'MII 3 numbers'!C21</f>
        <v>71.258064516129039</v>
      </c>
      <c r="G4" s="8">
        <f>'PL 3+ numbers'!C21</f>
        <v>173.74193548387098</v>
      </c>
      <c r="H4" s="9">
        <f>'MII 1 numbers'!D21</f>
        <v>25</v>
      </c>
      <c r="I4" s="9">
        <f>'MII 2 numbers'!D21</f>
        <v>55</v>
      </c>
      <c r="J4" s="9">
        <f>'MII 3 numbers'!D21</f>
        <v>86</v>
      </c>
      <c r="K4" s="10">
        <f>'PL numbers'!E21</f>
        <v>157.03350782761356</v>
      </c>
      <c r="L4" s="10">
        <f>'High IMA numbers'!E21</f>
        <v>20.774622649679092</v>
      </c>
      <c r="M4" s="10">
        <f>'MII 1 numbers'!F21</f>
        <v>1.6296975113482324</v>
      </c>
      <c r="N4" s="10">
        <f>'MII 2 numbers'!F21</f>
        <v>3.6043581744136319</v>
      </c>
      <c r="O4" s="10">
        <f>'MII 3 numbers'!F21</f>
        <v>5.7327581606964948</v>
      </c>
      <c r="P4" s="10">
        <f>'PL 3+ numbers'!E21</f>
        <v>5.7327581606964948</v>
      </c>
    </row>
    <row r="5" spans="1:16" ht="15.75" customHeight="1">
      <c r="A5" s="11" t="s">
        <v>11</v>
      </c>
      <c r="B5" s="7">
        <f>'PL numbers'!C22</f>
        <v>546.97739463601533</v>
      </c>
      <c r="C5" s="8">
        <f>'High IMA numbers'!C22</f>
        <v>47.896551724137929</v>
      </c>
      <c r="D5" s="8">
        <f>'MII 1 numbers'!C22</f>
        <v>18.556704980842913</v>
      </c>
      <c r="E5" s="8">
        <f>'MII 2 numbers'!C22</f>
        <v>41.680076628352488</v>
      </c>
      <c r="F5" s="8">
        <f>'MII 3 numbers'!C22</f>
        <v>61.569731800766284</v>
      </c>
      <c r="G5" s="8">
        <f>'PL 3+ numbers'!C22</f>
        <v>79.742145593869736</v>
      </c>
      <c r="H5" s="12">
        <f>'MII 1 numbers'!D22</f>
        <v>22.333333333333332</v>
      </c>
      <c r="I5" s="12">
        <f>'MII 2 numbers'!D22</f>
        <v>51</v>
      </c>
      <c r="J5" s="12">
        <f>'MII 3 numbers'!D22</f>
        <v>76.666666666666671</v>
      </c>
      <c r="K5" s="13">
        <f>'PL numbers'!E22</f>
        <v>128.09403756394926</v>
      </c>
      <c r="L5" s="13">
        <f>'High IMA numbers'!E22</f>
        <v>14.645207557376819</v>
      </c>
      <c r="M5" s="13">
        <f>'MII 1 numbers'!F22</f>
        <v>2.0864799467712447</v>
      </c>
      <c r="N5" s="13">
        <f>'MII 2 numbers'!F22</f>
        <v>4.5414752859976524</v>
      </c>
      <c r="O5" s="13">
        <f>'MII 3 numbers'!F22</f>
        <v>7.031299834278264</v>
      </c>
      <c r="P5" s="13">
        <f>'PL 3+ numbers'!E22</f>
        <v>7.031299834278264</v>
      </c>
    </row>
    <row r="6" spans="1:16" ht="15.75" customHeight="1">
      <c r="A6" s="11" t="s">
        <v>12</v>
      </c>
      <c r="B6" s="7">
        <f>'PL numbers'!C23</f>
        <v>386.96666666666664</v>
      </c>
      <c r="C6" s="8">
        <f>'High IMA numbers'!C23</f>
        <v>48.866666666666667</v>
      </c>
      <c r="D6" s="8">
        <f>'MII 1 numbers'!C23</f>
        <v>18.566666666666666</v>
      </c>
      <c r="E6" s="8">
        <f>'MII 2 numbers'!C23</f>
        <v>41.033333333333331</v>
      </c>
      <c r="F6" s="8">
        <f>'MII 3 numbers'!C23</f>
        <v>57.43333333333333</v>
      </c>
      <c r="G6" s="8">
        <f>'PL 3+ numbers'!C23</f>
        <v>65.233333333333334</v>
      </c>
      <c r="H6" s="12">
        <f>'MII 1 numbers'!D23</f>
        <v>22</v>
      </c>
      <c r="I6" s="12">
        <f>'MII 2 numbers'!D23</f>
        <v>49</v>
      </c>
      <c r="J6" s="12">
        <f>'MII 3 numbers'!D23</f>
        <v>70</v>
      </c>
      <c r="K6" s="13">
        <f>'PL numbers'!E23</f>
        <v>81.823255626321242</v>
      </c>
      <c r="L6" s="13">
        <f>'High IMA numbers'!E23</f>
        <v>12.538456971486028</v>
      </c>
      <c r="M6" s="13">
        <f>'MII 1 numbers'!F23</f>
        <v>1.434595593234913</v>
      </c>
      <c r="N6" s="13">
        <f>'MII 2 numbers'!F23</f>
        <v>4.0118105209386421</v>
      </c>
      <c r="O6" s="13">
        <f>'MII 3 numbers'!F23</f>
        <v>6.1492197249575131</v>
      </c>
      <c r="P6" s="13">
        <f>'PL 3+ numbers'!E23</f>
        <v>6.1492197249575131</v>
      </c>
    </row>
    <row r="7" spans="1:16" ht="15.75" customHeight="1">
      <c r="A7" s="11" t="s">
        <v>13</v>
      </c>
      <c r="B7" s="7">
        <f>'PL numbers'!C24</f>
        <v>262.55518394648828</v>
      </c>
      <c r="C7" s="8">
        <f>'High IMA numbers'!C24</f>
        <v>26.847826086956523</v>
      </c>
      <c r="D7" s="8">
        <f>'MII 1 numbers'!C24</f>
        <v>17.170568561872908</v>
      </c>
      <c r="E7" s="8">
        <f>'MII 2 numbers'!C24</f>
        <v>36.392976588628763</v>
      </c>
      <c r="F7" s="8">
        <f>'MII 3 numbers'!C24</f>
        <v>47.012541806020067</v>
      </c>
      <c r="G7" s="8">
        <f>'PL 3+ numbers'!C24</f>
        <v>41.445652173913047</v>
      </c>
      <c r="H7" s="12">
        <f>'MII 1 numbers'!D24</f>
        <v>21</v>
      </c>
      <c r="I7" s="12">
        <f>'MII 2 numbers'!D24</f>
        <v>44</v>
      </c>
      <c r="J7" s="12">
        <f>'MII 3 numbers'!D24</f>
        <v>67.5</v>
      </c>
      <c r="K7" s="13">
        <f>'PL numbers'!E24</f>
        <v>121.39124294086432</v>
      </c>
      <c r="L7" s="13">
        <f>'High IMA numbers'!E24</f>
        <v>12.011455501795233</v>
      </c>
      <c r="M7" s="13">
        <f>'MII 1 numbers'!F24</f>
        <v>1.6499428193762344</v>
      </c>
      <c r="N7" s="13">
        <f>'MII 2 numbers'!F24</f>
        <v>3.391391817755427</v>
      </c>
      <c r="O7" s="13">
        <f>'MII 3 numbers'!F24</f>
        <v>9.4889409314211814</v>
      </c>
      <c r="P7" s="13">
        <f>'PL 3+ numbers'!E24</f>
        <v>9.4889409314211814</v>
      </c>
    </row>
    <row r="8" spans="1:16" ht="15.75" customHeight="1">
      <c r="A8" s="11" t="s">
        <v>14</v>
      </c>
      <c r="B8" s="14">
        <f>'PL numbers'!C25</f>
        <v>162.38709677419354</v>
      </c>
      <c r="C8" s="15">
        <f>'High IMA numbers'!C25</f>
        <v>23.870967741935484</v>
      </c>
      <c r="D8" s="15">
        <f>'MII 1 numbers'!C25</f>
        <v>17.870967741935484</v>
      </c>
      <c r="E8" s="15">
        <f>'MII 2 numbers'!C25</f>
        <v>34.354838709677416</v>
      </c>
      <c r="F8" s="15">
        <f>'MII 3 numbers'!C25</f>
        <v>38.774193548387096</v>
      </c>
      <c r="G8" s="15">
        <f>'PL 3+ numbers'!C25</f>
        <v>26.483870967741936</v>
      </c>
      <c r="H8" s="16">
        <f>'MII 1 numbers'!D25</f>
        <v>23</v>
      </c>
      <c r="I8" s="16">
        <f>'MII 2 numbers'!D25</f>
        <v>46</v>
      </c>
      <c r="J8" s="16">
        <f>'MII 3 numbers'!D25</f>
        <v>64</v>
      </c>
      <c r="K8" s="17">
        <f>'PL numbers'!E25</f>
        <v>89.726130500672184</v>
      </c>
      <c r="L8" s="17">
        <f>'High IMA numbers'!E25</f>
        <v>14.650920188356478</v>
      </c>
      <c r="M8" s="17">
        <f>'MII 1 numbers'!F25</f>
        <v>1.9956942899464203</v>
      </c>
      <c r="N8" s="17">
        <f>'MII 2 numbers'!F25</f>
        <v>8.2952001077482276</v>
      </c>
      <c r="O8" s="17">
        <f>'MII 3 numbers'!F25</f>
        <v>14.191899097724725</v>
      </c>
      <c r="P8" s="17">
        <f>'PL 3+ numbers'!E25</f>
        <v>14.191899097724725</v>
      </c>
    </row>
    <row r="9" spans="1:16" ht="15.75" customHeight="1">
      <c r="A9" s="18" t="s">
        <v>15</v>
      </c>
      <c r="B9" s="14">
        <f t="shared" ref="B9:P9" si="0">AVERAGE(B4:B6)</f>
        <v>517.8308161331521</v>
      </c>
      <c r="C9" s="15">
        <f t="shared" si="0"/>
        <v>56.394191076504761</v>
      </c>
      <c r="D9" s="15">
        <f t="shared" si="0"/>
        <v>19.524994850245125</v>
      </c>
      <c r="E9" s="15">
        <f t="shared" si="0"/>
        <v>43.409846331314633</v>
      </c>
      <c r="F9" s="15">
        <f t="shared" si="0"/>
        <v>63.42037655007622</v>
      </c>
      <c r="G9" s="15">
        <f t="shared" si="0"/>
        <v>106.23913813702468</v>
      </c>
      <c r="H9" s="16">
        <f t="shared" si="0"/>
        <v>23.111111111111111</v>
      </c>
      <c r="I9" s="16">
        <f t="shared" si="0"/>
        <v>51.666666666666664</v>
      </c>
      <c r="J9" s="16">
        <f t="shared" si="0"/>
        <v>77.555555555555557</v>
      </c>
      <c r="K9" s="17">
        <f t="shared" si="0"/>
        <v>122.31693367262801</v>
      </c>
      <c r="L9" s="17">
        <f t="shared" si="0"/>
        <v>15.986095726180645</v>
      </c>
      <c r="M9" s="17">
        <f t="shared" si="0"/>
        <v>1.7169243504514633</v>
      </c>
      <c r="N9" s="17">
        <f t="shared" si="0"/>
        <v>4.0525479937833087</v>
      </c>
      <c r="O9" s="17">
        <f t="shared" si="0"/>
        <v>6.3044259066440915</v>
      </c>
      <c r="P9" s="17">
        <f t="shared" si="0"/>
        <v>6.3044259066440915</v>
      </c>
    </row>
  </sheetData>
  <mergeCells count="4">
    <mergeCell ref="B2:G2"/>
    <mergeCell ref="H2:J2"/>
    <mergeCell ref="K2:P2"/>
    <mergeCell ref="A1:P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FF00"/>
    <outlinePr summaryBelow="0" summaryRight="0"/>
    <pageSetUpPr fitToPage="1"/>
  </sheetPr>
  <dimension ref="A1:O75"/>
  <sheetViews>
    <sheetView workbookViewId="0">
      <pane ySplit="2" topLeftCell="A71" activePane="bottomLeft" state="frozen"/>
      <selection pane="bottomLeft" activeCell="O80" sqref="O80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A1" s="178" t="s">
        <v>692</v>
      </c>
      <c r="B1" s="155" t="s">
        <v>693</v>
      </c>
      <c r="C1" s="155" t="s">
        <v>694</v>
      </c>
      <c r="D1" s="127" t="s">
        <v>695</v>
      </c>
      <c r="E1" s="127" t="s">
        <v>696</v>
      </c>
      <c r="F1" s="127" t="s">
        <v>697</v>
      </c>
      <c r="G1" s="155" t="s">
        <v>698</v>
      </c>
      <c r="H1" s="141" t="s">
        <v>699</v>
      </c>
      <c r="I1" s="127" t="s">
        <v>700</v>
      </c>
      <c r="J1" s="127" t="s">
        <v>701</v>
      </c>
      <c r="K1" s="127" t="s">
        <v>702</v>
      </c>
      <c r="L1" s="155" t="s">
        <v>703</v>
      </c>
      <c r="M1" s="156" t="s">
        <v>704</v>
      </c>
      <c r="N1" s="142" t="s">
        <v>705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4">
      <c r="A3" s="248">
        <v>1</v>
      </c>
      <c r="B3" s="161">
        <v>0.3215277777777778</v>
      </c>
      <c r="C3" s="161">
        <v>0.3215277777777778</v>
      </c>
      <c r="D3" s="161">
        <v>0.19166666666666668</v>
      </c>
      <c r="E3" s="161"/>
      <c r="F3" s="144">
        <v>2.9861111111111113E-2</v>
      </c>
      <c r="G3" s="161">
        <v>0.3215277777777778</v>
      </c>
      <c r="H3" s="161"/>
      <c r="I3" s="161">
        <v>0.3527777777777778</v>
      </c>
      <c r="J3" s="161"/>
      <c r="K3" s="161"/>
      <c r="L3" s="161">
        <v>0.3215277777777778</v>
      </c>
      <c r="M3" s="161">
        <v>0.29166666666666669</v>
      </c>
      <c r="N3" s="146"/>
    </row>
    <row r="4" spans="1:14" ht="14">
      <c r="A4" s="249"/>
      <c r="B4" s="161">
        <v>0.23680555555555555</v>
      </c>
      <c r="C4" s="161">
        <v>0.31736111111111109</v>
      </c>
      <c r="D4" s="162"/>
      <c r="E4" s="162"/>
      <c r="F4" s="146">
        <v>0.26527777777777778</v>
      </c>
      <c r="G4" s="174">
        <v>0.16111111111111112</v>
      </c>
      <c r="H4" s="162"/>
      <c r="I4" s="129"/>
      <c r="J4" s="161"/>
      <c r="K4" s="161"/>
      <c r="L4" s="161">
        <v>0.11597222222222223</v>
      </c>
      <c r="M4" s="161">
        <v>8.7499999999999994E-2</v>
      </c>
      <c r="N4" s="146"/>
    </row>
    <row r="5" spans="1:14" ht="13">
      <c r="A5" s="249"/>
      <c r="B5" s="129">
        <v>3.5416666666666666E-2</v>
      </c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4">
      <c r="A7" s="248">
        <v>2</v>
      </c>
      <c r="B7" s="163">
        <v>0.36041666666666666</v>
      </c>
      <c r="C7" s="164">
        <v>0.21319444444444444</v>
      </c>
      <c r="D7" s="163">
        <v>0.21319444444444444</v>
      </c>
      <c r="E7" s="163"/>
      <c r="F7" s="164">
        <v>0.28888888888888886</v>
      </c>
      <c r="G7" s="164">
        <v>9.7916666666666666E-2</v>
      </c>
      <c r="H7" s="163"/>
      <c r="I7" s="163">
        <v>0.21319444444444444</v>
      </c>
      <c r="J7" s="135"/>
      <c r="K7" s="163"/>
      <c r="L7" s="164">
        <v>0.21319444444444444</v>
      </c>
      <c r="M7" s="164">
        <v>0.21319444444444444</v>
      </c>
      <c r="N7" s="144"/>
    </row>
    <row r="8" spans="1:14" ht="14">
      <c r="A8" s="249"/>
      <c r="B8" s="129"/>
      <c r="C8" s="165">
        <v>0.36041666666666666</v>
      </c>
      <c r="D8" s="161">
        <v>9.3055555555555558E-2</v>
      </c>
      <c r="E8" s="129"/>
      <c r="F8" s="165"/>
      <c r="G8" s="165"/>
      <c r="H8" s="161"/>
      <c r="I8" s="129">
        <v>0.16944444444444445</v>
      </c>
      <c r="J8" s="129"/>
      <c r="K8" s="129"/>
      <c r="L8" s="165">
        <v>0.36041666666666666</v>
      </c>
      <c r="M8" s="165">
        <v>7.1527777777777773E-2</v>
      </c>
      <c r="N8" s="146"/>
    </row>
    <row r="9" spans="1:14" ht="14">
      <c r="A9" s="249"/>
      <c r="B9" s="129"/>
      <c r="C9" s="161"/>
      <c r="D9" s="161"/>
      <c r="E9" s="129"/>
      <c r="F9" s="165"/>
      <c r="G9" s="165"/>
      <c r="H9" s="129"/>
      <c r="I9" s="129"/>
      <c r="J9" s="129"/>
      <c r="K9" s="129"/>
      <c r="L9" s="165"/>
      <c r="M9" s="146"/>
      <c r="N9" s="146"/>
    </row>
    <row r="10" spans="1:14" ht="14">
      <c r="A10" s="250"/>
      <c r="B10" s="147"/>
      <c r="C10" s="166"/>
      <c r="D10" s="147"/>
      <c r="E10" s="147"/>
      <c r="F10" s="148"/>
      <c r="G10" s="167"/>
      <c r="H10" s="147"/>
      <c r="I10" s="147"/>
      <c r="J10" s="147"/>
      <c r="K10" s="147"/>
      <c r="L10" s="167"/>
      <c r="M10" s="148"/>
      <c r="N10" s="148"/>
    </row>
    <row r="11" spans="1:14" ht="13">
      <c r="A11" s="248">
        <v>3</v>
      </c>
      <c r="B11" s="131">
        <v>0.35</v>
      </c>
      <c r="C11" s="135">
        <v>0.35</v>
      </c>
      <c r="D11" s="135"/>
      <c r="E11" s="135"/>
      <c r="F11" s="144">
        <v>0.15902777777777777</v>
      </c>
      <c r="G11" s="135">
        <v>0.31527777777777777</v>
      </c>
      <c r="H11" s="135"/>
      <c r="I11" s="135">
        <v>3.4027777777777775E-2</v>
      </c>
      <c r="J11" s="135"/>
      <c r="K11" s="135"/>
      <c r="L11" s="144">
        <v>0.35</v>
      </c>
      <c r="M11" s="144">
        <v>0.35</v>
      </c>
      <c r="N11" s="144"/>
    </row>
    <row r="12" spans="1:14" ht="13">
      <c r="A12" s="249"/>
      <c r="B12" s="129">
        <v>0.33263888888888887</v>
      </c>
      <c r="C12" s="129">
        <v>0.33263888888888887</v>
      </c>
      <c r="D12" s="129"/>
      <c r="E12" s="129"/>
      <c r="F12" s="146"/>
      <c r="G12" s="146"/>
      <c r="H12" s="129"/>
      <c r="I12" s="129">
        <v>0.33263888888888887</v>
      </c>
      <c r="J12" s="129"/>
      <c r="K12" s="129"/>
      <c r="L12" s="129">
        <v>0.33263888888888887</v>
      </c>
      <c r="M12" s="129">
        <v>0.17291666666666666</v>
      </c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>
        <v>7.9861111111111105E-2</v>
      </c>
      <c r="C15" s="133">
        <v>0.31805555555555554</v>
      </c>
      <c r="D15" s="144">
        <v>0.11874999999999999</v>
      </c>
      <c r="E15" s="135"/>
      <c r="F15" s="135">
        <v>0.21180555555555555</v>
      </c>
      <c r="G15" s="144">
        <v>0.23749999999999999</v>
      </c>
      <c r="H15" s="135"/>
      <c r="I15" s="135">
        <v>0.31736111111111109</v>
      </c>
      <c r="J15" s="135"/>
      <c r="K15" s="135"/>
      <c r="L15" s="135">
        <v>0.31736111111111109</v>
      </c>
      <c r="M15" s="135">
        <v>0.10347222222222222</v>
      </c>
      <c r="N15" s="144"/>
    </row>
    <row r="16" spans="1:14" ht="13">
      <c r="A16" s="252"/>
      <c r="B16" s="146">
        <v>0.13125000000000001</v>
      </c>
      <c r="C16" s="129">
        <v>0.13125000000000001</v>
      </c>
      <c r="D16" s="129">
        <v>1.1111111111111112E-2</v>
      </c>
      <c r="E16" s="168"/>
      <c r="F16" s="130">
        <v>4.9305555555555554E-2</v>
      </c>
      <c r="G16" s="146">
        <v>8.4027777777777785E-2</v>
      </c>
      <c r="H16" s="168"/>
      <c r="I16" s="129">
        <v>0.13125000000000001</v>
      </c>
      <c r="J16" s="129"/>
      <c r="K16" s="168"/>
      <c r="L16" s="168">
        <v>0.13125000000000001</v>
      </c>
      <c r="M16" s="146">
        <v>8.1250000000000003E-2</v>
      </c>
      <c r="N16" s="146"/>
    </row>
    <row r="17" spans="1:14" ht="13">
      <c r="A17" s="252"/>
      <c r="B17" s="146">
        <v>0.22500000000000001</v>
      </c>
      <c r="C17" s="129">
        <v>0.14097222222222222</v>
      </c>
      <c r="D17" s="146">
        <v>3.2638888888888891E-2</v>
      </c>
      <c r="E17" s="129"/>
      <c r="F17" s="129"/>
      <c r="G17" s="146"/>
      <c r="H17" s="129"/>
      <c r="I17" s="129">
        <v>0.34444444444444444</v>
      </c>
      <c r="J17" s="129"/>
      <c r="K17" s="129"/>
      <c r="L17" s="146">
        <v>0.34444444444444444</v>
      </c>
      <c r="M17" s="146">
        <v>0.34444444444444444</v>
      </c>
      <c r="N17" s="146"/>
    </row>
    <row r="18" spans="1:14" ht="13">
      <c r="A18" s="252"/>
      <c r="B18" s="146"/>
      <c r="C18" s="129">
        <v>8.4722222222222227E-2</v>
      </c>
      <c r="D18" s="146"/>
      <c r="E18" s="129"/>
      <c r="F18" s="129"/>
      <c r="G18" s="146"/>
      <c r="H18" s="129"/>
      <c r="I18" s="129">
        <v>1.1111111111111112E-2</v>
      </c>
      <c r="J18" s="129"/>
      <c r="K18" s="129"/>
      <c r="L18" s="146">
        <v>1.1111111111111112E-2</v>
      </c>
      <c r="M18" s="146">
        <v>1.1111111111111112E-2</v>
      </c>
      <c r="N18" s="146"/>
    </row>
    <row r="19" spans="1:14" ht="13">
      <c r="A19" s="252"/>
      <c r="B19" s="146"/>
      <c r="C19" s="129">
        <v>1.1111111111111112E-2</v>
      </c>
      <c r="D19" s="157"/>
      <c r="E19" s="129"/>
      <c r="F19" s="129"/>
      <c r="G19" s="146"/>
      <c r="H19" s="129"/>
      <c r="I19" s="129">
        <v>3.2638888888888891E-2</v>
      </c>
      <c r="J19" s="129"/>
      <c r="K19" s="129"/>
      <c r="L19" s="146">
        <v>3.2638888888888891E-2</v>
      </c>
      <c r="M19" s="146">
        <v>3.2638888888888891E-2</v>
      </c>
      <c r="N19" s="146"/>
    </row>
    <row r="20" spans="1:14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14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2" spans="1:14" ht="13">
      <c r="A22" s="254"/>
      <c r="B22" s="255"/>
      <c r="C22" s="255"/>
      <c r="D22" s="256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 ht="15.75" customHeight="1">
      <c r="A23" s="257" t="s">
        <v>615</v>
      </c>
      <c r="H23" s="257" t="s">
        <v>779</v>
      </c>
    </row>
    <row r="24" spans="1:14" ht="22.5" customHeight="1">
      <c r="A24" s="125" t="s">
        <v>16</v>
      </c>
      <c r="B24" s="125" t="s">
        <v>105</v>
      </c>
      <c r="C24" s="125" t="s">
        <v>668</v>
      </c>
      <c r="D24" s="151" t="s">
        <v>673</v>
      </c>
      <c r="E24" s="125" t="s">
        <v>674</v>
      </c>
      <c r="H24" s="125" t="s">
        <v>16</v>
      </c>
      <c r="I24" s="152" t="s">
        <v>608</v>
      </c>
      <c r="J24" s="125" t="s">
        <v>105</v>
      </c>
      <c r="K24" s="125" t="s">
        <v>668</v>
      </c>
      <c r="L24" s="151" t="s">
        <v>673</v>
      </c>
      <c r="M24" s="125" t="s">
        <v>674</v>
      </c>
    </row>
    <row r="25" spans="1:14" ht="22.5" customHeight="1">
      <c r="A25" s="126" t="s">
        <v>693</v>
      </c>
      <c r="B25" s="169">
        <v>171</v>
      </c>
      <c r="C25" s="169">
        <v>3</v>
      </c>
      <c r="D25" s="153">
        <f>B25/750</f>
        <v>0.22800000000000001</v>
      </c>
      <c r="E25" s="153">
        <f>C25/200</f>
        <v>1.4999999999999999E-2</v>
      </c>
      <c r="H25" s="126" t="s">
        <v>693</v>
      </c>
      <c r="I25" s="139">
        <f>SUM(B3:B6)</f>
        <v>0.59375</v>
      </c>
      <c r="J25" s="169">
        <v>172</v>
      </c>
      <c r="K25" s="169">
        <v>58</v>
      </c>
      <c r="L25" s="153">
        <f>J25/750</f>
        <v>0.22933333333333333</v>
      </c>
      <c r="M25" s="153">
        <f>K25/200</f>
        <v>0.28999999999999998</v>
      </c>
    </row>
    <row r="26" spans="1:14" ht="22.5" customHeight="1">
      <c r="A26" s="126" t="s">
        <v>694</v>
      </c>
      <c r="B26" s="169">
        <v>163</v>
      </c>
      <c r="C26" s="169">
        <v>0</v>
      </c>
      <c r="D26" s="153">
        <f>B26/720</f>
        <v>0.22638888888888889</v>
      </c>
      <c r="E26" s="153">
        <f>C26/65</f>
        <v>0</v>
      </c>
      <c r="H26" s="126" t="s">
        <v>694</v>
      </c>
      <c r="I26" s="139">
        <f>SUM(C3:C6)</f>
        <v>0.63888888888888884</v>
      </c>
      <c r="J26" s="169">
        <v>141</v>
      </c>
      <c r="K26" s="169">
        <v>13</v>
      </c>
      <c r="L26" s="153">
        <f>J26/720</f>
        <v>0.19583333333333333</v>
      </c>
      <c r="M26" s="153">
        <f>K26/65</f>
        <v>0.2</v>
      </c>
    </row>
    <row r="27" spans="1:14" ht="22.5" customHeight="1">
      <c r="A27" s="126" t="s">
        <v>695</v>
      </c>
      <c r="B27" s="169">
        <v>167</v>
      </c>
      <c r="C27" s="169">
        <v>1</v>
      </c>
      <c r="D27" s="153">
        <f>B27/750</f>
        <v>0.22266666666666668</v>
      </c>
      <c r="E27" s="153">
        <f>C27/185</f>
        <v>5.4054054054054057E-3</v>
      </c>
      <c r="H27" s="126" t="s">
        <v>695</v>
      </c>
      <c r="I27" s="139">
        <f>SUM($D3:$D6)</f>
        <v>0.19166666666666668</v>
      </c>
      <c r="J27" s="169">
        <v>45</v>
      </c>
      <c r="K27" s="169">
        <v>6</v>
      </c>
      <c r="L27" s="153">
        <f>J27/750</f>
        <v>0.06</v>
      </c>
      <c r="M27" s="153">
        <f>K27/185</f>
        <v>3.2432432432432434E-2</v>
      </c>
    </row>
    <row r="28" spans="1:14" ht="22.5" customHeight="1">
      <c r="A28" s="126" t="s">
        <v>696</v>
      </c>
      <c r="B28" s="169">
        <v>153</v>
      </c>
      <c r="C28" s="169">
        <v>1</v>
      </c>
      <c r="D28" s="153">
        <f>B28/700</f>
        <v>0.21857142857142858</v>
      </c>
      <c r="E28" s="153">
        <f>C28/220</f>
        <v>4.5454545454545452E-3</v>
      </c>
      <c r="H28" s="126" t="s">
        <v>696</v>
      </c>
      <c r="I28" s="139">
        <f>SUM(E3:E6)</f>
        <v>0</v>
      </c>
      <c r="J28" s="169"/>
      <c r="K28" s="169"/>
      <c r="L28" s="153">
        <f>J28/700</f>
        <v>0</v>
      </c>
      <c r="M28" s="153">
        <f t="shared" ref="M28:M29" si="0">K28/220</f>
        <v>0</v>
      </c>
    </row>
    <row r="29" spans="1:14" ht="22.5" customHeight="1">
      <c r="A29" s="126" t="s">
        <v>697</v>
      </c>
      <c r="B29" s="169">
        <v>170</v>
      </c>
      <c r="C29" s="169">
        <v>0</v>
      </c>
      <c r="D29" s="153">
        <f>B29/800</f>
        <v>0.21249999999999999</v>
      </c>
      <c r="E29" s="153">
        <f>C30/220</f>
        <v>2.2727272727272728E-2</v>
      </c>
      <c r="H29" s="126" t="s">
        <v>697</v>
      </c>
      <c r="I29" s="139">
        <f>SUM(F3:F6)</f>
        <v>0.2951388888888889</v>
      </c>
      <c r="J29" s="126">
        <v>65</v>
      </c>
      <c r="K29" s="126">
        <v>11</v>
      </c>
      <c r="L29" s="153">
        <f>J29/800</f>
        <v>8.1250000000000003E-2</v>
      </c>
      <c r="M29" s="153">
        <f t="shared" si="0"/>
        <v>0.05</v>
      </c>
    </row>
    <row r="30" spans="1:14" ht="22.5" customHeight="1">
      <c r="A30" s="126" t="s">
        <v>698</v>
      </c>
      <c r="B30" s="169">
        <v>156</v>
      </c>
      <c r="C30" s="169">
        <v>5</v>
      </c>
      <c r="D30" s="153">
        <f>B30/820</f>
        <v>0.19024390243902439</v>
      </c>
      <c r="E30" s="153">
        <f>C31/240</f>
        <v>2.0833333333333332E-2</v>
      </c>
      <c r="H30" s="126" t="s">
        <v>698</v>
      </c>
      <c r="I30" s="139">
        <f>SUM(G3:G6)</f>
        <v>0.48263888888888895</v>
      </c>
      <c r="J30" s="169">
        <v>110</v>
      </c>
      <c r="K30" s="169">
        <v>16</v>
      </c>
      <c r="L30" s="153">
        <f>J30/820</f>
        <v>0.13414634146341464</v>
      </c>
      <c r="M30" s="153">
        <f>K30/240</f>
        <v>6.6666666666666666E-2</v>
      </c>
    </row>
    <row r="31" spans="1:14" ht="22.5" customHeight="1">
      <c r="A31" s="126" t="s">
        <v>699</v>
      </c>
      <c r="B31" s="169">
        <v>180</v>
      </c>
      <c r="C31" s="169">
        <v>5</v>
      </c>
      <c r="D31" s="153">
        <f>B31/620</f>
        <v>0.29032258064516131</v>
      </c>
      <c r="E31" s="153">
        <f>C32/90</f>
        <v>8.8888888888888892E-2</v>
      </c>
      <c r="H31" s="126" t="s">
        <v>699</v>
      </c>
      <c r="I31" s="139">
        <f>SUM(H3:H6)</f>
        <v>0</v>
      </c>
      <c r="J31" s="169"/>
      <c r="K31" s="169"/>
      <c r="L31" s="153">
        <f>J31/620</f>
        <v>0</v>
      </c>
      <c r="M31" s="153">
        <f>K31/90</f>
        <v>0</v>
      </c>
    </row>
    <row r="32" spans="1:14" ht="22.5" customHeight="1">
      <c r="A32" s="126" t="s">
        <v>700</v>
      </c>
      <c r="B32" s="169">
        <v>225</v>
      </c>
      <c r="C32" s="169">
        <v>8</v>
      </c>
      <c r="D32" s="153">
        <f>B32/820</f>
        <v>0.27439024390243905</v>
      </c>
      <c r="E32" s="153">
        <f>C33/200</f>
        <v>0</v>
      </c>
      <c r="H32" s="126" t="s">
        <v>700</v>
      </c>
      <c r="I32" s="139">
        <f>SUM(I3:I6)</f>
        <v>0.3527777777777778</v>
      </c>
      <c r="J32" s="169">
        <v>89</v>
      </c>
      <c r="K32" s="169">
        <v>17</v>
      </c>
      <c r="L32" s="153">
        <f>J32/820</f>
        <v>0.10853658536585366</v>
      </c>
      <c r="M32" s="153">
        <f>K32/200</f>
        <v>8.5000000000000006E-2</v>
      </c>
    </row>
    <row r="33" spans="1:15" ht="22.5" customHeight="1">
      <c r="A33" s="126" t="s">
        <v>701</v>
      </c>
      <c r="B33" s="169">
        <v>123</v>
      </c>
      <c r="C33" s="169">
        <v>0</v>
      </c>
      <c r="D33" s="153">
        <f>B33/505</f>
        <v>0.24356435643564356</v>
      </c>
      <c r="E33" s="153">
        <f>C34/42</f>
        <v>0.16666666666666666</v>
      </c>
      <c r="H33" s="126" t="s">
        <v>701</v>
      </c>
      <c r="I33" s="139">
        <f>SUM(J3:J6)</f>
        <v>0</v>
      </c>
      <c r="J33" s="169"/>
      <c r="K33" s="169"/>
      <c r="L33" s="153">
        <f>J33/505</f>
        <v>0</v>
      </c>
      <c r="M33" s="153">
        <f>K33/42</f>
        <v>0</v>
      </c>
    </row>
    <row r="34" spans="1:15" ht="22.5" customHeight="1">
      <c r="A34" s="126" t="s">
        <v>702</v>
      </c>
      <c r="B34" s="169">
        <v>219</v>
      </c>
      <c r="C34" s="169">
        <v>7</v>
      </c>
      <c r="D34" s="153">
        <f>B34/740</f>
        <v>0.29594594594594592</v>
      </c>
      <c r="E34" s="153">
        <f>C35/215</f>
        <v>1.3953488372093023E-2</v>
      </c>
      <c r="H34" s="126" t="s">
        <v>702</v>
      </c>
      <c r="I34" s="139">
        <f>SUM(K3:K6)</f>
        <v>0</v>
      </c>
      <c r="J34" s="169"/>
      <c r="K34" s="169"/>
      <c r="L34" s="153">
        <f>J34/740</f>
        <v>0</v>
      </c>
      <c r="M34" s="153">
        <f>K34/215</f>
        <v>0</v>
      </c>
    </row>
    <row r="35" spans="1:15" ht="22.5" customHeight="1">
      <c r="A35" s="126" t="s">
        <v>703</v>
      </c>
      <c r="B35" s="169">
        <v>189</v>
      </c>
      <c r="C35" s="169">
        <v>3</v>
      </c>
      <c r="D35" s="153">
        <f>B35/800</f>
        <v>0.23624999999999999</v>
      </c>
      <c r="E35" s="153">
        <f>C36/170</f>
        <v>0</v>
      </c>
      <c r="H35" s="126" t="s">
        <v>703</v>
      </c>
      <c r="I35" s="139">
        <f>SUM(L3:L6)</f>
        <v>0.4375</v>
      </c>
      <c r="J35" s="169">
        <v>123</v>
      </c>
      <c r="K35" s="169">
        <v>21</v>
      </c>
      <c r="L35" s="153">
        <f>J35/800</f>
        <v>0.15375</v>
      </c>
      <c r="M35" s="153">
        <f>K35/170</f>
        <v>0.12352941176470589</v>
      </c>
    </row>
    <row r="36" spans="1:15" ht="22.5" customHeight="1">
      <c r="A36" s="126" t="s">
        <v>704</v>
      </c>
      <c r="B36" s="169">
        <v>134</v>
      </c>
      <c r="C36" s="169">
        <v>0</v>
      </c>
      <c r="D36" s="153">
        <f>B36/580</f>
        <v>0.23103448275862068</v>
      </c>
      <c r="E36" s="153">
        <f>C37/75</f>
        <v>5.3333333333333337E-2</v>
      </c>
      <c r="H36" s="126" t="s">
        <v>704</v>
      </c>
      <c r="I36" s="139">
        <f>SUM(M3:M6)</f>
        <v>0.37916666666666665</v>
      </c>
      <c r="J36" s="169">
        <v>92</v>
      </c>
      <c r="K36" s="169">
        <v>11</v>
      </c>
      <c r="L36" s="153">
        <f>J36/580</f>
        <v>0.15862068965517243</v>
      </c>
      <c r="M36" s="153">
        <f>K36/75</f>
        <v>0.14666666666666667</v>
      </c>
    </row>
    <row r="37" spans="1:15" ht="22.5" customHeight="1">
      <c r="A37" s="126" t="s">
        <v>705</v>
      </c>
      <c r="B37" s="169">
        <v>180</v>
      </c>
      <c r="C37" s="169">
        <v>4</v>
      </c>
      <c r="D37" s="153">
        <f>B37/720</f>
        <v>0.25</v>
      </c>
      <c r="E37" s="153">
        <f>C37/100</f>
        <v>0.04</v>
      </c>
      <c r="H37" s="126" t="s">
        <v>705</v>
      </c>
      <c r="I37" s="139">
        <f>SUM(N3:N6)</f>
        <v>0</v>
      </c>
      <c r="L37" s="153">
        <f>J37/720</f>
        <v>0</v>
      </c>
      <c r="M37" s="153">
        <f>K37/100</f>
        <v>0</v>
      </c>
    </row>
    <row r="38" spans="1:15" ht="22.5" customHeight="1">
      <c r="A38" s="258" t="s">
        <v>671</v>
      </c>
      <c r="B38" s="258">
        <f>SUM(B25:B37)</f>
        <v>2230</v>
      </c>
      <c r="C38" s="258">
        <f>SUM(C25:C37)</f>
        <v>37</v>
      </c>
      <c r="D38" s="259">
        <f t="shared" ref="D38:E38" si="1">SUM(D25:D37)</f>
        <v>3.1198784962538193</v>
      </c>
      <c r="E38" s="259">
        <f t="shared" si="1"/>
        <v>0.43135384327244797</v>
      </c>
      <c r="H38" s="258" t="s">
        <v>671</v>
      </c>
      <c r="I38" s="260">
        <f>SUM(I25:I37)/5</f>
        <v>0.67430555555555549</v>
      </c>
      <c r="J38" s="261">
        <f>SUM(J25:J37)</f>
        <v>837</v>
      </c>
      <c r="K38" s="261">
        <f t="shared" ref="J38:K38" si="2">SUM(K25:K37)</f>
        <v>153</v>
      </c>
      <c r="L38" s="259">
        <f t="shared" ref="L38:M38" si="3">SUM(L25:L37)</f>
        <v>1.1214702831511074</v>
      </c>
      <c r="M38" s="259">
        <f t="shared" si="3"/>
        <v>0.99429517753047159</v>
      </c>
    </row>
    <row r="40" spans="1:15" ht="13">
      <c r="A40" s="257" t="s">
        <v>780</v>
      </c>
      <c r="H40" s="257" t="s">
        <v>781</v>
      </c>
      <c r="O40" s="42"/>
    </row>
    <row r="41" spans="1:15" ht="22.5" customHeight="1">
      <c r="A41" s="125" t="s">
        <v>16</v>
      </c>
      <c r="B41" s="152" t="s">
        <v>608</v>
      </c>
      <c r="C41" s="125" t="s">
        <v>105</v>
      </c>
      <c r="D41" s="125" t="s">
        <v>668</v>
      </c>
      <c r="E41" s="151" t="s">
        <v>673</v>
      </c>
      <c r="F41" s="125" t="s">
        <v>674</v>
      </c>
      <c r="H41" s="125" t="s">
        <v>16</v>
      </c>
      <c r="I41" s="152" t="s">
        <v>608</v>
      </c>
      <c r="J41" s="125" t="s">
        <v>105</v>
      </c>
      <c r="K41" s="125" t="s">
        <v>668</v>
      </c>
      <c r="L41" s="151" t="s">
        <v>673</v>
      </c>
      <c r="M41" s="125" t="s">
        <v>674</v>
      </c>
    </row>
    <row r="42" spans="1:15" ht="22.5" customHeight="1">
      <c r="A42" s="126" t="s">
        <v>693</v>
      </c>
      <c r="B42" s="139">
        <f>SUM(B7:B10)</f>
        <v>0.36041666666666666</v>
      </c>
      <c r="C42" s="169">
        <v>103</v>
      </c>
      <c r="D42" s="169">
        <v>36</v>
      </c>
      <c r="E42" s="153">
        <f>C42/750</f>
        <v>0.13733333333333334</v>
      </c>
      <c r="F42" s="153">
        <f>D42/200</f>
        <v>0.18</v>
      </c>
      <c r="H42" s="126" t="s">
        <v>693</v>
      </c>
      <c r="I42" s="139">
        <f>SUM(B11:B14)</f>
        <v>0.6826388888888888</v>
      </c>
      <c r="J42" s="126">
        <v>151</v>
      </c>
      <c r="K42" s="126">
        <v>35</v>
      </c>
      <c r="L42" s="153">
        <f>J42/750</f>
        <v>0.20133333333333334</v>
      </c>
      <c r="M42" s="153">
        <f>K42/200</f>
        <v>0.17499999999999999</v>
      </c>
    </row>
    <row r="43" spans="1:15" ht="22.5" customHeight="1">
      <c r="A43" s="126" t="s">
        <v>694</v>
      </c>
      <c r="B43" s="139">
        <f>SUM(C7:C10)</f>
        <v>0.57361111111111107</v>
      </c>
      <c r="C43" s="169">
        <v>133</v>
      </c>
      <c r="D43" s="169">
        <v>11</v>
      </c>
      <c r="E43" s="153">
        <f>C43/720</f>
        <v>0.18472222222222223</v>
      </c>
      <c r="F43" s="153">
        <f>D43/65</f>
        <v>0.16923076923076924</v>
      </c>
      <c r="H43" s="126" t="s">
        <v>694</v>
      </c>
      <c r="I43" s="139">
        <f>SUM(C11:C14)</f>
        <v>0.6826388888888888</v>
      </c>
      <c r="J43" s="126">
        <v>148</v>
      </c>
      <c r="K43" s="126">
        <v>8</v>
      </c>
      <c r="L43" s="153">
        <f>J43/720</f>
        <v>0.20555555555555555</v>
      </c>
      <c r="M43" s="153">
        <f>K43/65</f>
        <v>0.12307692307692308</v>
      </c>
    </row>
    <row r="44" spans="1:15" ht="22.5" customHeight="1">
      <c r="A44" s="126" t="s">
        <v>695</v>
      </c>
      <c r="B44" s="139">
        <f>SUM(D7:D10)</f>
        <v>0.30625000000000002</v>
      </c>
      <c r="C44" s="169">
        <v>88</v>
      </c>
      <c r="D44" s="169">
        <v>15</v>
      </c>
      <c r="E44" s="153">
        <f>C44/750</f>
        <v>0.11733333333333333</v>
      </c>
      <c r="F44" s="153">
        <f>D44/185</f>
        <v>8.1081081081081086E-2</v>
      </c>
      <c r="H44" s="126" t="s">
        <v>695</v>
      </c>
      <c r="I44" s="139">
        <f>SUM(D11:D14)</f>
        <v>0</v>
      </c>
      <c r="L44" s="153">
        <f>J44/750</f>
        <v>0</v>
      </c>
      <c r="M44" s="153">
        <f>K44/185</f>
        <v>0</v>
      </c>
    </row>
    <row r="45" spans="1:15" ht="22.5" customHeight="1">
      <c r="A45" s="126" t="s">
        <v>696</v>
      </c>
      <c r="B45" s="139">
        <f>SUM(E7:E10)</f>
        <v>0</v>
      </c>
      <c r="C45" s="169"/>
      <c r="D45" s="169"/>
      <c r="E45" s="153">
        <f>C45/700</f>
        <v>0</v>
      </c>
      <c r="F45" s="153">
        <f>D45/220</f>
        <v>0</v>
      </c>
      <c r="H45" s="126" t="s">
        <v>696</v>
      </c>
      <c r="I45" s="139">
        <f>SUM(E11:E14)</f>
        <v>0</v>
      </c>
      <c r="L45" s="153">
        <f>J45/700</f>
        <v>0</v>
      </c>
      <c r="M45" s="153">
        <f>K45/220</f>
        <v>0</v>
      </c>
    </row>
    <row r="46" spans="1:15" ht="22.5" customHeight="1">
      <c r="A46" s="126" t="s">
        <v>697</v>
      </c>
      <c r="B46" s="139">
        <f>SUM(F7:F10)</f>
        <v>0.28888888888888886</v>
      </c>
      <c r="C46" s="169">
        <v>71</v>
      </c>
      <c r="D46" s="169">
        <v>11</v>
      </c>
      <c r="E46" s="153">
        <f>C46/800</f>
        <v>8.8749999999999996E-2</v>
      </c>
      <c r="F46" s="153">
        <f>D46/220</f>
        <v>0.05</v>
      </c>
      <c r="H46" s="126" t="s">
        <v>697</v>
      </c>
      <c r="I46" s="139">
        <f>SUM(F11:F14)</f>
        <v>0.15902777777777777</v>
      </c>
      <c r="J46" s="126">
        <v>36</v>
      </c>
      <c r="K46" s="126">
        <v>5</v>
      </c>
      <c r="L46" s="153">
        <f>J46/800</f>
        <v>4.4999999999999998E-2</v>
      </c>
      <c r="M46" s="153">
        <f>K46/220</f>
        <v>2.2727272727272728E-2</v>
      </c>
    </row>
    <row r="47" spans="1:15" ht="22.5" customHeight="1">
      <c r="A47" s="126" t="s">
        <v>698</v>
      </c>
      <c r="B47" s="139">
        <f>SUM(G7:G10)</f>
        <v>9.7916666666666666E-2</v>
      </c>
      <c r="C47" s="169">
        <v>21</v>
      </c>
      <c r="D47" s="169">
        <v>5</v>
      </c>
      <c r="E47" s="153">
        <f>C47/820</f>
        <v>2.5609756097560974E-2</v>
      </c>
      <c r="F47" s="153">
        <f>D47/240</f>
        <v>2.0833333333333332E-2</v>
      </c>
      <c r="H47" s="126" t="s">
        <v>698</v>
      </c>
      <c r="I47" s="139">
        <f>SUM(G11:G14)</f>
        <v>0.31527777777777777</v>
      </c>
      <c r="J47" s="126">
        <v>90</v>
      </c>
      <c r="K47" s="126">
        <v>15</v>
      </c>
      <c r="L47" s="153">
        <f>J47/820</f>
        <v>0.10975609756097561</v>
      </c>
      <c r="M47" s="153">
        <f>K47/240</f>
        <v>6.25E-2</v>
      </c>
    </row>
    <row r="48" spans="1:15" ht="22.5" customHeight="1">
      <c r="A48" s="126" t="s">
        <v>699</v>
      </c>
      <c r="B48" s="139">
        <f>SUM(H7:H10)</f>
        <v>0</v>
      </c>
      <c r="C48" s="169"/>
      <c r="D48" s="169"/>
      <c r="E48" s="153">
        <f>C48/620</f>
        <v>0</v>
      </c>
      <c r="F48" s="153">
        <f>D48/90</f>
        <v>0</v>
      </c>
      <c r="H48" s="126" t="s">
        <v>699</v>
      </c>
      <c r="I48" s="139">
        <f>SUM(H11:H14)</f>
        <v>0</v>
      </c>
      <c r="L48" s="153">
        <f>J48/620</f>
        <v>0</v>
      </c>
      <c r="M48" s="153">
        <f>K48/90</f>
        <v>0</v>
      </c>
    </row>
    <row r="49" spans="1:13" ht="22.5" customHeight="1">
      <c r="A49" s="126" t="s">
        <v>700</v>
      </c>
      <c r="B49" s="154">
        <f>SUM(I7:I10)</f>
        <v>0.38263888888888886</v>
      </c>
      <c r="C49" s="169">
        <v>98</v>
      </c>
      <c r="D49" s="169">
        <v>14</v>
      </c>
      <c r="E49" s="153">
        <f>C49/820</f>
        <v>0.11951219512195121</v>
      </c>
      <c r="F49" s="153">
        <f>D49/200</f>
        <v>7.0000000000000007E-2</v>
      </c>
      <c r="H49" s="126" t="s">
        <v>700</v>
      </c>
      <c r="I49" s="139">
        <f>SUM(I11:I14)</f>
        <v>0.36666666666666664</v>
      </c>
      <c r="J49" s="126">
        <v>89</v>
      </c>
      <c r="K49" s="126">
        <v>16</v>
      </c>
      <c r="L49" s="153">
        <f>J49/820</f>
        <v>0.10853658536585366</v>
      </c>
      <c r="M49" s="153">
        <f>K49/200</f>
        <v>0.08</v>
      </c>
    </row>
    <row r="50" spans="1:13" ht="22.5" customHeight="1">
      <c r="A50" s="126" t="s">
        <v>701</v>
      </c>
      <c r="B50" s="139">
        <f>SUM(J7:J10)</f>
        <v>0</v>
      </c>
      <c r="C50" s="169"/>
      <c r="E50" s="153">
        <f>C50/505</f>
        <v>0</v>
      </c>
      <c r="F50" s="153">
        <f>D50/42</f>
        <v>0</v>
      </c>
      <c r="H50" s="126" t="s">
        <v>701</v>
      </c>
      <c r="I50" s="139">
        <f>SUM(J11:J14)</f>
        <v>0</v>
      </c>
      <c r="L50" s="153">
        <f>J50/505</f>
        <v>0</v>
      </c>
      <c r="M50" s="153">
        <f>K50/42</f>
        <v>0</v>
      </c>
    </row>
    <row r="51" spans="1:13" ht="22.5" customHeight="1">
      <c r="A51" s="126" t="s">
        <v>702</v>
      </c>
      <c r="B51" s="139">
        <f>SUM(K7:K10)</f>
        <v>0</v>
      </c>
      <c r="C51" s="169"/>
      <c r="D51" s="169"/>
      <c r="E51" s="153">
        <f>C51/740</f>
        <v>0</v>
      </c>
      <c r="F51" s="153">
        <f>D51/215</f>
        <v>0</v>
      </c>
      <c r="H51" s="126" t="s">
        <v>702</v>
      </c>
      <c r="I51" s="139">
        <f>SUM(K11:K14)</f>
        <v>0</v>
      </c>
      <c r="L51" s="153">
        <f>J51/740</f>
        <v>0</v>
      </c>
      <c r="M51" s="153">
        <f>K51/215</f>
        <v>0</v>
      </c>
    </row>
    <row r="52" spans="1:13" ht="22.5" customHeight="1">
      <c r="A52" s="126" t="s">
        <v>703</v>
      </c>
      <c r="B52" s="139">
        <f>SUM(L7:L10)</f>
        <v>0.57361111111111107</v>
      </c>
      <c r="C52" s="169">
        <v>155</v>
      </c>
      <c r="D52" s="169">
        <v>29</v>
      </c>
      <c r="E52" s="153">
        <f>C52/800</f>
        <v>0.19375000000000001</v>
      </c>
      <c r="F52" s="153">
        <f>D52/170</f>
        <v>0.17058823529411765</v>
      </c>
      <c r="H52" s="126" t="s">
        <v>703</v>
      </c>
      <c r="I52" s="139">
        <f>SUM(L11:L14)</f>
        <v>0.6826388888888888</v>
      </c>
      <c r="J52" s="126">
        <v>159</v>
      </c>
      <c r="K52" s="126">
        <v>27</v>
      </c>
      <c r="L52" s="153">
        <f>J52/800</f>
        <v>0.19875000000000001</v>
      </c>
      <c r="M52" s="153">
        <f>K52/170</f>
        <v>0.1588235294117647</v>
      </c>
    </row>
    <row r="53" spans="1:13" ht="22.5" customHeight="1">
      <c r="A53" s="126" t="s">
        <v>704</v>
      </c>
      <c r="B53" s="139">
        <f>SUM(M7:M10)</f>
        <v>0.28472222222222221</v>
      </c>
      <c r="C53" s="169">
        <v>69</v>
      </c>
      <c r="D53" s="169">
        <v>9</v>
      </c>
      <c r="E53" s="153">
        <f>C53/580</f>
        <v>0.11896551724137931</v>
      </c>
      <c r="F53" s="153">
        <f>D53/75</f>
        <v>0.12</v>
      </c>
      <c r="H53" s="126" t="s">
        <v>704</v>
      </c>
      <c r="I53" s="139">
        <f>SUM(M11:M14)</f>
        <v>0.5229166666666667</v>
      </c>
      <c r="J53" s="126">
        <v>115</v>
      </c>
      <c r="K53" s="126">
        <v>9</v>
      </c>
      <c r="L53" s="153">
        <f>J53/580</f>
        <v>0.19827586206896552</v>
      </c>
      <c r="M53" s="153">
        <f>K53/75</f>
        <v>0.12</v>
      </c>
    </row>
    <row r="54" spans="1:13" ht="22.5" customHeight="1">
      <c r="A54" s="126" t="s">
        <v>705</v>
      </c>
      <c r="B54" s="139">
        <f>SUM(N7:N10)</f>
        <v>0</v>
      </c>
      <c r="E54" s="153">
        <f>C54/720</f>
        <v>0</v>
      </c>
      <c r="F54" s="153">
        <f>D54/100</f>
        <v>0</v>
      </c>
      <c r="H54" s="126" t="s">
        <v>705</v>
      </c>
      <c r="I54" s="139">
        <f>SUM(N11:N14)</f>
        <v>0</v>
      </c>
      <c r="L54" s="153">
        <f>J54/720</f>
        <v>0</v>
      </c>
      <c r="M54" s="153">
        <f>K54/100</f>
        <v>0</v>
      </c>
    </row>
    <row r="55" spans="1:13" ht="22.5" customHeight="1">
      <c r="A55" s="258" t="s">
        <v>671</v>
      </c>
      <c r="B55" s="260">
        <f>SUM(B42:B54)/5</f>
        <v>0.57361111111111107</v>
      </c>
      <c r="C55" s="258">
        <f>SUM(C42:C54)</f>
        <v>738</v>
      </c>
      <c r="D55" s="258">
        <f>SUM(D42:D54)</f>
        <v>130</v>
      </c>
      <c r="E55" s="259">
        <f>SUM(E42:E54)</f>
        <v>0.9859763573497804</v>
      </c>
      <c r="F55" s="259">
        <f>SUM(F42:F54)</f>
        <v>0.86173341893930144</v>
      </c>
      <c r="H55" s="258" t="s">
        <v>671</v>
      </c>
      <c r="I55" s="260">
        <f>SUM(I42:I54)/5</f>
        <v>0.68236111111111097</v>
      </c>
      <c r="J55" s="258">
        <f>SUM(J42:J54)</f>
        <v>788</v>
      </c>
      <c r="K55" s="258">
        <f>SUM(K42:K54)</f>
        <v>115</v>
      </c>
      <c r="L55" s="259">
        <f>SUM(L42:L54)</f>
        <v>1.0672074338846835</v>
      </c>
      <c r="M55" s="259">
        <f>SUM(M42:M54)</f>
        <v>0.74212772521596049</v>
      </c>
    </row>
    <row r="60" spans="1:13" ht="15.75" customHeight="1">
      <c r="A60" s="257" t="s">
        <v>782</v>
      </c>
      <c r="H60" s="257" t="s">
        <v>783</v>
      </c>
    </row>
    <row r="61" spans="1:13" ht="22.5" customHeight="1">
      <c r="A61" s="125" t="s">
        <v>16</v>
      </c>
      <c r="B61" s="152" t="s">
        <v>608</v>
      </c>
      <c r="C61" s="125" t="s">
        <v>105</v>
      </c>
      <c r="D61" s="125" t="s">
        <v>668</v>
      </c>
      <c r="E61" s="151" t="s">
        <v>673</v>
      </c>
      <c r="F61" s="125" t="s">
        <v>674</v>
      </c>
      <c r="H61" s="125" t="s">
        <v>16</v>
      </c>
      <c r="I61" s="152" t="s">
        <v>608</v>
      </c>
      <c r="J61" s="125" t="s">
        <v>105</v>
      </c>
      <c r="K61" s="125" t="s">
        <v>668</v>
      </c>
      <c r="L61" s="151" t="s">
        <v>675</v>
      </c>
      <c r="M61" s="125" t="s">
        <v>676</v>
      </c>
    </row>
    <row r="62" spans="1:13" ht="22.5" customHeight="1">
      <c r="A62" s="126" t="s">
        <v>693</v>
      </c>
      <c r="B62" s="139">
        <f>SUM(B15:B21)</f>
        <v>0.43611111111111112</v>
      </c>
      <c r="C62" s="126">
        <v>105</v>
      </c>
      <c r="D62" s="126">
        <v>35</v>
      </c>
      <c r="E62" s="153">
        <f>C62/750</f>
        <v>0.14000000000000001</v>
      </c>
      <c r="F62" s="153">
        <f>D62/200</f>
        <v>0.17499999999999999</v>
      </c>
      <c r="H62" s="126" t="s">
        <v>693</v>
      </c>
      <c r="I62" s="139">
        <f>SUM(I25,B42,I42,B62)</f>
        <v>2.0729166666666665</v>
      </c>
      <c r="J62" s="126">
        <f>SUM(B25,J25,C42,J42,C62)</f>
        <v>702</v>
      </c>
      <c r="K62" s="126">
        <f>SUM(C25,K25,D42,K42,D62)</f>
        <v>167</v>
      </c>
      <c r="L62" s="153">
        <f>SUM(D25,L25,E42,L42,E62)</f>
        <v>0.93600000000000005</v>
      </c>
      <c r="M62" s="153">
        <f>SUM(E25,M25,F42,M42,F62)</f>
        <v>0.83499999999999996</v>
      </c>
    </row>
    <row r="63" spans="1:13" ht="22.5" customHeight="1">
      <c r="A63" s="126" t="s">
        <v>694</v>
      </c>
      <c r="B63" s="139">
        <f>SUM(C15:C21)</f>
        <v>0.68611111111111101</v>
      </c>
      <c r="C63" s="126">
        <v>139</v>
      </c>
      <c r="D63" s="126">
        <v>8</v>
      </c>
      <c r="E63" s="153">
        <f>C63/720</f>
        <v>0.19305555555555556</v>
      </c>
      <c r="F63" s="153">
        <f>D63/65</f>
        <v>0.12307692307692308</v>
      </c>
      <c r="H63" s="126" t="s">
        <v>694</v>
      </c>
      <c r="I63" s="139">
        <f>SUM(I26,B43,I43,B63)</f>
        <v>2.5812499999999998</v>
      </c>
      <c r="J63" s="126">
        <f>SUM(B26,J26,C43,J43,C63)</f>
        <v>724</v>
      </c>
      <c r="K63" s="126">
        <f>SUM(C26,K26,D43,K43,D63)</f>
        <v>40</v>
      </c>
      <c r="L63" s="153">
        <f>SUM(D26,L26,E43,L43,E63)</f>
        <v>1.0055555555555555</v>
      </c>
      <c r="M63" s="153">
        <f>SUM(E26,M26,F43,M43,F63)</f>
        <v>0.61538461538461542</v>
      </c>
    </row>
    <row r="64" spans="1:13" ht="22.5" customHeight="1">
      <c r="A64" s="126" t="s">
        <v>695</v>
      </c>
      <c r="B64" s="139">
        <f>SUM(D15:D21)</f>
        <v>0.16249999999999998</v>
      </c>
      <c r="C64" s="126">
        <v>32</v>
      </c>
      <c r="D64" s="126">
        <v>5</v>
      </c>
      <c r="E64" s="153">
        <f>C64/750</f>
        <v>4.2666666666666665E-2</v>
      </c>
      <c r="F64" s="153">
        <f>D64/185</f>
        <v>2.7027027027027029E-2</v>
      </c>
      <c r="H64" s="126" t="s">
        <v>695</v>
      </c>
      <c r="I64" s="139">
        <f>SUM(I27,B44,I44,B64)</f>
        <v>0.66041666666666665</v>
      </c>
      <c r="J64" s="126">
        <f>SUM(B27,J27,C44,J44,C64)</f>
        <v>332</v>
      </c>
      <c r="K64" s="126">
        <f>SUM(C27,K27,D44,K44,D64)</f>
        <v>27</v>
      </c>
      <c r="L64" s="153">
        <f>SUM(D27,L27,E44,L44,E64)</f>
        <v>0.44266666666666671</v>
      </c>
      <c r="M64" s="153">
        <f>SUM(E27,M27,F44,M44,F64)</f>
        <v>0.14594594594594595</v>
      </c>
    </row>
    <row r="65" spans="1:13" ht="22.5" customHeight="1">
      <c r="A65" s="126" t="s">
        <v>696</v>
      </c>
      <c r="B65" s="139">
        <f>SUM(E15:E21)</f>
        <v>0</v>
      </c>
      <c r="E65" s="153">
        <f>C65/700</f>
        <v>0</v>
      </c>
      <c r="F65" s="153">
        <f>D65/220</f>
        <v>0</v>
      </c>
      <c r="H65" s="175" t="s">
        <v>696</v>
      </c>
      <c r="I65" s="176">
        <f>SUM(I28,B45,I45,B65)</f>
        <v>0</v>
      </c>
      <c r="J65" s="175">
        <f>SUM(B28,J28,C45,J45,C65)</f>
        <v>153</v>
      </c>
      <c r="K65" s="175">
        <f>SUM(C28,K28,D45,K45,D65)</f>
        <v>1</v>
      </c>
      <c r="L65" s="153">
        <f>SUM(D28,L28,E45,L45,E65)</f>
        <v>0.21857142857142858</v>
      </c>
      <c r="M65" s="153">
        <f>SUM(E28,M28,F45,M45,F65)</f>
        <v>4.5454545454545452E-3</v>
      </c>
    </row>
    <row r="66" spans="1:13" ht="22.5" customHeight="1">
      <c r="A66" s="126" t="s">
        <v>697</v>
      </c>
      <c r="B66" s="139">
        <f>SUM(F15:F21)</f>
        <v>0.26111111111111113</v>
      </c>
      <c r="C66" s="126">
        <v>60</v>
      </c>
      <c r="D66" s="126">
        <v>12</v>
      </c>
      <c r="E66" s="153">
        <f>C66/800</f>
        <v>7.4999999999999997E-2</v>
      </c>
      <c r="F66" s="153">
        <f>D67/220</f>
        <v>6.363636363636363E-2</v>
      </c>
      <c r="H66" s="126" t="s">
        <v>697</v>
      </c>
      <c r="I66" s="139">
        <f>SUM(I29,B46,I46,B66)</f>
        <v>1.0041666666666667</v>
      </c>
      <c r="J66" s="126">
        <f>SUM(B29,J29,C46,J46,C66)</f>
        <v>402</v>
      </c>
      <c r="K66" s="126">
        <f>SUM(C30,K29,D46,K46,D67)</f>
        <v>46</v>
      </c>
      <c r="L66" s="153">
        <f>SUM(D29,L29,E46,L46,E66)</f>
        <v>0.50249999999999995</v>
      </c>
      <c r="M66" s="153">
        <f>SUM(E29,M29,F46,M46,F66)</f>
        <v>0.20909090909090908</v>
      </c>
    </row>
    <row r="67" spans="1:13" ht="22.5" customHeight="1">
      <c r="A67" s="126" t="s">
        <v>698</v>
      </c>
      <c r="B67" s="139">
        <f>SUM(G15:G21)</f>
        <v>0.32152777777777775</v>
      </c>
      <c r="C67" s="126">
        <v>69</v>
      </c>
      <c r="D67" s="126">
        <v>14</v>
      </c>
      <c r="E67" s="153">
        <f t="shared" ref="E67:F67" si="4">C67/820</f>
        <v>8.4146341463414639E-2</v>
      </c>
      <c r="F67" s="153">
        <f t="shared" si="4"/>
        <v>1.7073170731707318E-2</v>
      </c>
      <c r="H67" s="126" t="s">
        <v>698</v>
      </c>
      <c r="I67" s="139">
        <f>SUM(I30,B47,I47,B67)</f>
        <v>1.2173611111111111</v>
      </c>
      <c r="J67" s="126">
        <f>SUM(B30,J30,C47,J47,C67)</f>
        <v>446</v>
      </c>
      <c r="K67" s="126">
        <f>SUM(C31,K30,D47,K47,D68)</f>
        <v>43</v>
      </c>
      <c r="L67" s="153">
        <f>SUM(D30,L30,E47,L47,E67)</f>
        <v>0.54390243902439028</v>
      </c>
      <c r="M67" s="153">
        <f>SUM(E30,M30,F47,M47,F67)</f>
        <v>0.18790650406504067</v>
      </c>
    </row>
    <row r="68" spans="1:13" ht="22.5" customHeight="1">
      <c r="A68" s="126" t="s">
        <v>699</v>
      </c>
      <c r="B68" s="139">
        <f>SUM(H15:H21)</f>
        <v>0</v>
      </c>
      <c r="C68" s="126">
        <v>7</v>
      </c>
      <c r="D68" s="126">
        <v>2</v>
      </c>
      <c r="E68" s="153">
        <f>C68/620</f>
        <v>1.1290322580645161E-2</v>
      </c>
      <c r="F68" s="153">
        <f>D68/820</f>
        <v>2.4390243902439024E-3</v>
      </c>
      <c r="H68" s="175" t="s">
        <v>699</v>
      </c>
      <c r="I68" s="176">
        <f>SUM(I31,B48,I48,B68)</f>
        <v>0</v>
      </c>
      <c r="J68" s="175">
        <f>SUM(B31,J31,C48,J48,C68)</f>
        <v>187</v>
      </c>
      <c r="K68" s="175">
        <f>SUM(C32,K31,D48,K48,D69)</f>
        <v>44</v>
      </c>
      <c r="L68" s="153">
        <f>SUM(D31,L31,E48,L48,E68)</f>
        <v>0.30161290322580647</v>
      </c>
      <c r="M68" s="153">
        <f>SUM(E31,M31,F48,M48,F68)</f>
        <v>9.1327913279132797E-2</v>
      </c>
    </row>
    <row r="69" spans="1:13" ht="22.5" customHeight="1">
      <c r="A69" s="126" t="s">
        <v>700</v>
      </c>
      <c r="B69" s="139">
        <f>SUM(I15:I21)</f>
        <v>0.83680555555555547</v>
      </c>
      <c r="C69" s="126">
        <v>192</v>
      </c>
      <c r="D69" s="126">
        <v>36</v>
      </c>
      <c r="E69" s="153">
        <f t="shared" ref="E69:F69" si="5">C69/820</f>
        <v>0.23414634146341465</v>
      </c>
      <c r="F69" s="153">
        <f t="shared" si="5"/>
        <v>4.3902439024390241E-2</v>
      </c>
      <c r="H69" s="126" t="s">
        <v>700</v>
      </c>
      <c r="I69" s="139">
        <f>SUM(I32,B49,I49,B69)</f>
        <v>1.9388888888888887</v>
      </c>
      <c r="J69" s="126">
        <f>SUM(B32,J32,C49,J49,C69)</f>
        <v>693</v>
      </c>
      <c r="K69" s="126">
        <f>SUM(C33,K32,D49,K49,D70)</f>
        <v>47</v>
      </c>
      <c r="L69" s="153">
        <f>SUM(D32,L32,E49,L49,E69)</f>
        <v>0.84512195121951217</v>
      </c>
      <c r="M69" s="153">
        <f>SUM(E32,M32,F49,M49,F69)</f>
        <v>0.27890243902439027</v>
      </c>
    </row>
    <row r="70" spans="1:13" ht="22.5" customHeight="1">
      <c r="A70" s="126" t="s">
        <v>701</v>
      </c>
      <c r="B70" s="139">
        <f>SUM(J15:J21)</f>
        <v>0</v>
      </c>
      <c r="E70" s="153">
        <f>C70/505</f>
        <v>0</v>
      </c>
      <c r="F70" s="153">
        <f t="shared" ref="F70:F74" si="6">D70/820</f>
        <v>0</v>
      </c>
      <c r="H70" s="175" t="s">
        <v>701</v>
      </c>
      <c r="I70" s="176">
        <f>SUM(I33,B50,I50,B70)</f>
        <v>0</v>
      </c>
      <c r="J70" s="175">
        <f>SUM(B33,J33,C50,J50,C70)</f>
        <v>123</v>
      </c>
      <c r="K70" s="175">
        <f>SUM(C34,K33,D50,K50,D71)</f>
        <v>7</v>
      </c>
      <c r="L70" s="153">
        <f>SUM(D33,L33,E50,L50,E70)</f>
        <v>0.24356435643564356</v>
      </c>
      <c r="M70" s="153">
        <f>SUM(E33,M33,F50,M50,F70)</f>
        <v>0.16666666666666666</v>
      </c>
    </row>
    <row r="71" spans="1:13" ht="22.5" customHeight="1">
      <c r="A71" s="126" t="s">
        <v>702</v>
      </c>
      <c r="B71" s="139">
        <f>SUM(K15:K21)</f>
        <v>0</v>
      </c>
      <c r="E71" s="153">
        <f>C71/740</f>
        <v>0</v>
      </c>
      <c r="F71" s="153">
        <f t="shared" si="6"/>
        <v>0</v>
      </c>
      <c r="H71" s="175" t="s">
        <v>702</v>
      </c>
      <c r="I71" s="176">
        <f>SUM(I34,B51,I51,B71)</f>
        <v>0</v>
      </c>
      <c r="J71" s="175">
        <f>SUM(B34,J34,C51,J51,C71)</f>
        <v>219</v>
      </c>
      <c r="K71" s="175">
        <f>SUM(C35,K34,D51,K51,D72)</f>
        <v>43</v>
      </c>
      <c r="L71" s="153">
        <f>SUM(D34,L34,E51,L51,E71)</f>
        <v>0.29594594594594592</v>
      </c>
      <c r="M71" s="153">
        <f>SUM(E34,M34,F51,M51,F71)</f>
        <v>1.3953488372093023E-2</v>
      </c>
    </row>
    <row r="72" spans="1:13" ht="22.5" customHeight="1">
      <c r="A72" s="126" t="s">
        <v>703</v>
      </c>
      <c r="B72" s="139">
        <f>SUM(L15:L21)</f>
        <v>0.83680555555555547</v>
      </c>
      <c r="C72" s="126">
        <v>196</v>
      </c>
      <c r="D72" s="126">
        <v>40</v>
      </c>
      <c r="E72" s="153">
        <f>C72/800</f>
        <v>0.245</v>
      </c>
      <c r="F72" s="153">
        <f t="shared" si="6"/>
        <v>4.878048780487805E-2</v>
      </c>
      <c r="H72" s="126" t="s">
        <v>703</v>
      </c>
      <c r="I72" s="139">
        <f>SUM(I35,B52,I52,B72)</f>
        <v>2.5305555555555554</v>
      </c>
      <c r="J72" s="126">
        <f>SUM(B35,J35,C52,J52,C72)</f>
        <v>822</v>
      </c>
      <c r="K72" s="126">
        <f>SUM(C36,K35,D52,K52,D73)</f>
        <v>89</v>
      </c>
      <c r="L72" s="153">
        <f>SUM(D35,L35,E52,L52,E72)</f>
        <v>1.0274999999999999</v>
      </c>
      <c r="M72" s="153">
        <f>SUM(E35,M35,F52,M52,F72)</f>
        <v>0.50172166427546627</v>
      </c>
    </row>
    <row r="73" spans="1:13" ht="22.5" customHeight="1">
      <c r="A73" s="126" t="s">
        <v>704</v>
      </c>
      <c r="B73" s="139">
        <f>SUM(M15:M21)</f>
        <v>0.57291666666666663</v>
      </c>
      <c r="C73" s="126">
        <v>106</v>
      </c>
      <c r="D73" s="126">
        <v>12</v>
      </c>
      <c r="E73" s="153">
        <f>C73/580</f>
        <v>0.18275862068965518</v>
      </c>
      <c r="F73" s="153">
        <f t="shared" si="6"/>
        <v>1.4634146341463415E-2</v>
      </c>
      <c r="H73" s="126" t="s">
        <v>704</v>
      </c>
      <c r="I73" s="139">
        <f>SUM(I36,B53,I53,B73)</f>
        <v>1.759722222222222</v>
      </c>
      <c r="J73" s="126">
        <f>SUM(B36,J36,C53,J53,C73)</f>
        <v>516</v>
      </c>
      <c r="K73" s="126">
        <f>SUM(C37,K36,D53,K53,D74)</f>
        <v>33</v>
      </c>
      <c r="L73" s="153">
        <f>SUM(D36,L36,E53,L53,E73)</f>
        <v>0.8896551724137931</v>
      </c>
      <c r="M73" s="153">
        <f>SUM(E36,M36,F53,M53,F73)</f>
        <v>0.45463414634146343</v>
      </c>
    </row>
    <row r="74" spans="1:13" ht="22.5" customHeight="1">
      <c r="A74" s="126" t="s">
        <v>705</v>
      </c>
      <c r="B74" s="139">
        <f>SUM(N15:N21)</f>
        <v>0</v>
      </c>
      <c r="E74" s="153">
        <f>C74/720</f>
        <v>0</v>
      </c>
      <c r="F74" s="153">
        <f t="shared" si="6"/>
        <v>0</v>
      </c>
      <c r="H74" s="175" t="s">
        <v>705</v>
      </c>
      <c r="I74" s="176">
        <f>SUM(I37,B54,I54,B74)</f>
        <v>0</v>
      </c>
      <c r="J74" s="175">
        <f>SUM(B37,J37,C54,J54,C74)</f>
        <v>180</v>
      </c>
      <c r="K74" s="175">
        <f>SUM(D74,C37,K37,D54,K54)</f>
        <v>4</v>
      </c>
      <c r="L74" s="153">
        <f>SUM(D37,L37,E54,L54,E74)</f>
        <v>0.25</v>
      </c>
      <c r="M74" s="153">
        <f>SUM(E37,M37,F54,M54,F74)</f>
        <v>0.04</v>
      </c>
    </row>
    <row r="75" spans="1:13" ht="22.5" customHeight="1">
      <c r="A75" s="258" t="s">
        <v>671</v>
      </c>
      <c r="B75" s="260">
        <f>SUM(B62:B74)/5</f>
        <v>0.82277777777777783</v>
      </c>
      <c r="C75" s="258">
        <f>SUM(C62:C74)</f>
        <v>906</v>
      </c>
      <c r="D75" s="258">
        <f>SUM(D62:D74)</f>
        <v>164</v>
      </c>
      <c r="E75" s="259">
        <f t="shared" ref="E75:F75" si="7">SUM(E62:E74)</f>
        <v>1.2080638484193518</v>
      </c>
      <c r="F75" s="259">
        <f t="shared" si="7"/>
        <v>0.51556958203299663</v>
      </c>
      <c r="H75" s="170" t="s">
        <v>671</v>
      </c>
      <c r="I75" s="171">
        <f>SUM(I62:I74)/5</f>
        <v>2.7530555555555551</v>
      </c>
      <c r="J75" s="170">
        <f>SUM(J62:J74)</f>
        <v>5499</v>
      </c>
      <c r="K75" s="170">
        <f>SUM(K62:K74)</f>
        <v>591</v>
      </c>
      <c r="L75" s="172">
        <f t="shared" ref="L75:M75" si="8">AVERAGE(L62:L74)</f>
        <v>0.5771228014660571</v>
      </c>
      <c r="M75" s="172">
        <f t="shared" si="8"/>
        <v>0.2726984420762445</v>
      </c>
    </row>
  </sheetData>
  <mergeCells count="4">
    <mergeCell ref="A3:A6"/>
    <mergeCell ref="A7:A10"/>
    <mergeCell ref="A11:A14"/>
    <mergeCell ref="A15:A21"/>
  </mergeCells>
  <conditionalFormatting sqref="L62:L75">
    <cfRule type="cellIs" dxfId="53" priority="1" operator="between">
      <formula>0.5</formula>
      <formula>0.75</formula>
    </cfRule>
    <cfRule type="cellIs" dxfId="52" priority="2" operator="between">
      <formula>0.25</formula>
      <formula>0.5</formula>
    </cfRule>
    <cfRule type="cellIs" dxfId="51" priority="3" operator="between">
      <formula>0</formula>
      <formula>0.25</formula>
    </cfRule>
    <cfRule type="cellIs" dxfId="50" priority="4" operator="greaterThan">
      <formula>0.75</formula>
    </cfRule>
  </conditionalFormatting>
  <conditionalFormatting sqref="M62:M75">
    <cfRule type="cellIs" dxfId="49" priority="5" operator="between">
      <formula>0.5</formula>
      <formula>0.75</formula>
    </cfRule>
    <cfRule type="cellIs" dxfId="48" priority="6" operator="between">
      <formula>0.25</formula>
      <formula>0.5</formula>
    </cfRule>
    <cfRule type="cellIs" dxfId="47" priority="7" operator="between">
      <formula>0</formula>
      <formula>0.25</formula>
    </cfRule>
    <cfRule type="cellIs" dxfId="46" priority="8" operator="greaterThan">
      <formula>0.75</formula>
    </cfRule>
  </conditionalFormatting>
  <dataValidations count="1">
    <dataValidation type="custom" allowBlank="1" showDropDown="1" sqref="D25:D38" xr:uid="{00000000-0002-0000-2300-000000000000}">
      <formula1>AND(ISNUMBER(D25),(NOT(OR(NOT(ISERROR(DATEVALUE(D25))), AND(ISNUMBER(D25), LEFT(CELL("format", D25))="D")))))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144"/>
  <sheetViews>
    <sheetView workbookViewId="0">
      <pane ySplit="2" topLeftCell="A77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16" customWidth="1"/>
    <col min="10" max="10" width="15.1640625" customWidth="1"/>
  </cols>
  <sheetData>
    <row r="1" spans="1:13" ht="15.75" customHeight="1">
      <c r="A1" s="235" t="s">
        <v>619</v>
      </c>
      <c r="B1" s="227"/>
      <c r="C1" s="227"/>
      <c r="D1" s="227"/>
      <c r="E1" s="1"/>
      <c r="F1" s="1"/>
      <c r="G1" s="1"/>
      <c r="H1" s="1"/>
    </row>
    <row r="2" spans="1:13" ht="15.75" customHeight="1">
      <c r="A2" s="96"/>
      <c r="B2" s="97" t="s">
        <v>144</v>
      </c>
      <c r="C2" s="97" t="s">
        <v>620</v>
      </c>
      <c r="D2" s="97" t="s">
        <v>621</v>
      </c>
      <c r="E2" s="1"/>
      <c r="F2" s="97" t="s">
        <v>144</v>
      </c>
      <c r="G2" s="97" t="s">
        <v>620</v>
      </c>
      <c r="H2" s="97" t="s">
        <v>621</v>
      </c>
      <c r="J2" s="97" t="s">
        <v>144</v>
      </c>
      <c r="K2" s="97" t="s">
        <v>620</v>
      </c>
      <c r="L2" s="97" t="s">
        <v>621</v>
      </c>
      <c r="M2" s="1" t="s">
        <v>106</v>
      </c>
    </row>
    <row r="3" spans="1:13" ht="19">
      <c r="A3" s="98" t="s">
        <v>622</v>
      </c>
      <c r="B3" s="40"/>
      <c r="C3" s="40"/>
      <c r="D3" s="40"/>
      <c r="E3" s="1"/>
      <c r="F3" s="1"/>
      <c r="G3" s="1"/>
      <c r="H3" s="1"/>
    </row>
    <row r="4" spans="1:13" ht="15.75" customHeight="1">
      <c r="A4" s="99" t="s">
        <v>623</v>
      </c>
      <c r="B4" s="100"/>
      <c r="C4" s="100"/>
      <c r="D4" s="100"/>
      <c r="E4" s="99" t="s">
        <v>624</v>
      </c>
      <c r="F4" s="100"/>
      <c r="G4" s="100"/>
      <c r="H4" s="100"/>
      <c r="I4" s="99" t="s">
        <v>625</v>
      </c>
      <c r="J4" s="100"/>
      <c r="K4" s="100"/>
      <c r="L4" s="100"/>
    </row>
    <row r="5" spans="1:13" ht="15.75" customHeight="1">
      <c r="A5" s="34" t="s">
        <v>626</v>
      </c>
      <c r="B5" s="41">
        <v>142</v>
      </c>
      <c r="C5" s="41">
        <v>4</v>
      </c>
      <c r="D5" s="41">
        <v>4.28</v>
      </c>
      <c r="E5" s="34" t="s">
        <v>626</v>
      </c>
      <c r="F5" s="41">
        <v>152</v>
      </c>
      <c r="G5" s="41">
        <v>3</v>
      </c>
      <c r="H5" s="41">
        <v>4.4000000000000004</v>
      </c>
      <c r="I5" s="34" t="s">
        <v>626</v>
      </c>
      <c r="J5" s="41">
        <v>128</v>
      </c>
      <c r="K5" s="41">
        <v>0</v>
      </c>
      <c r="L5" s="41">
        <v>5.36</v>
      </c>
      <c r="M5" s="101">
        <v>2</v>
      </c>
    </row>
    <row r="6" spans="1:13" ht="15.75" customHeight="1">
      <c r="A6" s="34" t="s">
        <v>627</v>
      </c>
      <c r="B6" s="41">
        <v>202</v>
      </c>
      <c r="C6" s="41">
        <v>51</v>
      </c>
      <c r="D6" s="41">
        <v>11.54</v>
      </c>
      <c r="E6" s="34" t="s">
        <v>627</v>
      </c>
      <c r="F6" s="41">
        <v>165</v>
      </c>
      <c r="G6" s="41">
        <v>27</v>
      </c>
      <c r="H6" s="41">
        <v>13</v>
      </c>
      <c r="I6" s="34" t="s">
        <v>627</v>
      </c>
      <c r="J6" s="41">
        <v>145</v>
      </c>
      <c r="K6" s="41">
        <v>38</v>
      </c>
      <c r="L6" s="41">
        <v>11.65</v>
      </c>
      <c r="M6" s="101">
        <v>21</v>
      </c>
    </row>
    <row r="7" spans="1:13" ht="15.75" customHeight="1">
      <c r="A7" s="34" t="s">
        <v>628</v>
      </c>
      <c r="B7" s="41">
        <v>90</v>
      </c>
      <c r="C7" s="41">
        <v>23</v>
      </c>
      <c r="D7" s="41">
        <v>14.96</v>
      </c>
      <c r="E7" s="34" t="s">
        <v>628</v>
      </c>
      <c r="F7" s="41">
        <v>109</v>
      </c>
      <c r="G7" s="41">
        <v>23</v>
      </c>
      <c r="H7" s="41">
        <v>11.28</v>
      </c>
      <c r="I7" s="34" t="s">
        <v>628</v>
      </c>
      <c r="J7" s="41">
        <v>152</v>
      </c>
      <c r="K7" s="41">
        <v>36</v>
      </c>
      <c r="L7" s="41">
        <v>11.21</v>
      </c>
      <c r="M7" s="101">
        <v>18</v>
      </c>
    </row>
    <row r="8" spans="1:13" ht="15.75" customHeight="1">
      <c r="A8" s="34" t="s">
        <v>629</v>
      </c>
      <c r="B8" s="41">
        <v>107</v>
      </c>
      <c r="C8" s="41">
        <v>26</v>
      </c>
      <c r="D8" s="41">
        <v>9.43</v>
      </c>
      <c r="E8" s="34" t="s">
        <v>629</v>
      </c>
      <c r="F8" s="41">
        <v>86</v>
      </c>
      <c r="G8" s="41">
        <v>16</v>
      </c>
      <c r="H8" s="41">
        <v>10.75</v>
      </c>
      <c r="I8" s="34" t="s">
        <v>629</v>
      </c>
      <c r="J8" s="41">
        <v>134</v>
      </c>
      <c r="K8" s="41">
        <v>21</v>
      </c>
      <c r="L8" s="41">
        <v>10.119999999999999</v>
      </c>
      <c r="M8" s="101">
        <v>20</v>
      </c>
    </row>
    <row r="9" spans="1:13" ht="15.75" customHeight="1">
      <c r="A9" s="34" t="s">
        <v>630</v>
      </c>
      <c r="B9" s="41">
        <v>95</v>
      </c>
      <c r="C9" s="41">
        <v>18</v>
      </c>
      <c r="D9" s="41">
        <v>9.56</v>
      </c>
      <c r="E9" s="34" t="s">
        <v>630</v>
      </c>
      <c r="F9" s="41">
        <v>54</v>
      </c>
      <c r="G9" s="41">
        <v>12</v>
      </c>
      <c r="H9" s="41">
        <v>9.34</v>
      </c>
      <c r="I9" s="34" t="s">
        <v>630</v>
      </c>
      <c r="J9" s="41">
        <v>134</v>
      </c>
      <c r="K9" s="41">
        <v>34</v>
      </c>
      <c r="L9" s="41">
        <v>10.11</v>
      </c>
      <c r="M9" s="101">
        <v>20</v>
      </c>
    </row>
    <row r="10" spans="1:13" ht="15.75" customHeight="1">
      <c r="A10" s="102" t="s">
        <v>631</v>
      </c>
      <c r="B10" s="103">
        <v>635</v>
      </c>
      <c r="C10" s="103">
        <v>122</v>
      </c>
      <c r="D10" s="103">
        <v>8.15</v>
      </c>
      <c r="E10" s="102" t="s">
        <v>631</v>
      </c>
      <c r="F10" s="103">
        <v>567</v>
      </c>
      <c r="G10" s="103">
        <v>81</v>
      </c>
      <c r="H10" s="103">
        <v>8.01</v>
      </c>
      <c r="I10" s="44" t="s">
        <v>631</v>
      </c>
      <c r="J10" s="45">
        <v>693</v>
      </c>
      <c r="K10" s="45">
        <v>129</v>
      </c>
      <c r="L10" s="45">
        <v>9.07</v>
      </c>
      <c r="M10" s="104">
        <v>81</v>
      </c>
    </row>
    <row r="11" spans="1:13" ht="15.75" customHeight="1">
      <c r="A11" s="105" t="s">
        <v>632</v>
      </c>
      <c r="B11" s="106">
        <f t="shared" ref="B11:C11" si="0">B10-B5</f>
        <v>493</v>
      </c>
      <c r="C11" s="106">
        <f t="shared" si="0"/>
        <v>118</v>
      </c>
      <c r="D11" s="106">
        <f>AVERAGE(D6:D9)</f>
        <v>11.3725</v>
      </c>
      <c r="E11" s="105" t="s">
        <v>632</v>
      </c>
      <c r="F11" s="106">
        <f t="shared" ref="F11:G11" si="1">F10-F5</f>
        <v>415</v>
      </c>
      <c r="G11" s="106">
        <f t="shared" si="1"/>
        <v>78</v>
      </c>
      <c r="H11" s="106">
        <f>AVERAGE(H6:H9)</f>
        <v>11.092500000000001</v>
      </c>
      <c r="I11" s="105" t="s">
        <v>632</v>
      </c>
      <c r="J11" s="106">
        <f t="shared" ref="J11:K11" si="2">J10-J5</f>
        <v>565</v>
      </c>
      <c r="K11" s="106">
        <f t="shared" si="2"/>
        <v>129</v>
      </c>
      <c r="L11" s="106">
        <f>AVERAGE(L6:L9)</f>
        <v>10.772499999999999</v>
      </c>
      <c r="M11" s="106">
        <f>M10-M5</f>
        <v>79</v>
      </c>
    </row>
    <row r="12" spans="1:13" ht="19">
      <c r="A12" s="98" t="s">
        <v>190</v>
      </c>
      <c r="B12" s="40"/>
      <c r="C12" s="40"/>
      <c r="D12" s="40"/>
      <c r="E12" s="1"/>
      <c r="F12" s="1"/>
      <c r="G12" s="1"/>
      <c r="H12" s="1"/>
      <c r="I12" s="1"/>
      <c r="J12" s="1"/>
      <c r="K12" s="1"/>
      <c r="L12" s="1"/>
    </row>
    <row r="13" spans="1:13" ht="15.75" customHeight="1">
      <c r="A13" s="99" t="s">
        <v>623</v>
      </c>
      <c r="B13" s="100"/>
      <c r="C13" s="100"/>
      <c r="D13" s="100"/>
      <c r="E13" s="99" t="s">
        <v>624</v>
      </c>
      <c r="F13" s="100"/>
      <c r="G13" s="100"/>
      <c r="H13" s="100"/>
      <c r="I13" s="99" t="s">
        <v>625</v>
      </c>
      <c r="J13" s="100"/>
      <c r="K13" s="100"/>
      <c r="L13" s="100"/>
    </row>
    <row r="14" spans="1:13" ht="15.75" customHeight="1">
      <c r="A14" s="34" t="s">
        <v>626</v>
      </c>
      <c r="B14" s="41">
        <v>105</v>
      </c>
      <c r="C14" s="41">
        <v>4</v>
      </c>
      <c r="D14" s="41">
        <v>3.15</v>
      </c>
      <c r="E14" s="34" t="s">
        <v>626</v>
      </c>
      <c r="F14" s="41">
        <v>154</v>
      </c>
      <c r="G14" s="41">
        <v>3</v>
      </c>
      <c r="H14" s="41">
        <v>4.47</v>
      </c>
      <c r="I14" s="34" t="s">
        <v>626</v>
      </c>
      <c r="J14" s="41">
        <v>101</v>
      </c>
      <c r="K14" s="41">
        <v>1</v>
      </c>
      <c r="L14" s="41">
        <v>4.24</v>
      </c>
      <c r="M14" s="101">
        <v>0</v>
      </c>
    </row>
    <row r="15" spans="1:13" ht="15.75" customHeight="1">
      <c r="A15" s="34" t="s">
        <v>627</v>
      </c>
      <c r="B15" s="41">
        <v>90</v>
      </c>
      <c r="C15" s="41">
        <v>19</v>
      </c>
      <c r="D15" s="41">
        <v>9.39</v>
      </c>
      <c r="E15" s="34" t="s">
        <v>627</v>
      </c>
      <c r="F15" s="41">
        <v>73</v>
      </c>
      <c r="G15" s="41">
        <v>8</v>
      </c>
      <c r="H15" s="41">
        <v>12.19</v>
      </c>
      <c r="I15" s="34" t="s">
        <v>627</v>
      </c>
      <c r="J15" s="41">
        <v>48</v>
      </c>
      <c r="K15" s="41">
        <v>3</v>
      </c>
      <c r="L15" s="41">
        <v>7.57</v>
      </c>
      <c r="M15" s="101">
        <v>6</v>
      </c>
    </row>
    <row r="16" spans="1:13" ht="15.75" customHeight="1">
      <c r="A16" s="34" t="s">
        <v>628</v>
      </c>
      <c r="B16" s="41">
        <v>92</v>
      </c>
      <c r="C16" s="41">
        <v>14</v>
      </c>
      <c r="D16" s="41">
        <v>9.3000000000000007</v>
      </c>
      <c r="E16" s="34" t="s">
        <v>629</v>
      </c>
      <c r="F16" s="41">
        <v>69</v>
      </c>
      <c r="G16" s="41">
        <v>4</v>
      </c>
      <c r="H16" s="41">
        <v>7.81</v>
      </c>
      <c r="I16" s="34" t="s">
        <v>628</v>
      </c>
      <c r="J16" s="41">
        <v>35</v>
      </c>
      <c r="K16" s="41">
        <v>2</v>
      </c>
      <c r="L16" s="41">
        <v>8.2799999999999994</v>
      </c>
      <c r="M16" s="101">
        <v>8</v>
      </c>
    </row>
    <row r="17" spans="1:13" ht="15.75" customHeight="1">
      <c r="A17" s="1"/>
      <c r="B17" s="1"/>
      <c r="C17" s="1"/>
      <c r="D17" s="1"/>
      <c r="E17" s="34" t="s">
        <v>630</v>
      </c>
      <c r="F17" s="41">
        <v>72</v>
      </c>
      <c r="G17" s="41">
        <v>4</v>
      </c>
      <c r="H17" s="41">
        <v>7.15</v>
      </c>
      <c r="I17" s="34" t="s">
        <v>629</v>
      </c>
      <c r="J17" s="41">
        <v>30</v>
      </c>
      <c r="K17" s="41">
        <v>5</v>
      </c>
      <c r="L17" s="41">
        <v>8.77</v>
      </c>
      <c r="M17" s="101">
        <v>3</v>
      </c>
    </row>
    <row r="18" spans="1:13" ht="15.75" customHeight="1">
      <c r="A18" s="102" t="s">
        <v>631</v>
      </c>
      <c r="B18" s="103">
        <v>287</v>
      </c>
      <c r="C18" s="103">
        <v>37</v>
      </c>
      <c r="D18" s="103">
        <v>5.44</v>
      </c>
      <c r="E18" s="102" t="s">
        <v>631</v>
      </c>
      <c r="F18" s="103">
        <v>368</v>
      </c>
      <c r="G18" s="103">
        <v>19</v>
      </c>
      <c r="H18" s="103">
        <v>6.2</v>
      </c>
      <c r="I18" s="44" t="s">
        <v>631</v>
      </c>
      <c r="J18" s="45">
        <v>214</v>
      </c>
      <c r="K18" s="45">
        <v>11</v>
      </c>
      <c r="L18" s="45">
        <v>5.66</v>
      </c>
      <c r="M18" s="104">
        <v>17</v>
      </c>
    </row>
    <row r="19" spans="1:13" ht="15.75" customHeight="1">
      <c r="A19" s="105" t="s">
        <v>632</v>
      </c>
      <c r="B19" s="106">
        <f t="shared" ref="B19:C19" si="3">B18-B14</f>
        <v>182</v>
      </c>
      <c r="C19" s="106">
        <f t="shared" si="3"/>
        <v>33</v>
      </c>
      <c r="D19" s="106">
        <f>AVERAGE(D15:D16)</f>
        <v>9.3450000000000006</v>
      </c>
      <c r="E19" s="105" t="s">
        <v>632</v>
      </c>
      <c r="F19" s="106">
        <f t="shared" ref="F19:G19" si="4">F18-F14</f>
        <v>214</v>
      </c>
      <c r="G19" s="106">
        <f t="shared" si="4"/>
        <v>16</v>
      </c>
      <c r="H19" s="106">
        <f>AVERAGE(H15:H16)</f>
        <v>10</v>
      </c>
      <c r="I19" s="105" t="s">
        <v>632</v>
      </c>
      <c r="J19" s="106">
        <f t="shared" ref="J19:K19" si="5">J18-J14</f>
        <v>113</v>
      </c>
      <c r="K19" s="106">
        <f t="shared" si="5"/>
        <v>10</v>
      </c>
      <c r="L19" s="106">
        <f>AVERAGE(L15:L16)</f>
        <v>7.9249999999999998</v>
      </c>
      <c r="M19" s="106">
        <f>M18-M14</f>
        <v>17</v>
      </c>
    </row>
    <row r="20" spans="1:13" ht="19">
      <c r="A20" s="98" t="s">
        <v>189</v>
      </c>
      <c r="B20" s="40"/>
      <c r="C20" s="40"/>
      <c r="D20" s="40"/>
      <c r="E20" s="1"/>
      <c r="F20" s="1"/>
      <c r="G20" s="1"/>
      <c r="H20" s="1"/>
      <c r="I20" s="1"/>
      <c r="J20" s="1"/>
      <c r="K20" s="1"/>
      <c r="L20" s="1"/>
    </row>
    <row r="21" spans="1:13" ht="15.75" customHeight="1">
      <c r="A21" s="99" t="s">
        <v>623</v>
      </c>
      <c r="B21" s="100"/>
      <c r="C21" s="100"/>
      <c r="D21" s="100"/>
      <c r="E21" s="99" t="s">
        <v>624</v>
      </c>
      <c r="F21" s="100"/>
      <c r="G21" s="100"/>
      <c r="H21" s="100"/>
      <c r="I21" s="99" t="s">
        <v>625</v>
      </c>
      <c r="J21" s="100"/>
      <c r="K21" s="100"/>
      <c r="L21" s="100"/>
    </row>
    <row r="22" spans="1:13" ht="15.75" customHeight="1">
      <c r="A22" s="34" t="s">
        <v>626</v>
      </c>
      <c r="B22" s="41">
        <v>168</v>
      </c>
      <c r="C22" s="41">
        <v>21</v>
      </c>
      <c r="D22" s="41">
        <v>5.04</v>
      </c>
      <c r="E22" s="34" t="s">
        <v>626</v>
      </c>
      <c r="F22" s="41">
        <v>197</v>
      </c>
      <c r="G22" s="41">
        <v>12</v>
      </c>
      <c r="H22" s="41">
        <v>5.7</v>
      </c>
      <c r="I22" s="34" t="s">
        <v>626</v>
      </c>
      <c r="J22" s="41">
        <v>144</v>
      </c>
      <c r="K22" s="41">
        <v>2</v>
      </c>
      <c r="L22" s="41">
        <v>6.04</v>
      </c>
      <c r="M22" s="101">
        <v>2</v>
      </c>
    </row>
    <row r="23" spans="1:13" ht="15.75" customHeight="1">
      <c r="A23" s="34" t="s">
        <v>627</v>
      </c>
      <c r="B23" s="41">
        <v>133</v>
      </c>
      <c r="C23" s="41">
        <v>42</v>
      </c>
      <c r="D23" s="41">
        <v>12.44</v>
      </c>
      <c r="E23" s="34" t="s">
        <v>627</v>
      </c>
      <c r="F23" s="41">
        <v>103</v>
      </c>
      <c r="G23" s="41">
        <v>27</v>
      </c>
      <c r="H23" s="41">
        <v>14.02</v>
      </c>
      <c r="I23" s="34" t="s">
        <v>627</v>
      </c>
      <c r="J23" s="41">
        <v>31</v>
      </c>
      <c r="K23" s="41">
        <v>4</v>
      </c>
      <c r="L23" s="41">
        <v>11.58</v>
      </c>
      <c r="M23" s="101">
        <v>3</v>
      </c>
    </row>
    <row r="24" spans="1:13" ht="15.75" customHeight="1">
      <c r="A24" s="34" t="s">
        <v>628</v>
      </c>
      <c r="B24" s="41">
        <v>76</v>
      </c>
      <c r="C24" s="41">
        <v>20</v>
      </c>
      <c r="D24" s="41">
        <v>12.35</v>
      </c>
      <c r="E24" s="34" t="s">
        <v>628</v>
      </c>
      <c r="F24" s="41">
        <v>75</v>
      </c>
      <c r="G24" s="41">
        <v>13</v>
      </c>
      <c r="H24" s="41">
        <v>12.74</v>
      </c>
      <c r="I24" s="34" t="s">
        <v>628</v>
      </c>
      <c r="J24" s="41">
        <v>64</v>
      </c>
      <c r="K24" s="41">
        <v>12</v>
      </c>
      <c r="L24" s="41">
        <v>11.03</v>
      </c>
      <c r="M24" s="101">
        <v>7</v>
      </c>
    </row>
    <row r="25" spans="1:13" ht="15.75" customHeight="1">
      <c r="A25" s="34" t="s">
        <v>629</v>
      </c>
      <c r="B25" s="41">
        <v>135</v>
      </c>
      <c r="C25" s="41">
        <v>42</v>
      </c>
      <c r="D25" s="41">
        <v>9.1</v>
      </c>
      <c r="E25" s="34" t="s">
        <v>629</v>
      </c>
      <c r="F25" s="41">
        <v>48</v>
      </c>
      <c r="G25" s="41">
        <v>13</v>
      </c>
      <c r="H25" s="41">
        <v>11.22</v>
      </c>
      <c r="I25" s="34" t="s">
        <v>630</v>
      </c>
      <c r="J25" s="41">
        <v>42</v>
      </c>
      <c r="K25" s="41">
        <v>6</v>
      </c>
      <c r="L25" s="41">
        <v>10.81</v>
      </c>
      <c r="M25" s="101">
        <v>6</v>
      </c>
    </row>
    <row r="26" spans="1:13" ht="15.75" customHeight="1">
      <c r="A26" s="34" t="s">
        <v>630</v>
      </c>
      <c r="B26" s="41">
        <v>166</v>
      </c>
      <c r="C26" s="41">
        <v>46</v>
      </c>
      <c r="D26" s="41">
        <v>9.8800000000000008</v>
      </c>
      <c r="E26" s="34" t="s">
        <v>630</v>
      </c>
      <c r="F26" s="41">
        <v>54</v>
      </c>
      <c r="G26" s="41">
        <v>11</v>
      </c>
      <c r="H26" s="41">
        <v>10.4</v>
      </c>
      <c r="I26" s="44"/>
      <c r="J26" s="45"/>
      <c r="K26" s="45"/>
      <c r="L26" s="45"/>
      <c r="M26" s="104"/>
    </row>
    <row r="27" spans="1:13" ht="15.75" customHeight="1">
      <c r="A27" s="102" t="s">
        <v>631</v>
      </c>
      <c r="B27" s="103">
        <v>677</v>
      </c>
      <c r="C27" s="103">
        <v>171</v>
      </c>
      <c r="D27" s="103">
        <v>8.2899999999999991</v>
      </c>
      <c r="E27" s="102" t="s">
        <v>631</v>
      </c>
      <c r="F27" s="103">
        <v>476</v>
      </c>
      <c r="G27" s="103">
        <v>76</v>
      </c>
      <c r="H27" s="103">
        <v>8.33</v>
      </c>
      <c r="I27" s="44" t="s">
        <v>631</v>
      </c>
      <c r="J27" s="107">
        <v>282</v>
      </c>
      <c r="K27" s="45">
        <v>24</v>
      </c>
      <c r="L27" s="45">
        <v>7.77</v>
      </c>
      <c r="M27" s="104">
        <v>18</v>
      </c>
    </row>
    <row r="28" spans="1:13" ht="15.75" customHeight="1">
      <c r="A28" s="105" t="s">
        <v>632</v>
      </c>
      <c r="B28" s="106">
        <f t="shared" ref="B28:C28" si="6">B27-B22</f>
        <v>509</v>
      </c>
      <c r="C28" s="106">
        <f t="shared" si="6"/>
        <v>150</v>
      </c>
      <c r="D28" s="106">
        <f>AVERAGE(D23:D26)</f>
        <v>10.942500000000001</v>
      </c>
      <c r="E28" s="105" t="s">
        <v>632</v>
      </c>
      <c r="F28" s="106">
        <f t="shared" ref="F28:G28" si="7">F27-F22</f>
        <v>279</v>
      </c>
      <c r="G28" s="106">
        <f t="shared" si="7"/>
        <v>64</v>
      </c>
      <c r="H28" s="106">
        <f>AVERAGE(H23:H26)</f>
        <v>12.094999999999999</v>
      </c>
      <c r="I28" s="105" t="s">
        <v>632</v>
      </c>
      <c r="J28" s="106">
        <f t="shared" ref="J28:K28" si="8">J27-J22</f>
        <v>138</v>
      </c>
      <c r="K28" s="106">
        <f t="shared" si="8"/>
        <v>22</v>
      </c>
      <c r="L28" s="106">
        <f>AVERAGE(L23:L26)</f>
        <v>11.14</v>
      </c>
      <c r="M28" s="106">
        <f>M27-M22</f>
        <v>16</v>
      </c>
    </row>
    <row r="29" spans="1:13" ht="19">
      <c r="A29" s="98" t="s">
        <v>159</v>
      </c>
      <c r="B29" s="40"/>
      <c r="C29" s="40"/>
      <c r="D29" s="40"/>
      <c r="E29" s="1"/>
      <c r="F29" s="1"/>
      <c r="G29" s="1"/>
      <c r="H29" s="1"/>
      <c r="I29" s="1"/>
      <c r="J29" s="1"/>
      <c r="K29" s="1"/>
      <c r="L29" s="1"/>
    </row>
    <row r="30" spans="1:13" ht="15.75" customHeight="1">
      <c r="A30" s="99" t="s">
        <v>623</v>
      </c>
      <c r="B30" s="100"/>
      <c r="C30" s="100"/>
      <c r="D30" s="100"/>
      <c r="E30" s="99" t="s">
        <v>624</v>
      </c>
      <c r="F30" s="100"/>
      <c r="G30" s="100"/>
      <c r="H30" s="100"/>
      <c r="I30" s="99" t="s">
        <v>625</v>
      </c>
      <c r="J30" s="100"/>
      <c r="K30" s="100"/>
      <c r="L30" s="100"/>
    </row>
    <row r="31" spans="1:13" ht="15.75" customHeight="1">
      <c r="A31" s="34" t="s">
        <v>626</v>
      </c>
      <c r="B31" s="41">
        <v>136</v>
      </c>
      <c r="C31" s="41">
        <v>6</v>
      </c>
      <c r="D31" s="41">
        <v>4.09</v>
      </c>
      <c r="E31" s="34" t="s">
        <v>626</v>
      </c>
      <c r="F31" s="41">
        <v>165</v>
      </c>
      <c r="G31" s="41">
        <v>4</v>
      </c>
      <c r="H31" s="41">
        <v>4.78</v>
      </c>
      <c r="I31" s="34" t="s">
        <v>626</v>
      </c>
      <c r="J31" s="41">
        <v>120</v>
      </c>
      <c r="K31" s="41">
        <v>4</v>
      </c>
      <c r="L31" s="41">
        <v>5.04</v>
      </c>
      <c r="M31" s="101">
        <v>1</v>
      </c>
    </row>
    <row r="32" spans="1:13" ht="15.75" customHeight="1">
      <c r="A32" s="34" t="s">
        <v>627</v>
      </c>
      <c r="B32" s="41">
        <v>138</v>
      </c>
      <c r="C32" s="41">
        <v>44</v>
      </c>
      <c r="D32" s="41">
        <v>10.79</v>
      </c>
      <c r="E32" s="34" t="s">
        <v>627</v>
      </c>
      <c r="F32" s="41">
        <v>130</v>
      </c>
      <c r="G32" s="41">
        <v>19</v>
      </c>
      <c r="H32" s="41">
        <v>11.46</v>
      </c>
      <c r="I32" s="34" t="s">
        <v>627</v>
      </c>
      <c r="J32" s="41">
        <v>150</v>
      </c>
      <c r="K32" s="41">
        <v>27</v>
      </c>
      <c r="L32" s="41">
        <v>9.2200000000000006</v>
      </c>
      <c r="M32" s="101">
        <v>11</v>
      </c>
    </row>
    <row r="33" spans="1:13" ht="15.75" customHeight="1">
      <c r="A33" s="34" t="s">
        <v>628</v>
      </c>
      <c r="B33" s="41">
        <v>163</v>
      </c>
      <c r="C33" s="41">
        <v>47</v>
      </c>
      <c r="D33" s="41">
        <v>9.8000000000000007</v>
      </c>
      <c r="E33" s="34" t="s">
        <v>628</v>
      </c>
      <c r="F33" s="41">
        <v>107</v>
      </c>
      <c r="G33" s="41">
        <v>15</v>
      </c>
      <c r="H33" s="41">
        <v>10.08</v>
      </c>
      <c r="I33" s="34" t="s">
        <v>628</v>
      </c>
      <c r="J33" s="41">
        <v>105</v>
      </c>
      <c r="K33" s="41">
        <v>19</v>
      </c>
      <c r="L33" s="41">
        <v>10.63</v>
      </c>
      <c r="M33" s="101">
        <v>8</v>
      </c>
    </row>
    <row r="34" spans="1:13" ht="15.75" customHeight="1">
      <c r="A34" s="34" t="s">
        <v>629</v>
      </c>
      <c r="B34" s="41">
        <v>164</v>
      </c>
      <c r="C34" s="41">
        <v>44</v>
      </c>
      <c r="D34" s="41">
        <v>8.2200000000000006</v>
      </c>
      <c r="E34" s="34" t="s">
        <v>629</v>
      </c>
      <c r="F34" s="41">
        <v>140</v>
      </c>
      <c r="G34" s="41">
        <v>20</v>
      </c>
      <c r="H34" s="41">
        <v>9.6</v>
      </c>
      <c r="I34" s="34" t="s">
        <v>629</v>
      </c>
      <c r="J34" s="41">
        <v>162</v>
      </c>
      <c r="K34" s="41">
        <v>28</v>
      </c>
      <c r="L34" s="41">
        <v>9.77</v>
      </c>
      <c r="M34" s="101">
        <v>19</v>
      </c>
    </row>
    <row r="35" spans="1:13" ht="15.75" customHeight="1">
      <c r="A35" s="34" t="s">
        <v>630</v>
      </c>
      <c r="B35" s="41">
        <v>136</v>
      </c>
      <c r="C35" s="41">
        <v>40</v>
      </c>
      <c r="D35" s="41">
        <v>8.68</v>
      </c>
      <c r="E35" s="1"/>
      <c r="F35" s="1"/>
      <c r="G35" s="1"/>
      <c r="H35" s="1"/>
      <c r="I35" s="34" t="s">
        <v>630</v>
      </c>
      <c r="J35" s="41">
        <v>98</v>
      </c>
      <c r="K35" s="41">
        <v>10</v>
      </c>
      <c r="L35" s="41">
        <v>8.31</v>
      </c>
      <c r="M35" s="101">
        <v>5</v>
      </c>
    </row>
    <row r="36" spans="1:13" ht="15.75" customHeight="1">
      <c r="A36" s="102" t="s">
        <v>631</v>
      </c>
      <c r="B36" s="103">
        <v>738</v>
      </c>
      <c r="C36" s="103">
        <v>181</v>
      </c>
      <c r="D36" s="103">
        <v>7.5</v>
      </c>
      <c r="E36" s="102" t="s">
        <v>631</v>
      </c>
      <c r="F36" s="103">
        <v>543</v>
      </c>
      <c r="G36" s="103">
        <v>58</v>
      </c>
      <c r="H36" s="103">
        <v>7.63</v>
      </c>
      <c r="I36" s="44" t="s">
        <v>631</v>
      </c>
      <c r="J36" s="45">
        <v>635</v>
      </c>
      <c r="K36" s="45">
        <v>88</v>
      </c>
      <c r="L36" s="45">
        <v>8.11</v>
      </c>
      <c r="M36" s="104">
        <v>44</v>
      </c>
    </row>
    <row r="37" spans="1:13" ht="15.75" customHeight="1">
      <c r="A37" s="105" t="s">
        <v>632</v>
      </c>
      <c r="B37" s="106">
        <f t="shared" ref="B37:C37" si="9">B36-B31</f>
        <v>602</v>
      </c>
      <c r="C37" s="106">
        <f t="shared" si="9"/>
        <v>175</v>
      </c>
      <c r="D37" s="106">
        <f>AVERAGE(D32:D35)</f>
        <v>9.3725000000000005</v>
      </c>
      <c r="E37" s="105" t="s">
        <v>632</v>
      </c>
      <c r="F37" s="106">
        <f t="shared" ref="F37:G37" si="10">F36-F31</f>
        <v>378</v>
      </c>
      <c r="G37" s="106">
        <f t="shared" si="10"/>
        <v>54</v>
      </c>
      <c r="H37" s="106">
        <f>AVERAGE(H32:H35)</f>
        <v>10.38</v>
      </c>
      <c r="I37" s="105" t="s">
        <v>632</v>
      </c>
      <c r="J37" s="106">
        <f t="shared" ref="J37:K37" si="11">J36-J31</f>
        <v>515</v>
      </c>
      <c r="K37" s="106">
        <f t="shared" si="11"/>
        <v>84</v>
      </c>
      <c r="L37" s="106">
        <f>AVERAGE(L32:L35)</f>
        <v>9.4824999999999999</v>
      </c>
      <c r="M37" s="106">
        <f>M36-M31</f>
        <v>43</v>
      </c>
    </row>
    <row r="38" spans="1:13" ht="19">
      <c r="A38" s="98" t="s">
        <v>589</v>
      </c>
      <c r="B38" s="40"/>
      <c r="C38" s="40"/>
      <c r="D38" s="40"/>
      <c r="E38" s="1"/>
      <c r="F38" s="1"/>
      <c r="G38" s="1"/>
      <c r="H38" s="1"/>
      <c r="I38" s="1"/>
      <c r="J38" s="1"/>
      <c r="K38" s="1"/>
      <c r="L38" s="1"/>
    </row>
    <row r="39" spans="1:13" ht="15.75" customHeight="1">
      <c r="A39" s="99" t="s">
        <v>623</v>
      </c>
      <c r="B39" s="100"/>
      <c r="C39" s="100"/>
      <c r="D39" s="100"/>
      <c r="E39" s="99" t="s">
        <v>624</v>
      </c>
      <c r="F39" s="100"/>
      <c r="G39" s="100"/>
      <c r="H39" s="100"/>
      <c r="I39" s="233" t="s">
        <v>527</v>
      </c>
      <c r="J39" s="227"/>
      <c r="K39" s="227"/>
      <c r="L39" s="227"/>
    </row>
    <row r="40" spans="1:13" ht="15.75" customHeight="1">
      <c r="A40" s="34" t="s">
        <v>626</v>
      </c>
      <c r="B40" s="41">
        <v>122</v>
      </c>
      <c r="C40" s="41">
        <v>1</v>
      </c>
      <c r="D40" s="41">
        <v>3.66</v>
      </c>
      <c r="E40" s="34" t="s">
        <v>626</v>
      </c>
      <c r="F40" s="41">
        <v>174</v>
      </c>
      <c r="G40" s="41">
        <v>0</v>
      </c>
      <c r="H40" s="41">
        <v>5.03</v>
      </c>
      <c r="I40" s="227"/>
      <c r="J40" s="227"/>
      <c r="K40" s="227"/>
      <c r="L40" s="227"/>
    </row>
    <row r="41" spans="1:13" ht="15.75" customHeight="1">
      <c r="A41" s="34" t="s">
        <v>627</v>
      </c>
      <c r="B41" s="41">
        <v>62</v>
      </c>
      <c r="C41" s="41">
        <v>14</v>
      </c>
      <c r="D41" s="41">
        <v>10.039999999999999</v>
      </c>
      <c r="E41" s="34" t="s">
        <v>627</v>
      </c>
      <c r="F41" s="41">
        <v>16</v>
      </c>
      <c r="G41" s="41">
        <v>4</v>
      </c>
      <c r="H41" s="41">
        <v>12.54</v>
      </c>
      <c r="I41" s="227"/>
      <c r="J41" s="227"/>
      <c r="K41" s="227"/>
      <c r="L41" s="227"/>
    </row>
    <row r="42" spans="1:13" ht="15.75" customHeight="1">
      <c r="A42" s="34" t="s">
        <v>629</v>
      </c>
      <c r="B42" s="41">
        <v>42</v>
      </c>
      <c r="C42" s="41">
        <v>4</v>
      </c>
      <c r="D42" s="41">
        <v>7.71</v>
      </c>
      <c r="E42" s="34" t="s">
        <v>628</v>
      </c>
      <c r="F42" s="41">
        <v>43</v>
      </c>
      <c r="G42" s="41">
        <v>6</v>
      </c>
      <c r="H42" s="41">
        <v>10.5</v>
      </c>
      <c r="I42" s="227"/>
      <c r="J42" s="227"/>
      <c r="K42" s="227"/>
      <c r="L42" s="227"/>
    </row>
    <row r="43" spans="1:13" ht="15.75" customHeight="1">
      <c r="A43" s="34" t="s">
        <v>630</v>
      </c>
      <c r="B43" s="41">
        <v>45</v>
      </c>
      <c r="C43" s="41">
        <v>6</v>
      </c>
      <c r="D43" s="41">
        <v>9.66</v>
      </c>
      <c r="E43" s="34" t="s">
        <v>629</v>
      </c>
      <c r="F43" s="41">
        <v>18</v>
      </c>
      <c r="G43" s="41">
        <v>3</v>
      </c>
      <c r="H43" s="41">
        <v>7.95</v>
      </c>
      <c r="I43" s="227"/>
      <c r="J43" s="227"/>
      <c r="K43" s="227"/>
      <c r="L43" s="227"/>
    </row>
    <row r="44" spans="1:13" ht="15.75" customHeight="1">
      <c r="A44" s="1"/>
      <c r="B44" s="1"/>
      <c r="C44" s="1"/>
      <c r="D44" s="1"/>
      <c r="E44" s="34" t="s">
        <v>630</v>
      </c>
      <c r="F44" s="41">
        <v>100</v>
      </c>
      <c r="G44" s="41">
        <v>11</v>
      </c>
      <c r="H44" s="41">
        <v>8.8000000000000007</v>
      </c>
      <c r="I44" s="227"/>
      <c r="J44" s="227"/>
      <c r="K44" s="227"/>
      <c r="L44" s="227"/>
    </row>
    <row r="45" spans="1:13" ht="15.75" customHeight="1">
      <c r="A45" s="102" t="s">
        <v>631</v>
      </c>
      <c r="B45" s="103">
        <v>271</v>
      </c>
      <c r="C45" s="103">
        <v>25</v>
      </c>
      <c r="D45" s="103">
        <v>5.47</v>
      </c>
      <c r="E45" s="102" t="s">
        <v>631</v>
      </c>
      <c r="F45" s="103">
        <v>350</v>
      </c>
      <c r="G45" s="103">
        <v>24</v>
      </c>
      <c r="H45" s="103">
        <v>6.55</v>
      </c>
      <c r="I45" s="227"/>
      <c r="J45" s="227"/>
      <c r="K45" s="227"/>
      <c r="L45" s="227"/>
    </row>
    <row r="46" spans="1:13" ht="15.75" customHeight="1">
      <c r="A46" s="105" t="s">
        <v>632</v>
      </c>
      <c r="B46" s="106">
        <f t="shared" ref="B46:C46" si="12">B45-B40</f>
        <v>149</v>
      </c>
      <c r="C46" s="106">
        <f t="shared" si="12"/>
        <v>24</v>
      </c>
      <c r="D46" s="106">
        <f>AVERAGE(D41:D44)</f>
        <v>9.1366666666666667</v>
      </c>
      <c r="E46" s="105" t="s">
        <v>632</v>
      </c>
      <c r="F46" s="106">
        <f t="shared" ref="F46:G46" si="13">F45-F40</f>
        <v>176</v>
      </c>
      <c r="G46" s="106">
        <f t="shared" si="13"/>
        <v>24</v>
      </c>
      <c r="H46" s="106">
        <f>AVERAGE(H41:H44)</f>
        <v>9.9474999999999998</v>
      </c>
      <c r="I46" s="227"/>
      <c r="J46" s="227"/>
      <c r="K46" s="227"/>
      <c r="L46" s="227"/>
    </row>
    <row r="47" spans="1:13" ht="19">
      <c r="A47" s="98" t="s">
        <v>590</v>
      </c>
      <c r="B47" s="40"/>
      <c r="C47" s="40"/>
      <c r="D47" s="40"/>
      <c r="E47" s="1"/>
      <c r="F47" s="1"/>
      <c r="G47" s="1"/>
      <c r="H47" s="1"/>
      <c r="I47" s="1"/>
      <c r="J47" s="1"/>
      <c r="K47" s="1"/>
      <c r="L47" s="1"/>
    </row>
    <row r="48" spans="1:13" ht="15.75" customHeight="1">
      <c r="A48" s="99" t="s">
        <v>623</v>
      </c>
      <c r="B48" s="100"/>
      <c r="C48" s="100"/>
      <c r="D48" s="100"/>
      <c r="E48" s="99" t="s">
        <v>624</v>
      </c>
      <c r="F48" s="100"/>
      <c r="G48" s="100"/>
      <c r="H48" s="100"/>
      <c r="I48" s="99" t="s">
        <v>625</v>
      </c>
      <c r="J48" s="100"/>
      <c r="K48" s="100"/>
      <c r="L48" s="100"/>
    </row>
    <row r="49" spans="1:13" ht="15.75" customHeight="1">
      <c r="A49" s="34" t="s">
        <v>626</v>
      </c>
      <c r="B49" s="41">
        <v>96</v>
      </c>
      <c r="C49" s="41">
        <v>0</v>
      </c>
      <c r="D49" s="41">
        <v>2.88</v>
      </c>
      <c r="E49" s="34" t="s">
        <v>626</v>
      </c>
      <c r="F49" s="41">
        <v>167</v>
      </c>
      <c r="G49" s="41">
        <v>3</v>
      </c>
      <c r="H49" s="41">
        <v>4.83</v>
      </c>
      <c r="I49" s="34" t="s">
        <v>626</v>
      </c>
      <c r="J49" s="41">
        <v>114</v>
      </c>
      <c r="K49" s="41">
        <v>0</v>
      </c>
      <c r="L49" s="41">
        <v>4.79</v>
      </c>
      <c r="M49" s="101">
        <v>11</v>
      </c>
    </row>
    <row r="50" spans="1:13" ht="15.75" customHeight="1">
      <c r="A50" s="34" t="s">
        <v>627</v>
      </c>
      <c r="B50" s="41">
        <v>72</v>
      </c>
      <c r="C50" s="41">
        <v>8</v>
      </c>
      <c r="D50" s="41">
        <v>9.19</v>
      </c>
      <c r="E50" s="34" t="s">
        <v>627</v>
      </c>
      <c r="F50" s="41">
        <v>59</v>
      </c>
      <c r="G50" s="41">
        <v>8</v>
      </c>
      <c r="H50" s="41">
        <v>10.97</v>
      </c>
      <c r="I50" s="34" t="s">
        <v>627</v>
      </c>
      <c r="J50" s="41">
        <v>91</v>
      </c>
      <c r="K50" s="41">
        <v>11</v>
      </c>
      <c r="L50" s="41">
        <v>11.11</v>
      </c>
      <c r="M50" s="101">
        <v>6</v>
      </c>
    </row>
    <row r="51" spans="1:13" ht="15.75" customHeight="1">
      <c r="A51" s="34" t="s">
        <v>628</v>
      </c>
      <c r="B51" s="41">
        <v>64</v>
      </c>
      <c r="C51" s="41">
        <v>6</v>
      </c>
      <c r="D51" s="41">
        <v>9.5299999999999994</v>
      </c>
      <c r="E51" s="34" t="s">
        <v>628</v>
      </c>
      <c r="F51" s="41">
        <v>97</v>
      </c>
      <c r="G51" s="41">
        <v>17</v>
      </c>
      <c r="H51" s="41">
        <v>9.1300000000000008</v>
      </c>
      <c r="I51" s="34" t="s">
        <v>628</v>
      </c>
      <c r="J51" s="41">
        <v>87</v>
      </c>
      <c r="K51" s="41">
        <v>12</v>
      </c>
      <c r="L51" s="41">
        <v>9.33</v>
      </c>
      <c r="M51" s="101">
        <v>12</v>
      </c>
    </row>
    <row r="52" spans="1:13" ht="15.75" customHeight="1">
      <c r="A52" s="34" t="s">
        <v>629</v>
      </c>
      <c r="B52" s="41">
        <v>108</v>
      </c>
      <c r="C52" s="41">
        <v>10</v>
      </c>
      <c r="D52" s="41">
        <v>7.4</v>
      </c>
      <c r="E52" s="34" t="s">
        <v>629</v>
      </c>
      <c r="F52" s="41">
        <v>65</v>
      </c>
      <c r="G52" s="41">
        <v>12</v>
      </c>
      <c r="H52" s="41">
        <v>8.14</v>
      </c>
      <c r="I52" s="34" t="s">
        <v>629</v>
      </c>
      <c r="J52" s="41">
        <v>142</v>
      </c>
      <c r="K52" s="41">
        <v>22</v>
      </c>
      <c r="L52" s="41">
        <v>8.9700000000000006</v>
      </c>
      <c r="M52" s="101">
        <v>13</v>
      </c>
    </row>
    <row r="53" spans="1:13" ht="15.75" customHeight="1">
      <c r="A53" s="34" t="s">
        <v>630</v>
      </c>
      <c r="B53" s="41">
        <v>109</v>
      </c>
      <c r="C53" s="41">
        <v>8</v>
      </c>
      <c r="D53" s="41">
        <v>6.73</v>
      </c>
      <c r="E53" s="34" t="s">
        <v>630</v>
      </c>
      <c r="F53" s="41">
        <v>23</v>
      </c>
      <c r="G53" s="41">
        <v>2</v>
      </c>
      <c r="H53" s="41">
        <v>9.81</v>
      </c>
      <c r="I53" s="34" t="s">
        <v>630</v>
      </c>
      <c r="J53" s="41">
        <v>125</v>
      </c>
      <c r="K53" s="41">
        <v>12</v>
      </c>
      <c r="L53" s="41">
        <v>7.38</v>
      </c>
      <c r="M53" s="101">
        <v>8</v>
      </c>
    </row>
    <row r="54" spans="1:13" ht="13">
      <c r="A54" s="102" t="s">
        <v>631</v>
      </c>
      <c r="B54" s="103">
        <v>449</v>
      </c>
      <c r="C54" s="103">
        <v>32</v>
      </c>
      <c r="D54" s="103">
        <v>5.71</v>
      </c>
      <c r="E54" s="102" t="s">
        <v>631</v>
      </c>
      <c r="F54" s="103">
        <v>411</v>
      </c>
      <c r="G54" s="103">
        <v>42</v>
      </c>
      <c r="H54" s="103">
        <v>6.75</v>
      </c>
      <c r="I54" s="44" t="s">
        <v>631</v>
      </c>
      <c r="J54" s="45">
        <v>559</v>
      </c>
      <c r="K54" s="45">
        <v>57</v>
      </c>
      <c r="L54" s="45">
        <v>7.54</v>
      </c>
      <c r="M54" s="104">
        <v>50</v>
      </c>
    </row>
    <row r="55" spans="1:13" ht="13">
      <c r="A55" s="105" t="s">
        <v>632</v>
      </c>
      <c r="B55" s="106">
        <f t="shared" ref="B55:C55" si="14">B54-B49</f>
        <v>353</v>
      </c>
      <c r="C55" s="106">
        <f t="shared" si="14"/>
        <v>32</v>
      </c>
      <c r="D55" s="106">
        <f>AVERAGE(D50:D53)</f>
        <v>8.2124999999999986</v>
      </c>
      <c r="E55" s="105" t="s">
        <v>632</v>
      </c>
      <c r="F55" s="106">
        <f t="shared" ref="F55:G55" si="15">F54-F49</f>
        <v>244</v>
      </c>
      <c r="G55" s="106">
        <f t="shared" si="15"/>
        <v>39</v>
      </c>
      <c r="H55" s="106">
        <f>AVERAGE(H50:H53)</f>
        <v>9.5125000000000011</v>
      </c>
      <c r="I55" s="105" t="s">
        <v>632</v>
      </c>
      <c r="J55" s="106">
        <f t="shared" ref="J55:K55" si="16">J54-J49</f>
        <v>445</v>
      </c>
      <c r="K55" s="106">
        <f t="shared" si="16"/>
        <v>57</v>
      </c>
      <c r="L55" s="106">
        <f>AVERAGE(L50:L53)</f>
        <v>9.1974999999999998</v>
      </c>
      <c r="M55" s="106">
        <f>M54-M49</f>
        <v>39</v>
      </c>
    </row>
    <row r="56" spans="1:13" ht="19">
      <c r="A56" s="98" t="s">
        <v>633</v>
      </c>
      <c r="B56" s="40"/>
      <c r="C56" s="40"/>
      <c r="D56" s="40"/>
      <c r="E56" s="1"/>
      <c r="F56" s="1"/>
      <c r="G56" s="1"/>
      <c r="H56" s="1"/>
      <c r="I56" s="1"/>
      <c r="J56" s="1"/>
      <c r="K56" s="1"/>
      <c r="L56" s="1"/>
    </row>
    <row r="57" spans="1:13" ht="13">
      <c r="A57" s="99" t="s">
        <v>623</v>
      </c>
      <c r="B57" s="100"/>
      <c r="C57" s="100"/>
      <c r="D57" s="100"/>
      <c r="E57" s="99" t="s">
        <v>624</v>
      </c>
      <c r="F57" s="100"/>
      <c r="G57" s="100"/>
      <c r="H57" s="100"/>
      <c r="I57" s="99" t="s">
        <v>625</v>
      </c>
      <c r="J57" s="100"/>
      <c r="K57" s="100"/>
      <c r="L57" s="100"/>
    </row>
    <row r="58" spans="1:13" ht="13">
      <c r="A58" s="34" t="s">
        <v>626</v>
      </c>
      <c r="B58" s="41">
        <v>136</v>
      </c>
      <c r="C58" s="41">
        <v>1</v>
      </c>
      <c r="D58" s="41">
        <v>4.08</v>
      </c>
      <c r="E58" s="34" t="s">
        <v>626</v>
      </c>
      <c r="F58" s="41">
        <v>184</v>
      </c>
      <c r="G58" s="41">
        <v>2</v>
      </c>
      <c r="H58" s="41">
        <v>5.32</v>
      </c>
      <c r="I58" s="34" t="s">
        <v>626</v>
      </c>
      <c r="J58" s="41">
        <v>136</v>
      </c>
      <c r="K58" s="41">
        <v>0</v>
      </c>
      <c r="L58" s="41">
        <v>5.69</v>
      </c>
      <c r="M58" s="101">
        <v>7</v>
      </c>
    </row>
    <row r="59" spans="1:13" ht="13">
      <c r="A59" s="34" t="s">
        <v>627</v>
      </c>
      <c r="B59" s="41">
        <v>105</v>
      </c>
      <c r="C59" s="41">
        <v>10</v>
      </c>
      <c r="D59" s="41">
        <v>9.31</v>
      </c>
      <c r="E59" s="34" t="s">
        <v>627</v>
      </c>
      <c r="F59" s="41">
        <v>57</v>
      </c>
      <c r="G59" s="41">
        <v>7</v>
      </c>
      <c r="H59" s="41">
        <v>10.53</v>
      </c>
      <c r="I59" s="34" t="s">
        <v>627</v>
      </c>
      <c r="J59" s="41">
        <v>116</v>
      </c>
      <c r="K59" s="41">
        <v>9</v>
      </c>
      <c r="L59" s="41">
        <v>9.64</v>
      </c>
      <c r="M59" s="101">
        <v>12</v>
      </c>
    </row>
    <row r="60" spans="1:13" ht="13">
      <c r="A60" s="34" t="s">
        <v>628</v>
      </c>
      <c r="B60" s="41">
        <v>153</v>
      </c>
      <c r="C60" s="41">
        <v>10</v>
      </c>
      <c r="D60" s="41">
        <v>9.18</v>
      </c>
      <c r="E60" s="34" t="s">
        <v>628</v>
      </c>
      <c r="F60" s="41">
        <v>88</v>
      </c>
      <c r="G60" s="41">
        <v>8</v>
      </c>
      <c r="H60" s="41">
        <v>9.92</v>
      </c>
      <c r="I60" s="34" t="s">
        <v>628</v>
      </c>
      <c r="J60" s="41">
        <v>118</v>
      </c>
      <c r="K60" s="41">
        <v>10</v>
      </c>
      <c r="L60" s="41">
        <v>10.07</v>
      </c>
      <c r="M60" s="101">
        <v>16</v>
      </c>
    </row>
    <row r="61" spans="1:13" ht="13">
      <c r="A61" s="34" t="s">
        <v>629</v>
      </c>
      <c r="B61" s="41">
        <v>150</v>
      </c>
      <c r="C61" s="41">
        <v>7</v>
      </c>
      <c r="D61" s="41">
        <v>7.71</v>
      </c>
      <c r="E61" s="34" t="s">
        <v>629</v>
      </c>
      <c r="F61" s="41">
        <v>112</v>
      </c>
      <c r="G61" s="41">
        <v>7</v>
      </c>
      <c r="H61" s="41">
        <v>9.3000000000000007</v>
      </c>
      <c r="I61" s="34" t="s">
        <v>629</v>
      </c>
      <c r="J61" s="41">
        <v>154</v>
      </c>
      <c r="K61" s="41">
        <v>14</v>
      </c>
      <c r="L61" s="41">
        <v>9.24</v>
      </c>
      <c r="M61" s="101">
        <v>17</v>
      </c>
    </row>
    <row r="62" spans="1:13" ht="13">
      <c r="A62" s="34" t="s">
        <v>630</v>
      </c>
      <c r="B62" s="41">
        <v>121</v>
      </c>
      <c r="C62" s="41">
        <v>9</v>
      </c>
      <c r="D62" s="41">
        <v>8.3000000000000007</v>
      </c>
      <c r="E62" s="1"/>
      <c r="F62" s="1"/>
      <c r="G62" s="1"/>
      <c r="H62" s="1"/>
      <c r="I62" s="34" t="s">
        <v>630</v>
      </c>
      <c r="J62" s="41">
        <v>140</v>
      </c>
      <c r="K62" s="41">
        <v>5</v>
      </c>
      <c r="L62" s="41">
        <v>8.1999999999999993</v>
      </c>
      <c r="M62" s="101">
        <v>15</v>
      </c>
    </row>
    <row r="63" spans="1:13" ht="13">
      <c r="A63" s="102" t="s">
        <v>631</v>
      </c>
      <c r="B63" s="103">
        <v>664</v>
      </c>
      <c r="C63" s="103">
        <v>37</v>
      </c>
      <c r="D63" s="103">
        <v>6.98</v>
      </c>
      <c r="E63" s="102" t="s">
        <v>631</v>
      </c>
      <c r="F63" s="103">
        <v>440</v>
      </c>
      <c r="G63" s="103">
        <v>24</v>
      </c>
      <c r="H63" s="103">
        <v>7.24</v>
      </c>
      <c r="I63" s="44" t="s">
        <v>631</v>
      </c>
      <c r="J63" s="45">
        <v>664</v>
      </c>
      <c r="K63" s="45">
        <v>38</v>
      </c>
      <c r="L63" s="45">
        <v>8.16</v>
      </c>
      <c r="M63" s="104">
        <v>67</v>
      </c>
    </row>
    <row r="64" spans="1:13" ht="13">
      <c r="A64" s="105" t="s">
        <v>632</v>
      </c>
      <c r="B64" s="106">
        <f t="shared" ref="B64:C64" si="17">B63-B58</f>
        <v>528</v>
      </c>
      <c r="C64" s="106">
        <f t="shared" si="17"/>
        <v>36</v>
      </c>
      <c r="D64" s="106">
        <f>AVERAGE(D59:D62)</f>
        <v>8.625</v>
      </c>
      <c r="E64" s="105" t="s">
        <v>632</v>
      </c>
      <c r="F64" s="106">
        <f t="shared" ref="F64:G64" si="18">F63-F58</f>
        <v>256</v>
      </c>
      <c r="G64" s="106">
        <f t="shared" si="18"/>
        <v>22</v>
      </c>
      <c r="H64" s="106">
        <f>AVERAGE(H59:H62)</f>
        <v>9.9166666666666661</v>
      </c>
      <c r="I64" s="105" t="s">
        <v>632</v>
      </c>
      <c r="J64" s="106">
        <f t="shared" ref="J64:K64" si="19">J63-J58</f>
        <v>528</v>
      </c>
      <c r="K64" s="106">
        <f t="shared" si="19"/>
        <v>38</v>
      </c>
      <c r="L64" s="106">
        <f>AVERAGE(L59:L62)</f>
        <v>9.2875000000000014</v>
      </c>
      <c r="M64" s="106">
        <f>M63-M58</f>
        <v>60</v>
      </c>
    </row>
    <row r="65" spans="1:13" ht="13">
      <c r="A65" s="39" t="s">
        <v>634</v>
      </c>
      <c r="B65" s="40"/>
      <c r="C65" s="40"/>
      <c r="D65" s="40"/>
      <c r="E65" s="1"/>
      <c r="F65" s="1"/>
      <c r="G65" s="1"/>
      <c r="H65" s="1"/>
      <c r="I65" s="1"/>
      <c r="J65" s="1"/>
      <c r="K65" s="1"/>
      <c r="L65" s="1"/>
    </row>
    <row r="66" spans="1:13" ht="13">
      <c r="A66" s="99" t="s">
        <v>623</v>
      </c>
      <c r="B66" s="100"/>
      <c r="C66" s="100"/>
      <c r="D66" s="100"/>
      <c r="E66" s="99" t="s">
        <v>624</v>
      </c>
      <c r="F66" s="100"/>
      <c r="G66" s="100"/>
      <c r="H66" s="100"/>
      <c r="I66" s="233" t="s">
        <v>635</v>
      </c>
      <c r="J66" s="227"/>
      <c r="K66" s="227"/>
      <c r="L66" s="227"/>
    </row>
    <row r="67" spans="1:13" ht="13">
      <c r="A67" s="34" t="s">
        <v>626</v>
      </c>
      <c r="B67" s="41">
        <v>148</v>
      </c>
      <c r="C67" s="41">
        <v>4</v>
      </c>
      <c r="D67" s="41">
        <v>4.45</v>
      </c>
      <c r="E67" s="34" t="s">
        <v>626</v>
      </c>
      <c r="F67" s="41">
        <v>191</v>
      </c>
      <c r="G67" s="41">
        <v>5</v>
      </c>
      <c r="H67" s="41">
        <v>5.53</v>
      </c>
      <c r="I67" s="227"/>
      <c r="J67" s="227"/>
      <c r="K67" s="227"/>
      <c r="L67" s="227"/>
    </row>
    <row r="68" spans="1:13" ht="13">
      <c r="A68" s="34" t="s">
        <v>628</v>
      </c>
      <c r="B68" s="41">
        <v>92</v>
      </c>
      <c r="C68" s="41">
        <v>29</v>
      </c>
      <c r="D68" s="41">
        <v>12.35</v>
      </c>
      <c r="E68" s="34" t="s">
        <v>628</v>
      </c>
      <c r="F68" s="41">
        <v>116</v>
      </c>
      <c r="G68" s="41">
        <v>40</v>
      </c>
      <c r="H68" s="41">
        <v>13.41</v>
      </c>
      <c r="I68" s="227"/>
      <c r="J68" s="227"/>
      <c r="K68" s="227"/>
      <c r="L68" s="227"/>
    </row>
    <row r="69" spans="1:13" ht="13">
      <c r="A69" s="34" t="s">
        <v>630</v>
      </c>
      <c r="B69" s="41">
        <v>75</v>
      </c>
      <c r="C69" s="41">
        <v>30</v>
      </c>
      <c r="D69" s="41">
        <v>13.75</v>
      </c>
      <c r="E69" s="34" t="s">
        <v>629</v>
      </c>
      <c r="F69" s="41">
        <v>63</v>
      </c>
      <c r="G69" s="41">
        <v>23</v>
      </c>
      <c r="H69" s="41">
        <v>12.71</v>
      </c>
      <c r="I69" s="227"/>
      <c r="J69" s="227"/>
      <c r="K69" s="227"/>
      <c r="L69" s="227"/>
    </row>
    <row r="70" spans="1:13" ht="13">
      <c r="A70" s="1"/>
      <c r="B70" s="1"/>
      <c r="C70" s="1"/>
      <c r="D70" s="1"/>
      <c r="E70" s="34" t="s">
        <v>630</v>
      </c>
      <c r="F70" s="41">
        <v>192</v>
      </c>
      <c r="G70" s="41">
        <v>48</v>
      </c>
      <c r="H70" s="41">
        <v>11.26</v>
      </c>
      <c r="I70" s="227"/>
      <c r="J70" s="227"/>
      <c r="K70" s="227"/>
      <c r="L70" s="227"/>
    </row>
    <row r="71" spans="1:13" ht="13">
      <c r="A71" s="102" t="s">
        <v>631</v>
      </c>
      <c r="B71" s="103">
        <v>315</v>
      </c>
      <c r="C71" s="103">
        <v>63</v>
      </c>
      <c r="D71" s="103">
        <v>6.83</v>
      </c>
      <c r="E71" s="102" t="s">
        <v>631</v>
      </c>
      <c r="F71" s="103">
        <v>562</v>
      </c>
      <c r="G71" s="103">
        <v>116</v>
      </c>
      <c r="H71" s="103">
        <v>8.6199999999999992</v>
      </c>
      <c r="I71" s="227"/>
      <c r="J71" s="227"/>
      <c r="K71" s="227"/>
      <c r="L71" s="227"/>
    </row>
    <row r="72" spans="1:13" ht="13">
      <c r="A72" s="105" t="s">
        <v>632</v>
      </c>
      <c r="B72" s="106">
        <f t="shared" ref="B72:C72" si="20">B71-B67</f>
        <v>167</v>
      </c>
      <c r="C72" s="106">
        <f t="shared" si="20"/>
        <v>59</v>
      </c>
      <c r="D72" s="106">
        <f>AVERAGE(D68:D70)</f>
        <v>13.05</v>
      </c>
      <c r="E72" s="105" t="s">
        <v>632</v>
      </c>
      <c r="F72" s="106">
        <f t="shared" ref="F72:G72" si="21">F71-F67</f>
        <v>371</v>
      </c>
      <c r="G72" s="106">
        <f t="shared" si="21"/>
        <v>111</v>
      </c>
      <c r="H72" s="106">
        <f>AVERAGE(H68:H70)</f>
        <v>12.46</v>
      </c>
      <c r="I72" s="227"/>
      <c r="J72" s="227"/>
      <c r="K72" s="227"/>
      <c r="L72" s="227"/>
    </row>
    <row r="73" spans="1:13" ht="13">
      <c r="A73" s="39" t="s">
        <v>157</v>
      </c>
      <c r="B73" s="40"/>
      <c r="C73" s="40"/>
      <c r="D73" s="40"/>
      <c r="E73" s="1"/>
      <c r="F73" s="1"/>
      <c r="G73" s="1"/>
      <c r="H73" s="1"/>
      <c r="I73" s="1"/>
      <c r="J73" s="1"/>
      <c r="K73" s="1"/>
      <c r="L73" s="1"/>
    </row>
    <row r="74" spans="1:13" ht="13">
      <c r="A74" s="99" t="s">
        <v>623</v>
      </c>
      <c r="B74" s="1"/>
      <c r="C74" s="1"/>
      <c r="D74" s="1"/>
      <c r="E74" s="99" t="s">
        <v>624</v>
      </c>
      <c r="F74" s="100"/>
      <c r="G74" s="100"/>
      <c r="H74" s="100"/>
      <c r="I74" s="99" t="s">
        <v>625</v>
      </c>
      <c r="J74" s="100"/>
      <c r="K74" s="100"/>
      <c r="L74" s="100"/>
    </row>
    <row r="75" spans="1:13" ht="13">
      <c r="A75" s="236" t="s">
        <v>636</v>
      </c>
      <c r="B75" s="227"/>
      <c r="C75" s="227"/>
      <c r="D75" s="227"/>
      <c r="E75" s="34" t="s">
        <v>626</v>
      </c>
      <c r="F75" s="41">
        <v>172</v>
      </c>
      <c r="G75" s="41">
        <v>3</v>
      </c>
      <c r="H75" s="41">
        <v>4.9800000000000004</v>
      </c>
      <c r="I75" s="34" t="s">
        <v>626</v>
      </c>
      <c r="J75" s="41">
        <v>128</v>
      </c>
      <c r="K75" s="41">
        <v>2</v>
      </c>
      <c r="L75" s="41">
        <v>5.37</v>
      </c>
      <c r="M75" s="101">
        <v>5</v>
      </c>
    </row>
    <row r="76" spans="1:13" ht="13">
      <c r="A76" s="227"/>
      <c r="B76" s="227"/>
      <c r="C76" s="227"/>
      <c r="D76" s="227"/>
      <c r="E76" s="34" t="s">
        <v>627</v>
      </c>
      <c r="F76" s="41">
        <v>87</v>
      </c>
      <c r="G76" s="41">
        <v>12</v>
      </c>
      <c r="H76" s="41">
        <v>11.94</v>
      </c>
      <c r="I76" s="34" t="s">
        <v>627</v>
      </c>
      <c r="J76" s="41">
        <v>76</v>
      </c>
      <c r="K76" s="41">
        <v>21</v>
      </c>
      <c r="L76" s="41">
        <v>9.5</v>
      </c>
      <c r="M76" s="101">
        <v>5</v>
      </c>
    </row>
    <row r="77" spans="1:13" ht="13">
      <c r="A77" s="227"/>
      <c r="B77" s="227"/>
      <c r="C77" s="227"/>
      <c r="D77" s="227"/>
      <c r="E77" s="34" t="s">
        <v>628</v>
      </c>
      <c r="F77" s="41">
        <v>90</v>
      </c>
      <c r="G77" s="41">
        <v>9</v>
      </c>
      <c r="H77" s="41">
        <v>10.62</v>
      </c>
      <c r="I77" s="34" t="s">
        <v>628</v>
      </c>
      <c r="J77" s="41">
        <v>98</v>
      </c>
      <c r="K77" s="41">
        <v>18</v>
      </c>
      <c r="L77" s="41">
        <v>10.94</v>
      </c>
      <c r="M77" s="101">
        <v>14</v>
      </c>
    </row>
    <row r="78" spans="1:13" ht="13">
      <c r="A78" s="227"/>
      <c r="B78" s="227"/>
      <c r="C78" s="227"/>
      <c r="D78" s="227"/>
      <c r="E78" s="34" t="s">
        <v>629</v>
      </c>
      <c r="F78" s="41">
        <v>76</v>
      </c>
      <c r="G78" s="41">
        <v>7</v>
      </c>
      <c r="H78" s="41">
        <v>9.84</v>
      </c>
      <c r="I78" s="34" t="s">
        <v>629</v>
      </c>
      <c r="J78" s="41">
        <v>37</v>
      </c>
      <c r="K78" s="41">
        <v>5</v>
      </c>
      <c r="L78" s="41">
        <v>10.96</v>
      </c>
      <c r="M78" s="101">
        <v>0</v>
      </c>
    </row>
    <row r="79" spans="1:13" ht="13">
      <c r="A79" s="227"/>
      <c r="B79" s="227"/>
      <c r="C79" s="227"/>
      <c r="D79" s="227"/>
      <c r="I79" s="34" t="s">
        <v>630</v>
      </c>
      <c r="J79" s="41">
        <v>41</v>
      </c>
      <c r="K79" s="41">
        <v>11</v>
      </c>
      <c r="L79" s="41">
        <v>10.48</v>
      </c>
      <c r="M79" s="101">
        <v>6</v>
      </c>
    </row>
    <row r="80" spans="1:13" ht="13">
      <c r="A80" s="108"/>
      <c r="B80" s="108"/>
      <c r="C80" s="108"/>
      <c r="D80" s="108"/>
      <c r="E80" s="102" t="s">
        <v>631</v>
      </c>
      <c r="F80" s="103">
        <v>425</v>
      </c>
      <c r="G80" s="103">
        <v>31</v>
      </c>
      <c r="H80" s="103">
        <v>7.33</v>
      </c>
      <c r="I80" s="44" t="s">
        <v>631</v>
      </c>
      <c r="J80" s="45">
        <v>379</v>
      </c>
      <c r="K80" s="45">
        <v>57</v>
      </c>
      <c r="L80" s="45">
        <v>7.9</v>
      </c>
      <c r="M80" s="104">
        <v>30</v>
      </c>
    </row>
    <row r="81" spans="1:13" ht="13">
      <c r="A81" s="108"/>
      <c r="B81" s="108"/>
      <c r="C81" s="108"/>
      <c r="D81" s="108"/>
      <c r="E81" s="105" t="s">
        <v>632</v>
      </c>
      <c r="F81" s="106">
        <f t="shared" ref="F81:G81" si="22">F80-F75</f>
        <v>253</v>
      </c>
      <c r="G81" s="106">
        <f t="shared" si="22"/>
        <v>28</v>
      </c>
      <c r="H81" s="106">
        <f>AVERAGE(H76:H78)</f>
        <v>10.799999999999999</v>
      </c>
      <c r="I81" s="105" t="s">
        <v>632</v>
      </c>
      <c r="J81" s="106">
        <f t="shared" ref="J81:K81" si="23">J80-J75</f>
        <v>251</v>
      </c>
      <c r="K81" s="106">
        <f t="shared" si="23"/>
        <v>55</v>
      </c>
      <c r="L81" s="106">
        <f>AVERAGE(L76:L78)</f>
        <v>10.466666666666667</v>
      </c>
      <c r="M81" s="106">
        <f>M80-M75</f>
        <v>25</v>
      </c>
    </row>
    <row r="82" spans="1:13" ht="13">
      <c r="A82" s="109" t="s">
        <v>637</v>
      </c>
      <c r="B82" s="40"/>
      <c r="C82" s="40"/>
      <c r="D82" s="40"/>
      <c r="E82" s="1"/>
      <c r="F82" s="1"/>
      <c r="G82" s="1"/>
      <c r="H82" s="1"/>
      <c r="I82" s="1"/>
      <c r="J82" s="1"/>
      <c r="K82" s="1"/>
      <c r="L82" s="1"/>
    </row>
    <row r="83" spans="1:13" ht="13">
      <c r="A83" s="99" t="s">
        <v>623</v>
      </c>
      <c r="B83" s="100"/>
      <c r="C83" s="100"/>
      <c r="D83" s="100"/>
      <c r="E83" s="99" t="s">
        <v>624</v>
      </c>
      <c r="F83" s="100"/>
      <c r="G83" s="100"/>
      <c r="H83" s="100"/>
      <c r="I83" s="99" t="s">
        <v>625</v>
      </c>
      <c r="J83" s="100"/>
      <c r="K83" s="100"/>
      <c r="L83" s="100"/>
    </row>
    <row r="84" spans="1:13" ht="13">
      <c r="A84" s="34" t="s">
        <v>626</v>
      </c>
      <c r="B84" s="41">
        <v>141</v>
      </c>
      <c r="C84" s="41">
        <v>8</v>
      </c>
      <c r="D84" s="41">
        <v>4.25</v>
      </c>
      <c r="E84" s="34" t="s">
        <v>626</v>
      </c>
      <c r="F84" s="41">
        <v>186</v>
      </c>
      <c r="G84" s="41">
        <v>5</v>
      </c>
      <c r="H84" s="41">
        <v>5.37</v>
      </c>
      <c r="I84" s="34" t="s">
        <v>626</v>
      </c>
      <c r="J84" s="41">
        <v>151</v>
      </c>
      <c r="K84" s="41">
        <v>1</v>
      </c>
      <c r="L84" s="41">
        <v>6.32</v>
      </c>
      <c r="M84" s="101">
        <v>3</v>
      </c>
    </row>
    <row r="85" spans="1:13" ht="13">
      <c r="A85" s="34" t="s">
        <v>627</v>
      </c>
      <c r="B85" s="41">
        <v>39</v>
      </c>
      <c r="C85" s="41">
        <v>11</v>
      </c>
      <c r="D85" s="41">
        <v>11.94</v>
      </c>
      <c r="E85" s="34" t="s">
        <v>627</v>
      </c>
      <c r="F85" s="41">
        <v>18</v>
      </c>
      <c r="G85" s="41">
        <v>3</v>
      </c>
      <c r="H85" s="41">
        <v>13.47</v>
      </c>
      <c r="I85" s="34" t="s">
        <v>627</v>
      </c>
      <c r="J85" s="41">
        <v>6</v>
      </c>
      <c r="K85" s="41">
        <v>1</v>
      </c>
      <c r="L85" s="41">
        <v>5.71</v>
      </c>
      <c r="M85" s="101">
        <v>1</v>
      </c>
    </row>
    <row r="86" spans="1:13" ht="13">
      <c r="A86" s="34" t="s">
        <v>628</v>
      </c>
      <c r="B86" s="41">
        <v>164</v>
      </c>
      <c r="C86" s="41">
        <v>64</v>
      </c>
      <c r="D86" s="41">
        <v>11.97</v>
      </c>
      <c r="E86" s="34" t="s">
        <v>628</v>
      </c>
      <c r="F86" s="41">
        <v>83</v>
      </c>
      <c r="G86" s="41">
        <v>22</v>
      </c>
      <c r="H86" s="41">
        <v>12.35</v>
      </c>
      <c r="I86" s="44"/>
      <c r="J86" s="45"/>
      <c r="K86" s="45"/>
      <c r="L86" s="45"/>
    </row>
    <row r="87" spans="1:13" ht="13">
      <c r="A87" s="34" t="s">
        <v>629</v>
      </c>
      <c r="B87" s="41">
        <v>101</v>
      </c>
      <c r="C87" s="41">
        <v>30</v>
      </c>
      <c r="D87" s="41">
        <v>11.66</v>
      </c>
      <c r="E87" s="34" t="s">
        <v>629</v>
      </c>
      <c r="F87" s="41">
        <v>96</v>
      </c>
      <c r="G87" s="41">
        <v>21</v>
      </c>
      <c r="H87" s="41">
        <v>10.85</v>
      </c>
      <c r="I87" s="1"/>
      <c r="J87" s="1"/>
      <c r="K87" s="1"/>
      <c r="L87" s="1"/>
    </row>
    <row r="88" spans="1:13" ht="13">
      <c r="A88" s="34" t="s">
        <v>630</v>
      </c>
      <c r="B88" s="41">
        <v>109</v>
      </c>
      <c r="C88" s="41">
        <v>25</v>
      </c>
      <c r="D88" s="41">
        <v>10.41</v>
      </c>
      <c r="E88" s="34" t="s">
        <v>630</v>
      </c>
      <c r="F88" s="41">
        <v>167</v>
      </c>
      <c r="G88" s="41">
        <v>38</v>
      </c>
      <c r="H88" s="41">
        <v>9.7799999999999994</v>
      </c>
      <c r="I88" s="1"/>
      <c r="J88" s="1"/>
      <c r="K88" s="1"/>
      <c r="L88" s="1"/>
    </row>
    <row r="89" spans="1:13" ht="13">
      <c r="A89" s="102" t="s">
        <v>631</v>
      </c>
      <c r="B89" s="103">
        <v>555</v>
      </c>
      <c r="C89" s="103">
        <v>138</v>
      </c>
      <c r="D89" s="103">
        <v>8</v>
      </c>
      <c r="E89" s="102" t="s">
        <v>631</v>
      </c>
      <c r="F89" s="103">
        <v>549</v>
      </c>
      <c r="G89" s="103">
        <v>89</v>
      </c>
      <c r="H89" s="103">
        <v>8.02</v>
      </c>
      <c r="I89" s="44" t="s">
        <v>631</v>
      </c>
      <c r="J89" s="45">
        <v>156</v>
      </c>
      <c r="K89" s="45">
        <v>2</v>
      </c>
      <c r="L89" s="45">
        <v>6.3</v>
      </c>
      <c r="M89" s="104">
        <v>4</v>
      </c>
    </row>
    <row r="90" spans="1:13" ht="13">
      <c r="A90" s="105" t="s">
        <v>632</v>
      </c>
      <c r="B90" s="106">
        <f t="shared" ref="B90:C90" si="24">B89-B84</f>
        <v>414</v>
      </c>
      <c r="C90" s="106">
        <f t="shared" si="24"/>
        <v>130</v>
      </c>
      <c r="D90" s="106">
        <f>AVERAGE(D85:D88)</f>
        <v>11.495000000000001</v>
      </c>
      <c r="E90" s="105" t="s">
        <v>632</v>
      </c>
      <c r="F90" s="106">
        <f t="shared" ref="F90:G90" si="25">F89-F84</f>
        <v>363</v>
      </c>
      <c r="G90" s="106">
        <f t="shared" si="25"/>
        <v>84</v>
      </c>
      <c r="H90" s="106">
        <f>AVERAGE(H85:H88)</f>
        <v>11.612500000000001</v>
      </c>
      <c r="I90" s="105" t="s">
        <v>632</v>
      </c>
      <c r="J90" s="106">
        <f t="shared" ref="J90:K90" si="26">J89-J84</f>
        <v>5</v>
      </c>
      <c r="K90" s="106">
        <f t="shared" si="26"/>
        <v>1</v>
      </c>
      <c r="L90" s="106">
        <f>AVERAGE(L85:L88)</f>
        <v>5.71</v>
      </c>
      <c r="M90" s="106">
        <f>M89-M84</f>
        <v>1</v>
      </c>
    </row>
    <row r="91" spans="1:13" ht="13">
      <c r="A91" s="39" t="s">
        <v>149</v>
      </c>
      <c r="B91" s="40"/>
      <c r="C91" s="40"/>
      <c r="D91" s="40"/>
      <c r="E91" s="1"/>
      <c r="F91" s="1"/>
      <c r="G91" s="1"/>
      <c r="H91" s="1"/>
      <c r="I91" s="1"/>
      <c r="J91" s="1"/>
      <c r="K91" s="1"/>
      <c r="L91" s="1"/>
    </row>
    <row r="92" spans="1:13" ht="13">
      <c r="A92" s="99" t="s">
        <v>623</v>
      </c>
      <c r="B92" s="100"/>
      <c r="C92" s="100"/>
      <c r="D92" s="100"/>
      <c r="E92" s="99" t="s">
        <v>624</v>
      </c>
      <c r="F92" s="100"/>
      <c r="G92" s="100"/>
      <c r="H92" s="100"/>
      <c r="I92" s="233" t="s">
        <v>635</v>
      </c>
      <c r="J92" s="227"/>
      <c r="K92" s="227"/>
      <c r="L92" s="227"/>
    </row>
    <row r="93" spans="1:13" ht="13">
      <c r="A93" s="34" t="s">
        <v>626</v>
      </c>
      <c r="B93" s="41">
        <v>184</v>
      </c>
      <c r="C93" s="41">
        <v>13</v>
      </c>
      <c r="D93" s="41">
        <v>5.54</v>
      </c>
      <c r="E93" s="34" t="s">
        <v>626</v>
      </c>
      <c r="F93" s="41">
        <v>222</v>
      </c>
      <c r="G93" s="41">
        <v>21</v>
      </c>
      <c r="H93" s="41">
        <v>6.41</v>
      </c>
      <c r="I93" s="227"/>
      <c r="J93" s="227"/>
      <c r="K93" s="227"/>
      <c r="L93" s="227"/>
    </row>
    <row r="94" spans="1:13" ht="13">
      <c r="A94" s="34" t="s">
        <v>627</v>
      </c>
      <c r="B94" s="41">
        <v>108</v>
      </c>
      <c r="C94" s="41">
        <v>47</v>
      </c>
      <c r="D94" s="41">
        <v>13.1</v>
      </c>
      <c r="E94" s="34" t="s">
        <v>627</v>
      </c>
      <c r="F94" s="41">
        <v>84</v>
      </c>
      <c r="G94" s="41">
        <v>21</v>
      </c>
      <c r="H94" s="41">
        <v>15.52</v>
      </c>
      <c r="I94" s="227"/>
      <c r="J94" s="227"/>
      <c r="K94" s="227"/>
      <c r="L94" s="227"/>
    </row>
    <row r="95" spans="1:13" ht="13">
      <c r="A95" s="34" t="s">
        <v>629</v>
      </c>
      <c r="B95" s="41">
        <v>72</v>
      </c>
      <c r="C95" s="41">
        <v>33</v>
      </c>
      <c r="D95" s="41">
        <v>12.46</v>
      </c>
      <c r="E95" s="34" t="s">
        <v>629</v>
      </c>
      <c r="F95" s="41">
        <v>64</v>
      </c>
      <c r="G95" s="41">
        <v>18</v>
      </c>
      <c r="H95" s="41">
        <v>13.36</v>
      </c>
      <c r="I95" s="227"/>
      <c r="J95" s="227"/>
      <c r="K95" s="227"/>
      <c r="L95" s="227"/>
    </row>
    <row r="96" spans="1:13" ht="13">
      <c r="A96" s="34" t="s">
        <v>630</v>
      </c>
      <c r="B96" s="41">
        <v>94</v>
      </c>
      <c r="C96" s="41">
        <v>26</v>
      </c>
      <c r="D96" s="41">
        <v>11.57</v>
      </c>
      <c r="E96" s="34" t="s">
        <v>630</v>
      </c>
      <c r="F96" s="41">
        <v>115</v>
      </c>
      <c r="G96" s="41">
        <v>35</v>
      </c>
      <c r="H96" s="41">
        <v>12.02</v>
      </c>
      <c r="I96" s="227"/>
      <c r="J96" s="227"/>
      <c r="K96" s="227"/>
      <c r="L96" s="227"/>
    </row>
    <row r="97" spans="1:13" ht="13">
      <c r="A97" s="102" t="s">
        <v>631</v>
      </c>
      <c r="B97" s="103">
        <v>457</v>
      </c>
      <c r="C97" s="103">
        <v>119</v>
      </c>
      <c r="D97" s="103">
        <v>8.27</v>
      </c>
      <c r="E97" s="102" t="s">
        <v>631</v>
      </c>
      <c r="F97" s="103">
        <v>485</v>
      </c>
      <c r="G97" s="103">
        <v>95</v>
      </c>
      <c r="H97" s="103">
        <v>8.92</v>
      </c>
      <c r="I97" s="227"/>
      <c r="J97" s="227"/>
      <c r="K97" s="227"/>
      <c r="L97" s="227"/>
    </row>
    <row r="98" spans="1:13" ht="13">
      <c r="A98" s="105" t="s">
        <v>632</v>
      </c>
      <c r="B98" s="106">
        <f t="shared" ref="B98:C98" si="27">B97-B93</f>
        <v>273</v>
      </c>
      <c r="C98" s="106">
        <f t="shared" si="27"/>
        <v>106</v>
      </c>
      <c r="D98" s="106">
        <f>AVERAGE(D94:D96)</f>
        <v>12.376666666666667</v>
      </c>
      <c r="E98" s="105" t="s">
        <v>632</v>
      </c>
      <c r="F98" s="106">
        <f t="shared" ref="F98:G98" si="28">F97-F93</f>
        <v>263</v>
      </c>
      <c r="G98" s="106">
        <f t="shared" si="28"/>
        <v>74</v>
      </c>
      <c r="H98" s="106">
        <f>AVERAGE(H94:H96)</f>
        <v>13.633333333333333</v>
      </c>
      <c r="I98" s="227"/>
      <c r="J98" s="227"/>
      <c r="K98" s="227"/>
      <c r="L98" s="227"/>
    </row>
    <row r="99" spans="1:13" ht="13">
      <c r="A99" s="39" t="s">
        <v>167</v>
      </c>
      <c r="B99" s="40"/>
      <c r="C99" s="40"/>
      <c r="D99" s="40"/>
      <c r="E99" s="1"/>
      <c r="F99" s="1"/>
      <c r="G99" s="1"/>
      <c r="H99" s="1"/>
      <c r="I99" s="1"/>
      <c r="J99" s="1"/>
      <c r="K99" s="1"/>
      <c r="L99" s="1"/>
    </row>
    <row r="100" spans="1:13" ht="13">
      <c r="A100" s="99" t="s">
        <v>623</v>
      </c>
      <c r="B100" s="100"/>
      <c r="C100" s="100"/>
      <c r="D100" s="100"/>
      <c r="E100" s="99" t="s">
        <v>624</v>
      </c>
      <c r="F100" s="100"/>
      <c r="G100" s="100"/>
      <c r="H100" s="100"/>
      <c r="I100" s="233" t="s">
        <v>635</v>
      </c>
      <c r="J100" s="227"/>
      <c r="K100" s="227"/>
      <c r="L100" s="227"/>
    </row>
    <row r="101" spans="1:13" ht="13">
      <c r="A101" s="34" t="s">
        <v>626</v>
      </c>
      <c r="B101" s="41">
        <v>154</v>
      </c>
      <c r="C101" s="41">
        <v>5</v>
      </c>
      <c r="D101" s="41">
        <v>4.62</v>
      </c>
      <c r="E101" s="34" t="s">
        <v>626</v>
      </c>
      <c r="F101" s="41">
        <v>181</v>
      </c>
      <c r="G101" s="41">
        <v>7</v>
      </c>
      <c r="H101" s="41">
        <v>5.24</v>
      </c>
      <c r="I101" s="227"/>
      <c r="J101" s="227"/>
      <c r="K101" s="227"/>
      <c r="L101" s="227"/>
    </row>
    <row r="102" spans="1:13" ht="13">
      <c r="A102" s="1"/>
      <c r="B102" s="1"/>
      <c r="C102" s="1"/>
      <c r="D102" s="1"/>
      <c r="E102" s="34" t="s">
        <v>630</v>
      </c>
      <c r="F102" s="41">
        <v>66</v>
      </c>
      <c r="G102" s="41">
        <v>7</v>
      </c>
      <c r="H102" s="41">
        <v>9.57</v>
      </c>
      <c r="I102" s="227"/>
      <c r="J102" s="227"/>
      <c r="K102" s="227"/>
      <c r="L102" s="227"/>
    </row>
    <row r="103" spans="1:13" ht="13">
      <c r="A103" s="102" t="s">
        <v>631</v>
      </c>
      <c r="B103" s="103">
        <v>154</v>
      </c>
      <c r="C103" s="103">
        <v>5</v>
      </c>
      <c r="D103" s="103">
        <v>4.62</v>
      </c>
      <c r="E103" s="102" t="s">
        <v>631</v>
      </c>
      <c r="F103" s="103">
        <v>248</v>
      </c>
      <c r="G103" s="103">
        <v>14</v>
      </c>
      <c r="H103" s="103">
        <v>5.97</v>
      </c>
      <c r="I103" s="227"/>
      <c r="J103" s="227"/>
      <c r="K103" s="227"/>
      <c r="L103" s="227"/>
    </row>
    <row r="104" spans="1:13" ht="13">
      <c r="A104" s="105" t="s">
        <v>632</v>
      </c>
      <c r="B104" s="106">
        <v>154</v>
      </c>
      <c r="C104" s="106">
        <v>5</v>
      </c>
      <c r="D104" s="106">
        <v>4.62</v>
      </c>
      <c r="E104" s="105" t="s">
        <v>632</v>
      </c>
      <c r="F104" s="106">
        <v>66</v>
      </c>
      <c r="G104" s="106">
        <v>7</v>
      </c>
      <c r="H104" s="106">
        <v>9.57</v>
      </c>
      <c r="I104" s="227"/>
      <c r="J104" s="227"/>
      <c r="K104" s="227"/>
      <c r="L104" s="227"/>
    </row>
    <row r="105" spans="1:13" ht="13">
      <c r="A105" s="110" t="s">
        <v>638</v>
      </c>
      <c r="B105" s="111"/>
      <c r="C105" s="111"/>
      <c r="D105" s="111"/>
      <c r="E105" s="111"/>
    </row>
    <row r="106" spans="1:13" ht="13">
      <c r="A106" s="234"/>
      <c r="B106" s="227"/>
      <c r="C106" s="227"/>
      <c r="D106" s="227"/>
      <c r="E106" s="227"/>
      <c r="F106" s="227"/>
      <c r="G106" s="227"/>
      <c r="H106" s="227"/>
      <c r="I106" s="112" t="s">
        <v>625</v>
      </c>
      <c r="J106" s="113"/>
      <c r="K106" s="113"/>
      <c r="L106" s="113"/>
      <c r="M106" s="113"/>
    </row>
    <row r="107" spans="1:13" ht="13">
      <c r="A107" s="227"/>
      <c r="B107" s="227"/>
      <c r="C107" s="227"/>
      <c r="D107" s="227"/>
      <c r="E107" s="227"/>
      <c r="F107" s="227"/>
      <c r="G107" s="227"/>
      <c r="H107" s="227"/>
      <c r="I107" s="114" t="s">
        <v>626</v>
      </c>
      <c r="J107" s="101">
        <v>130</v>
      </c>
      <c r="K107" s="101">
        <v>1</v>
      </c>
      <c r="L107" s="101">
        <v>5.45</v>
      </c>
      <c r="M107" s="101">
        <v>3</v>
      </c>
    </row>
    <row r="108" spans="1:13" ht="13">
      <c r="A108" s="227"/>
      <c r="B108" s="227"/>
      <c r="C108" s="227"/>
      <c r="D108" s="227"/>
      <c r="E108" s="227"/>
      <c r="F108" s="227"/>
      <c r="G108" s="227"/>
      <c r="H108" s="227"/>
      <c r="I108" s="114" t="s">
        <v>627</v>
      </c>
      <c r="J108" s="101">
        <v>137</v>
      </c>
      <c r="K108" s="101">
        <v>33</v>
      </c>
      <c r="L108" s="101">
        <v>13.73</v>
      </c>
      <c r="M108" s="101">
        <v>25</v>
      </c>
    </row>
    <row r="109" spans="1:13" ht="13">
      <c r="A109" s="227"/>
      <c r="B109" s="227"/>
      <c r="C109" s="227"/>
      <c r="D109" s="227"/>
      <c r="E109" s="227"/>
      <c r="F109" s="227"/>
      <c r="G109" s="227"/>
      <c r="H109" s="227"/>
      <c r="I109" s="114" t="s">
        <v>628</v>
      </c>
      <c r="J109" s="101">
        <v>48</v>
      </c>
      <c r="K109" s="101">
        <v>12</v>
      </c>
      <c r="L109" s="101">
        <v>10.119999999999999</v>
      </c>
      <c r="M109" s="101">
        <v>9</v>
      </c>
    </row>
    <row r="110" spans="1:13" ht="13">
      <c r="A110" s="227"/>
      <c r="B110" s="227"/>
      <c r="C110" s="227"/>
      <c r="D110" s="227"/>
      <c r="E110" s="227"/>
      <c r="F110" s="227"/>
      <c r="G110" s="227"/>
      <c r="H110" s="227"/>
      <c r="I110" s="114" t="s">
        <v>629</v>
      </c>
      <c r="J110" s="101">
        <v>87</v>
      </c>
      <c r="K110" s="101">
        <v>18</v>
      </c>
      <c r="L110" s="101">
        <v>11.32</v>
      </c>
      <c r="M110" s="101">
        <v>13</v>
      </c>
    </row>
    <row r="111" spans="1:13" ht="13">
      <c r="A111" s="227"/>
      <c r="B111" s="227"/>
      <c r="C111" s="227"/>
      <c r="D111" s="227"/>
      <c r="E111" s="227"/>
      <c r="F111" s="227"/>
      <c r="G111" s="227"/>
      <c r="H111" s="227"/>
      <c r="I111" s="114" t="s">
        <v>630</v>
      </c>
      <c r="J111" s="101">
        <v>127</v>
      </c>
      <c r="K111" s="101">
        <v>25</v>
      </c>
      <c r="L111" s="101">
        <v>9.8000000000000007</v>
      </c>
      <c r="M111" s="101">
        <v>21</v>
      </c>
    </row>
    <row r="112" spans="1:13" ht="13">
      <c r="A112" s="227"/>
      <c r="B112" s="227"/>
      <c r="C112" s="227"/>
      <c r="D112" s="227"/>
      <c r="E112" s="227"/>
      <c r="F112" s="227"/>
      <c r="G112" s="227"/>
      <c r="H112" s="227"/>
      <c r="I112" s="115" t="s">
        <v>631</v>
      </c>
      <c r="J112" s="104">
        <v>531</v>
      </c>
      <c r="K112" s="104">
        <v>89</v>
      </c>
      <c r="L112" s="104">
        <v>8.94</v>
      </c>
      <c r="M112" s="104">
        <v>71</v>
      </c>
    </row>
    <row r="113" spans="1:7" ht="13">
      <c r="A113" s="1"/>
      <c r="B113" s="1" t="s">
        <v>611</v>
      </c>
      <c r="C113" s="1" t="s">
        <v>612</v>
      </c>
      <c r="D113" s="1" t="s">
        <v>613</v>
      </c>
      <c r="E113" s="1" t="s">
        <v>614</v>
      </c>
      <c r="F113" s="1" t="s">
        <v>355</v>
      </c>
      <c r="G113" s="1" t="s">
        <v>639</v>
      </c>
    </row>
    <row r="114" spans="1:7" ht="13">
      <c r="A114" s="1" t="s">
        <v>640</v>
      </c>
      <c r="B114" s="1">
        <v>4</v>
      </c>
      <c r="C114" s="1">
        <v>6</v>
      </c>
      <c r="D114" s="1">
        <v>5</v>
      </c>
      <c r="E114" s="1">
        <v>2</v>
      </c>
      <c r="F114" s="1">
        <f t="shared" ref="F114:F117" si="29">SUM(B114:E114)</f>
        <v>17</v>
      </c>
      <c r="G114" s="1">
        <v>17</v>
      </c>
    </row>
    <row r="115" spans="1:7" ht="13">
      <c r="A115" s="1" t="s">
        <v>641</v>
      </c>
      <c r="B115" s="1">
        <v>0</v>
      </c>
      <c r="C115" s="1">
        <v>2</v>
      </c>
      <c r="D115" s="1">
        <v>-15</v>
      </c>
      <c r="E115" s="1">
        <v>4</v>
      </c>
      <c r="F115" s="1">
        <f t="shared" si="29"/>
        <v>-9</v>
      </c>
      <c r="G115" s="1">
        <v>9</v>
      </c>
    </row>
    <row r="116" spans="1:7" ht="13">
      <c r="A116" s="1" t="s">
        <v>642</v>
      </c>
      <c r="B116" s="1">
        <v>6</v>
      </c>
      <c r="C116" s="1">
        <v>6</v>
      </c>
      <c r="D116" s="1">
        <v>4</v>
      </c>
      <c r="E116" s="1">
        <v>10</v>
      </c>
      <c r="F116" s="1">
        <f t="shared" si="29"/>
        <v>26</v>
      </c>
      <c r="G116" s="1">
        <v>26</v>
      </c>
    </row>
    <row r="117" spans="1:7" ht="13">
      <c r="A117" s="1" t="s">
        <v>643</v>
      </c>
      <c r="B117" s="1">
        <v>11</v>
      </c>
      <c r="C117" s="1">
        <v>10</v>
      </c>
      <c r="D117" s="1">
        <v>11</v>
      </c>
      <c r="E117" s="1">
        <v>9</v>
      </c>
      <c r="F117" s="1">
        <f t="shared" si="29"/>
        <v>41</v>
      </c>
      <c r="G117" s="1">
        <f>67-26</f>
        <v>41</v>
      </c>
    </row>
    <row r="118" spans="1:7" ht="13">
      <c r="A118" s="1" t="s">
        <v>644</v>
      </c>
      <c r="B118" s="1">
        <f t="shared" ref="B118:E118" si="30">B116/(B116+B117)</f>
        <v>0.35294117647058826</v>
      </c>
      <c r="C118" s="1">
        <f t="shared" si="30"/>
        <v>0.375</v>
      </c>
      <c r="D118" s="1">
        <f t="shared" si="30"/>
        <v>0.26666666666666666</v>
      </c>
      <c r="E118" s="1">
        <f t="shared" si="30"/>
        <v>0.52631578947368418</v>
      </c>
      <c r="F118" s="1">
        <f>AVERAGE(B118:E118)</f>
        <v>0.38023090815273475</v>
      </c>
      <c r="G118" s="1">
        <v>0.38800000000000001</v>
      </c>
    </row>
    <row r="119" spans="1:7" ht="13">
      <c r="A119" s="1" t="s">
        <v>645</v>
      </c>
      <c r="B119" s="1">
        <v>4</v>
      </c>
      <c r="C119" s="1">
        <v>4</v>
      </c>
      <c r="D119" s="1">
        <v>4</v>
      </c>
      <c r="E119" s="1">
        <v>2</v>
      </c>
      <c r="F119" s="1">
        <f t="shared" ref="F119:F121" si="31">SUM(B119:E119)</f>
        <v>14</v>
      </c>
      <c r="G119" s="1">
        <v>14</v>
      </c>
    </row>
    <row r="120" spans="1:7" ht="13">
      <c r="A120" s="1" t="s">
        <v>646</v>
      </c>
      <c r="B120" s="1">
        <v>8</v>
      </c>
      <c r="C120" s="1">
        <v>5</v>
      </c>
      <c r="D120" s="1">
        <v>1</v>
      </c>
      <c r="E120" s="1">
        <v>6</v>
      </c>
      <c r="F120" s="1">
        <f t="shared" si="31"/>
        <v>20</v>
      </c>
      <c r="G120" s="1">
        <v>20</v>
      </c>
    </row>
    <row r="121" spans="1:7" ht="13">
      <c r="A121" s="1" t="s">
        <v>647</v>
      </c>
      <c r="B121" s="1">
        <v>7</v>
      </c>
      <c r="C121" s="1">
        <v>8</v>
      </c>
      <c r="D121" s="1">
        <v>4</v>
      </c>
      <c r="E121" s="1">
        <v>2</v>
      </c>
      <c r="F121" s="1">
        <f t="shared" si="31"/>
        <v>21</v>
      </c>
      <c r="G121" s="1">
        <v>21</v>
      </c>
    </row>
    <row r="122" spans="1:7" ht="13">
      <c r="A122" s="1" t="s">
        <v>648</v>
      </c>
      <c r="B122" s="1">
        <f t="shared" ref="B122:F122" si="32">SUM(B120:B121)</f>
        <v>15</v>
      </c>
      <c r="C122" s="1">
        <f t="shared" si="32"/>
        <v>13</v>
      </c>
      <c r="D122" s="1">
        <f t="shared" si="32"/>
        <v>5</v>
      </c>
      <c r="E122" s="1">
        <f t="shared" si="32"/>
        <v>8</v>
      </c>
      <c r="F122" s="1">
        <f t="shared" si="32"/>
        <v>41</v>
      </c>
      <c r="G122" s="1">
        <v>41</v>
      </c>
    </row>
    <row r="123" spans="1:7" ht="13">
      <c r="A123" s="1" t="s">
        <v>649</v>
      </c>
      <c r="B123" s="1">
        <v>7</v>
      </c>
      <c r="C123" s="1">
        <v>4</v>
      </c>
      <c r="D123" s="1">
        <v>7</v>
      </c>
      <c r="E123" s="1">
        <v>9</v>
      </c>
      <c r="F123" s="1">
        <f>SUM(B123:E123)</f>
        <v>27</v>
      </c>
      <c r="G123" s="1">
        <v>27</v>
      </c>
    </row>
    <row r="144" spans="1:1" ht="13">
      <c r="A144" s="116"/>
    </row>
  </sheetData>
  <mergeCells count="7">
    <mergeCell ref="I100:L104"/>
    <mergeCell ref="A106:H112"/>
    <mergeCell ref="A1:D1"/>
    <mergeCell ref="I39:L46"/>
    <mergeCell ref="I66:L72"/>
    <mergeCell ref="A75:D79"/>
    <mergeCell ref="I92:L9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409"/>
  <sheetViews>
    <sheetView workbookViewId="0"/>
  </sheetViews>
  <sheetFormatPr baseColWidth="10" defaultColWidth="12.6640625" defaultRowHeight="15.75" customHeight="1"/>
  <cols>
    <col min="1" max="1" width="16.5" customWidth="1"/>
    <col min="7" max="7" width="12.1640625" customWidth="1"/>
    <col min="8" max="8" width="17.1640625" customWidth="1"/>
  </cols>
  <sheetData>
    <row r="1" spans="1:9" ht="15.75" customHeight="1">
      <c r="B1" s="1" t="s">
        <v>144</v>
      </c>
      <c r="C1" s="1" t="s">
        <v>5</v>
      </c>
      <c r="D1" s="1" t="s">
        <v>145</v>
      </c>
      <c r="E1" s="1" t="s">
        <v>146</v>
      </c>
      <c r="F1" s="1" t="s">
        <v>147</v>
      </c>
    </row>
    <row r="2" spans="1:9" ht="15.75" customHeight="1">
      <c r="A2" s="39" t="s">
        <v>112</v>
      </c>
      <c r="B2" s="40"/>
      <c r="C2" s="40"/>
      <c r="D2" s="40"/>
      <c r="E2" s="40"/>
      <c r="F2" s="40"/>
      <c r="I2" s="1" t="s">
        <v>148</v>
      </c>
    </row>
    <row r="3" spans="1:9" ht="15.75" customHeight="1">
      <c r="A3" s="34" t="s">
        <v>149</v>
      </c>
      <c r="B3" s="41">
        <v>197</v>
      </c>
      <c r="C3" s="41">
        <v>5</v>
      </c>
      <c r="D3" s="41">
        <v>15</v>
      </c>
      <c r="E3" s="41">
        <v>30</v>
      </c>
      <c r="F3" s="41">
        <v>49</v>
      </c>
      <c r="H3" s="1" t="s">
        <v>150</v>
      </c>
      <c r="I3" s="42" t="e">
        <f t="array" aca="1" ref="I3" ca="1">_xludf.xlookup(I2,A:A,B:B)</f>
        <v>#NAME?</v>
      </c>
    </row>
    <row r="4" spans="1:9" ht="15.75" customHeight="1">
      <c r="A4" s="34" t="s">
        <v>151</v>
      </c>
      <c r="B4" s="41">
        <v>193</v>
      </c>
      <c r="C4" s="41">
        <v>13</v>
      </c>
      <c r="D4" s="41">
        <v>14</v>
      </c>
      <c r="E4" s="41">
        <v>29</v>
      </c>
      <c r="F4" s="41">
        <v>45</v>
      </c>
      <c r="H4" s="1" t="s">
        <v>152</v>
      </c>
      <c r="I4" s="42" t="e">
        <f t="array" aca="1" ref="I4" ca="1">_xludf.xlookup(I2,A15:A29,B15:B29)</f>
        <v>#NAME?</v>
      </c>
    </row>
    <row r="5" spans="1:9" ht="15.75" customHeight="1">
      <c r="A5" s="34" t="s">
        <v>153</v>
      </c>
      <c r="B5" s="41">
        <v>193</v>
      </c>
      <c r="C5" s="41">
        <v>7</v>
      </c>
      <c r="D5" s="41">
        <v>15</v>
      </c>
      <c r="E5" s="41">
        <v>29</v>
      </c>
      <c r="F5" s="41">
        <v>46</v>
      </c>
      <c r="H5" s="1" t="s">
        <v>154</v>
      </c>
      <c r="I5" s="42">
        <f>B44</f>
        <v>204</v>
      </c>
    </row>
    <row r="6" spans="1:9" ht="15.75" customHeight="1">
      <c r="A6" s="34" t="s">
        <v>155</v>
      </c>
      <c r="B6" s="41">
        <v>222</v>
      </c>
      <c r="C6" s="41">
        <v>4</v>
      </c>
      <c r="D6" s="41">
        <v>20</v>
      </c>
      <c r="E6" s="41">
        <v>39</v>
      </c>
      <c r="F6" s="41">
        <v>61</v>
      </c>
      <c r="H6" s="1" t="s">
        <v>156</v>
      </c>
      <c r="I6" s="42">
        <f>B59</f>
        <v>198</v>
      </c>
    </row>
    <row r="7" spans="1:9" ht="15.75" customHeight="1">
      <c r="A7" s="34" t="s">
        <v>157</v>
      </c>
      <c r="B7" s="41">
        <v>208</v>
      </c>
      <c r="C7" s="41">
        <v>10</v>
      </c>
      <c r="D7" s="41">
        <v>16</v>
      </c>
      <c r="E7" s="41">
        <v>31</v>
      </c>
      <c r="F7" s="41">
        <v>48</v>
      </c>
      <c r="H7" s="1" t="s">
        <v>158</v>
      </c>
      <c r="I7" s="42">
        <f>B73</f>
        <v>178</v>
      </c>
    </row>
    <row r="8" spans="1:9" ht="14">
      <c r="A8" s="34" t="s">
        <v>159</v>
      </c>
      <c r="B8" s="41">
        <v>187</v>
      </c>
      <c r="C8" s="41">
        <v>0</v>
      </c>
      <c r="D8" s="41">
        <v>14</v>
      </c>
      <c r="E8" s="41">
        <v>28</v>
      </c>
      <c r="F8" s="41">
        <v>46</v>
      </c>
      <c r="H8" s="1" t="s">
        <v>160</v>
      </c>
      <c r="I8" s="43">
        <v>221</v>
      </c>
    </row>
    <row r="9" spans="1:9" ht="14">
      <c r="A9" s="34" t="s">
        <v>161</v>
      </c>
      <c r="B9" s="41">
        <v>179</v>
      </c>
      <c r="C9" s="41">
        <v>5</v>
      </c>
      <c r="D9" s="41">
        <v>15</v>
      </c>
      <c r="E9" s="41">
        <v>28</v>
      </c>
      <c r="F9" s="41">
        <v>46</v>
      </c>
      <c r="H9" s="1" t="s">
        <v>162</v>
      </c>
      <c r="I9" s="43">
        <v>175</v>
      </c>
    </row>
    <row r="10" spans="1:9" ht="14">
      <c r="A10" s="34" t="s">
        <v>163</v>
      </c>
      <c r="B10" s="41">
        <v>154</v>
      </c>
      <c r="C10" s="41">
        <v>11</v>
      </c>
      <c r="D10" s="41">
        <v>13</v>
      </c>
      <c r="E10" s="41">
        <v>22</v>
      </c>
      <c r="F10" s="41">
        <v>35</v>
      </c>
      <c r="H10" s="1" t="s">
        <v>164</v>
      </c>
      <c r="I10" s="43">
        <v>165</v>
      </c>
    </row>
    <row r="11" spans="1:9" ht="14">
      <c r="A11" s="34" t="s">
        <v>165</v>
      </c>
      <c r="B11" s="41">
        <v>150</v>
      </c>
      <c r="C11" s="41">
        <v>15</v>
      </c>
      <c r="D11" s="41">
        <v>14</v>
      </c>
      <c r="E11" s="41">
        <v>27</v>
      </c>
      <c r="F11" s="41">
        <v>42</v>
      </c>
      <c r="H11" s="1" t="s">
        <v>166</v>
      </c>
      <c r="I11" s="43">
        <v>164</v>
      </c>
    </row>
    <row r="12" spans="1:9" ht="14">
      <c r="A12" s="34" t="s">
        <v>167</v>
      </c>
      <c r="B12" s="41">
        <v>206</v>
      </c>
      <c r="C12" s="41">
        <v>2</v>
      </c>
      <c r="D12" s="41">
        <v>16</v>
      </c>
      <c r="E12" s="41">
        <v>33</v>
      </c>
      <c r="F12" s="41">
        <v>53</v>
      </c>
      <c r="H12" s="1" t="s">
        <v>168</v>
      </c>
      <c r="I12" s="43">
        <v>194</v>
      </c>
    </row>
    <row r="13" spans="1:9" ht="14">
      <c r="A13" s="34" t="s">
        <v>169</v>
      </c>
      <c r="B13" s="41">
        <v>220</v>
      </c>
      <c r="C13" s="41">
        <v>7</v>
      </c>
      <c r="D13" s="41">
        <v>14</v>
      </c>
      <c r="E13" s="41">
        <v>31</v>
      </c>
      <c r="F13" s="41">
        <v>49</v>
      </c>
      <c r="H13" s="1" t="s">
        <v>170</v>
      </c>
      <c r="I13" s="43">
        <v>197</v>
      </c>
    </row>
    <row r="14" spans="1:9" ht="14">
      <c r="A14" s="44" t="s">
        <v>148</v>
      </c>
      <c r="B14" s="45">
        <v>192</v>
      </c>
      <c r="C14" s="45">
        <v>7</v>
      </c>
      <c r="D14" s="45">
        <v>15</v>
      </c>
      <c r="E14" s="45">
        <v>30</v>
      </c>
      <c r="F14" s="45">
        <v>47</v>
      </c>
      <c r="H14" s="1" t="s">
        <v>171</v>
      </c>
      <c r="I14" s="43">
        <v>206</v>
      </c>
    </row>
    <row r="15" spans="1:9" ht="14">
      <c r="A15" s="39" t="s">
        <v>113</v>
      </c>
      <c r="B15" s="40"/>
      <c r="C15" s="40"/>
      <c r="D15" s="40"/>
      <c r="E15" s="40"/>
      <c r="F15" s="40"/>
      <c r="H15" s="1" t="s">
        <v>172</v>
      </c>
      <c r="I15" s="43">
        <f>AVERAGE(H1,I9:I14)</f>
        <v>183.5</v>
      </c>
    </row>
    <row r="16" spans="1:9" ht="14">
      <c r="A16" s="34" t="s">
        <v>149</v>
      </c>
      <c r="B16" s="41">
        <v>245</v>
      </c>
      <c r="C16" s="41">
        <v>5</v>
      </c>
      <c r="D16" s="41">
        <v>17</v>
      </c>
      <c r="E16" s="41">
        <v>36</v>
      </c>
      <c r="F16" s="41">
        <v>56</v>
      </c>
      <c r="H16" s="1" t="s">
        <v>173</v>
      </c>
      <c r="I16" s="43">
        <v>138</v>
      </c>
    </row>
    <row r="17" spans="1:9" ht="14">
      <c r="A17" s="34" t="s">
        <v>151</v>
      </c>
      <c r="B17" s="41">
        <v>206</v>
      </c>
      <c r="C17" s="41">
        <v>26</v>
      </c>
      <c r="D17" s="41">
        <v>14</v>
      </c>
      <c r="E17" s="41">
        <v>31</v>
      </c>
      <c r="F17" s="41">
        <v>47</v>
      </c>
      <c r="H17" s="1" t="s">
        <v>174</v>
      </c>
      <c r="I17" s="43">
        <v>91</v>
      </c>
    </row>
    <row r="18" spans="1:9" ht="14">
      <c r="A18" s="34" t="s">
        <v>175</v>
      </c>
      <c r="B18" s="41">
        <v>187</v>
      </c>
      <c r="C18" s="41">
        <v>6</v>
      </c>
      <c r="D18" s="41">
        <v>16</v>
      </c>
      <c r="E18" s="41">
        <v>30</v>
      </c>
      <c r="F18" s="41">
        <v>46</v>
      </c>
      <c r="H18" s="1" t="s">
        <v>176</v>
      </c>
      <c r="I18" s="43">
        <v>171</v>
      </c>
    </row>
    <row r="19" spans="1:9" ht="14">
      <c r="A19" s="34" t="s">
        <v>177</v>
      </c>
      <c r="B19" s="41">
        <v>169</v>
      </c>
      <c r="C19" s="41">
        <v>12</v>
      </c>
      <c r="D19" s="41">
        <v>11</v>
      </c>
      <c r="E19" s="41">
        <v>22</v>
      </c>
      <c r="F19" s="41">
        <v>37</v>
      </c>
      <c r="H19" s="1" t="s">
        <v>178</v>
      </c>
      <c r="I19" s="43">
        <v>180</v>
      </c>
    </row>
    <row r="20" spans="1:9" ht="14">
      <c r="A20" s="34" t="s">
        <v>153</v>
      </c>
      <c r="B20" s="41">
        <v>191</v>
      </c>
      <c r="C20" s="41">
        <v>15</v>
      </c>
      <c r="D20" s="41">
        <v>13</v>
      </c>
      <c r="E20" s="41">
        <v>25</v>
      </c>
      <c r="F20" s="41">
        <v>39</v>
      </c>
      <c r="H20" s="1" t="s">
        <v>179</v>
      </c>
      <c r="I20" s="43">
        <v>205</v>
      </c>
    </row>
    <row r="21" spans="1:9" ht="14">
      <c r="A21" s="34" t="s">
        <v>155</v>
      </c>
      <c r="B21" s="41">
        <v>229</v>
      </c>
      <c r="C21" s="41">
        <v>1</v>
      </c>
      <c r="D21" s="41">
        <v>20</v>
      </c>
      <c r="E21" s="41">
        <v>37</v>
      </c>
      <c r="F21" s="41">
        <v>57</v>
      </c>
      <c r="H21" s="1" t="s">
        <v>180</v>
      </c>
      <c r="I21" s="43">
        <v>201</v>
      </c>
    </row>
    <row r="22" spans="1:9" ht="14">
      <c r="A22" s="34" t="s">
        <v>157</v>
      </c>
      <c r="B22" s="41">
        <v>206</v>
      </c>
      <c r="C22" s="41">
        <v>5</v>
      </c>
      <c r="D22" s="41">
        <v>16</v>
      </c>
      <c r="E22" s="41">
        <v>29</v>
      </c>
      <c r="F22" s="41">
        <v>43</v>
      </c>
      <c r="H22" s="1" t="s">
        <v>181</v>
      </c>
      <c r="I22" s="43">
        <v>227</v>
      </c>
    </row>
    <row r="23" spans="1:9" ht="14">
      <c r="A23" s="34" t="s">
        <v>159</v>
      </c>
      <c r="B23" s="41">
        <v>192</v>
      </c>
      <c r="C23" s="41">
        <v>4</v>
      </c>
      <c r="D23" s="41">
        <v>13</v>
      </c>
      <c r="E23" s="41">
        <v>25</v>
      </c>
      <c r="F23" s="41">
        <v>41</v>
      </c>
      <c r="H23" s="1" t="s">
        <v>182</v>
      </c>
      <c r="I23" s="43">
        <f>AVERAGE(I9:I19,I22)</f>
        <v>174.29166666666666</v>
      </c>
    </row>
    <row r="24" spans="1:9" ht="14">
      <c r="A24" s="34" t="s">
        <v>161</v>
      </c>
      <c r="B24" s="41">
        <v>234</v>
      </c>
      <c r="C24" s="41">
        <v>9</v>
      </c>
      <c r="D24" s="41">
        <v>19</v>
      </c>
      <c r="E24" s="41">
        <v>37</v>
      </c>
      <c r="F24" s="41">
        <v>56</v>
      </c>
      <c r="H24" s="1" t="s">
        <v>183</v>
      </c>
      <c r="I24" s="43">
        <v>214</v>
      </c>
    </row>
    <row r="25" spans="1:9" ht="14">
      <c r="A25" s="34" t="s">
        <v>163</v>
      </c>
      <c r="B25" s="41">
        <v>170</v>
      </c>
      <c r="C25" s="41">
        <v>9</v>
      </c>
      <c r="D25" s="41">
        <v>12</v>
      </c>
      <c r="E25" s="41">
        <v>22</v>
      </c>
      <c r="F25" s="41">
        <v>31</v>
      </c>
      <c r="H25" s="1" t="s">
        <v>184</v>
      </c>
      <c r="I25" s="43">
        <v>194</v>
      </c>
    </row>
    <row r="26" spans="1:9" ht="14">
      <c r="A26" s="34" t="s">
        <v>165</v>
      </c>
      <c r="B26" s="41">
        <v>172</v>
      </c>
      <c r="C26" s="41">
        <v>21</v>
      </c>
      <c r="D26" s="41">
        <v>13</v>
      </c>
      <c r="E26" s="41">
        <v>25</v>
      </c>
      <c r="F26" s="41">
        <v>38</v>
      </c>
      <c r="H26" s="1" t="s">
        <v>185</v>
      </c>
      <c r="I26" s="43">
        <v>185</v>
      </c>
    </row>
    <row r="27" spans="1:9" ht="14">
      <c r="A27" s="34" t="s">
        <v>167</v>
      </c>
      <c r="B27" s="41">
        <v>212</v>
      </c>
      <c r="C27" s="41">
        <v>6</v>
      </c>
      <c r="D27" s="41">
        <v>16</v>
      </c>
      <c r="E27" s="41">
        <v>33</v>
      </c>
      <c r="F27" s="41">
        <v>50</v>
      </c>
      <c r="H27" s="1" t="s">
        <v>186</v>
      </c>
      <c r="I27" s="43">
        <v>173</v>
      </c>
    </row>
    <row r="28" spans="1:9" ht="14">
      <c r="A28" s="34" t="s">
        <v>169</v>
      </c>
      <c r="B28" s="41">
        <v>202</v>
      </c>
      <c r="C28" s="41">
        <v>7</v>
      </c>
      <c r="D28" s="41">
        <v>14</v>
      </c>
      <c r="E28" s="41">
        <v>29</v>
      </c>
      <c r="F28" s="41">
        <v>45</v>
      </c>
      <c r="H28" s="1" t="s">
        <v>187</v>
      </c>
      <c r="I28" s="43">
        <v>189</v>
      </c>
    </row>
    <row r="29" spans="1:9" ht="14">
      <c r="A29" s="44" t="s">
        <v>148</v>
      </c>
      <c r="B29" s="45">
        <v>201</v>
      </c>
      <c r="C29" s="45">
        <v>10</v>
      </c>
      <c r="D29" s="45">
        <v>15</v>
      </c>
      <c r="E29" s="45">
        <v>29</v>
      </c>
      <c r="F29" s="45">
        <v>45</v>
      </c>
      <c r="H29" s="1" t="s">
        <v>184</v>
      </c>
      <c r="I29" s="43">
        <f>AVERAGE(I17,I19,I20,I21,I22,I24:I28)</f>
        <v>185.9</v>
      </c>
    </row>
    <row r="30" spans="1:9" ht="14">
      <c r="A30" s="39" t="s">
        <v>114</v>
      </c>
      <c r="B30" s="40"/>
      <c r="C30" s="40"/>
      <c r="D30" s="40"/>
      <c r="E30" s="40"/>
      <c r="F30" s="40"/>
      <c r="H30" s="1" t="s">
        <v>181</v>
      </c>
      <c r="I30" s="43">
        <v>140</v>
      </c>
    </row>
    <row r="31" spans="1:9" ht="15.75" customHeight="1">
      <c r="A31" s="34" t="s">
        <v>149</v>
      </c>
      <c r="B31" s="41">
        <v>288</v>
      </c>
      <c r="C31" s="41">
        <v>4</v>
      </c>
      <c r="D31" s="41">
        <v>19</v>
      </c>
      <c r="E31" s="41">
        <v>31</v>
      </c>
      <c r="F31" s="41">
        <v>41</v>
      </c>
    </row>
    <row r="32" spans="1:9" ht="15.75" customHeight="1">
      <c r="A32" s="34" t="s">
        <v>151</v>
      </c>
      <c r="B32" s="41">
        <v>190</v>
      </c>
      <c r="C32" s="41">
        <v>19</v>
      </c>
      <c r="D32" s="41">
        <v>14</v>
      </c>
      <c r="E32" s="41">
        <v>25</v>
      </c>
      <c r="F32" s="41">
        <v>39</v>
      </c>
      <c r="H32" s="1" t="s">
        <v>188</v>
      </c>
      <c r="I32" s="1" t="e">
        <f ca="1">AVERAGE(I3:I30)</f>
        <v>#NAME?</v>
      </c>
    </row>
    <row r="33" spans="1:6" ht="15.75" customHeight="1">
      <c r="A33" s="34" t="s">
        <v>175</v>
      </c>
      <c r="B33" s="41">
        <v>174</v>
      </c>
      <c r="C33" s="41">
        <v>5</v>
      </c>
      <c r="D33" s="41">
        <v>17</v>
      </c>
      <c r="E33" s="41">
        <v>28</v>
      </c>
      <c r="F33" s="41">
        <v>36</v>
      </c>
    </row>
    <row r="34" spans="1:6" ht="15.75" customHeight="1">
      <c r="A34" s="34" t="s">
        <v>177</v>
      </c>
      <c r="B34" s="41">
        <v>179</v>
      </c>
      <c r="C34" s="41">
        <v>13</v>
      </c>
      <c r="D34" s="41">
        <v>15</v>
      </c>
      <c r="E34" s="41">
        <v>26</v>
      </c>
      <c r="F34" s="41">
        <v>32</v>
      </c>
    </row>
    <row r="35" spans="1:6" ht="15.75" customHeight="1">
      <c r="A35" s="34" t="s">
        <v>153</v>
      </c>
      <c r="B35" s="41">
        <v>205</v>
      </c>
      <c r="C35" s="41">
        <v>12</v>
      </c>
      <c r="D35" s="41">
        <v>13</v>
      </c>
      <c r="E35" s="41">
        <v>23</v>
      </c>
      <c r="F35" s="41">
        <v>35</v>
      </c>
    </row>
    <row r="36" spans="1:6" ht="15.75" customHeight="1">
      <c r="A36" s="34" t="s">
        <v>155</v>
      </c>
      <c r="B36" s="41">
        <v>225</v>
      </c>
      <c r="C36" s="41">
        <v>2</v>
      </c>
      <c r="D36" s="41">
        <v>16</v>
      </c>
      <c r="E36" s="41">
        <v>31</v>
      </c>
      <c r="F36" s="41">
        <v>35</v>
      </c>
    </row>
    <row r="37" spans="1:6" ht="15.75" customHeight="1">
      <c r="A37" s="34" t="s">
        <v>157</v>
      </c>
      <c r="B37" s="41">
        <v>195</v>
      </c>
      <c r="C37" s="41">
        <v>6</v>
      </c>
      <c r="D37" s="41">
        <v>16</v>
      </c>
      <c r="E37" s="41">
        <v>27</v>
      </c>
      <c r="F37" s="41">
        <v>31</v>
      </c>
    </row>
    <row r="38" spans="1:6" ht="15.75" customHeight="1">
      <c r="A38" s="34" t="s">
        <v>159</v>
      </c>
      <c r="B38" s="41">
        <v>185</v>
      </c>
      <c r="C38" s="41">
        <v>2</v>
      </c>
      <c r="D38" s="41">
        <v>15</v>
      </c>
      <c r="E38" s="41">
        <v>26</v>
      </c>
      <c r="F38" s="41">
        <v>30</v>
      </c>
    </row>
    <row r="39" spans="1:6" ht="15.75" customHeight="1">
      <c r="A39" s="34" t="s">
        <v>161</v>
      </c>
      <c r="B39" s="41">
        <v>237</v>
      </c>
      <c r="C39" s="41">
        <v>12</v>
      </c>
      <c r="D39" s="41">
        <v>15</v>
      </c>
      <c r="E39" s="41">
        <v>26</v>
      </c>
      <c r="F39" s="41">
        <v>35</v>
      </c>
    </row>
    <row r="40" spans="1:6" ht="15.75" customHeight="1">
      <c r="A40" s="34" t="s">
        <v>163</v>
      </c>
      <c r="B40" s="41">
        <v>174</v>
      </c>
      <c r="C40" s="41">
        <v>18</v>
      </c>
      <c r="D40" s="41">
        <v>14</v>
      </c>
      <c r="E40" s="41">
        <v>26</v>
      </c>
      <c r="F40" s="41">
        <v>30</v>
      </c>
    </row>
    <row r="41" spans="1:6" ht="15.75" customHeight="1">
      <c r="A41" s="34" t="s">
        <v>165</v>
      </c>
      <c r="B41" s="41">
        <v>165</v>
      </c>
      <c r="C41" s="41">
        <v>10</v>
      </c>
      <c r="D41" s="41">
        <v>13</v>
      </c>
      <c r="E41" s="41">
        <v>23</v>
      </c>
      <c r="F41" s="41">
        <v>29</v>
      </c>
    </row>
    <row r="42" spans="1:6" ht="15.75" customHeight="1">
      <c r="A42" s="34" t="s">
        <v>167</v>
      </c>
      <c r="B42" s="41">
        <v>209</v>
      </c>
      <c r="C42" s="41">
        <v>2</v>
      </c>
      <c r="D42" s="41">
        <v>16</v>
      </c>
      <c r="E42" s="41">
        <v>28</v>
      </c>
      <c r="F42" s="41">
        <v>40</v>
      </c>
    </row>
    <row r="43" spans="1:6" ht="15.75" customHeight="1">
      <c r="A43" s="34" t="s">
        <v>169</v>
      </c>
      <c r="B43" s="41">
        <v>229</v>
      </c>
      <c r="C43" s="41">
        <v>4</v>
      </c>
      <c r="D43" s="41">
        <v>14</v>
      </c>
      <c r="E43" s="41">
        <v>25</v>
      </c>
      <c r="F43" s="41">
        <v>37</v>
      </c>
    </row>
    <row r="44" spans="1:6" ht="15.75" customHeight="1">
      <c r="A44" s="44" t="s">
        <v>148</v>
      </c>
      <c r="B44" s="45">
        <v>204</v>
      </c>
      <c r="C44" s="45">
        <v>8</v>
      </c>
      <c r="D44" s="45">
        <v>15</v>
      </c>
      <c r="E44" s="45">
        <v>27</v>
      </c>
      <c r="F44" s="45">
        <v>34</v>
      </c>
    </row>
    <row r="45" spans="1:6" ht="15.75" customHeight="1">
      <c r="A45" s="39" t="s">
        <v>116</v>
      </c>
      <c r="B45" s="40"/>
      <c r="C45" s="40"/>
      <c r="D45" s="40"/>
      <c r="E45" s="40"/>
      <c r="F45" s="40"/>
    </row>
    <row r="46" spans="1:6" ht="15.75" customHeight="1">
      <c r="A46" s="34" t="s">
        <v>151</v>
      </c>
      <c r="B46" s="41">
        <v>214</v>
      </c>
      <c r="C46" s="41">
        <v>18</v>
      </c>
      <c r="D46" s="41">
        <v>13</v>
      </c>
      <c r="E46" s="41">
        <v>28</v>
      </c>
      <c r="F46" s="41">
        <v>43</v>
      </c>
    </row>
    <row r="47" spans="1:6" ht="15.75" customHeight="1">
      <c r="A47" s="34" t="s">
        <v>189</v>
      </c>
      <c r="B47" s="41">
        <v>209</v>
      </c>
      <c r="C47" s="41">
        <v>3</v>
      </c>
      <c r="D47" s="41">
        <v>16</v>
      </c>
      <c r="E47" s="41">
        <v>32</v>
      </c>
      <c r="F47" s="41">
        <v>49</v>
      </c>
    </row>
    <row r="48" spans="1:6" ht="15.75" customHeight="1">
      <c r="A48" s="34" t="s">
        <v>175</v>
      </c>
      <c r="B48" s="41">
        <v>174</v>
      </c>
      <c r="C48" s="41">
        <v>2</v>
      </c>
      <c r="D48" s="41">
        <v>13</v>
      </c>
      <c r="E48" s="41">
        <v>26</v>
      </c>
      <c r="F48" s="41">
        <v>41</v>
      </c>
    </row>
    <row r="49" spans="1:6" ht="15.75" customHeight="1">
      <c r="A49" s="34" t="s">
        <v>177</v>
      </c>
      <c r="B49" s="41">
        <v>175</v>
      </c>
      <c r="C49" s="41">
        <v>13</v>
      </c>
      <c r="D49" s="41">
        <v>13</v>
      </c>
      <c r="E49" s="41">
        <v>23</v>
      </c>
      <c r="F49" s="41">
        <v>37</v>
      </c>
    </row>
    <row r="50" spans="1:6" ht="15.75" customHeight="1">
      <c r="A50" s="34" t="s">
        <v>153</v>
      </c>
      <c r="B50" s="41">
        <v>216</v>
      </c>
      <c r="C50" s="41">
        <v>7</v>
      </c>
      <c r="D50" s="41">
        <v>12</v>
      </c>
      <c r="E50" s="41">
        <v>27</v>
      </c>
      <c r="F50" s="41">
        <v>37</v>
      </c>
    </row>
    <row r="51" spans="1:6" ht="13">
      <c r="A51" s="34" t="s">
        <v>155</v>
      </c>
      <c r="B51" s="41">
        <v>216</v>
      </c>
      <c r="C51" s="41">
        <v>3</v>
      </c>
      <c r="D51" s="41">
        <v>14</v>
      </c>
      <c r="E51" s="41">
        <v>30</v>
      </c>
      <c r="F51" s="41">
        <v>48</v>
      </c>
    </row>
    <row r="52" spans="1:6" ht="13">
      <c r="A52" s="34" t="s">
        <v>157</v>
      </c>
      <c r="B52" s="41">
        <v>212</v>
      </c>
      <c r="C52" s="41">
        <v>6</v>
      </c>
      <c r="D52" s="41">
        <v>15</v>
      </c>
      <c r="E52" s="41">
        <v>29</v>
      </c>
      <c r="F52" s="41">
        <v>43</v>
      </c>
    </row>
    <row r="53" spans="1:6" ht="13">
      <c r="A53" s="34" t="s">
        <v>159</v>
      </c>
      <c r="B53" s="41">
        <v>218</v>
      </c>
      <c r="C53" s="41">
        <v>2</v>
      </c>
      <c r="D53" s="41">
        <v>12</v>
      </c>
      <c r="E53" s="41">
        <v>23</v>
      </c>
      <c r="F53" s="41">
        <v>37</v>
      </c>
    </row>
    <row r="54" spans="1:6" ht="13">
      <c r="A54" s="34" t="s">
        <v>161</v>
      </c>
      <c r="B54" s="41">
        <v>199</v>
      </c>
      <c r="C54" s="41">
        <v>8</v>
      </c>
      <c r="D54" s="41">
        <v>13</v>
      </c>
      <c r="E54" s="41">
        <v>28</v>
      </c>
      <c r="F54" s="41">
        <v>42</v>
      </c>
    </row>
    <row r="55" spans="1:6" ht="13">
      <c r="A55" s="34" t="s">
        <v>163</v>
      </c>
      <c r="B55" s="41">
        <v>180</v>
      </c>
      <c r="C55" s="41">
        <v>13</v>
      </c>
      <c r="D55" s="41">
        <v>13</v>
      </c>
      <c r="E55" s="41">
        <v>22</v>
      </c>
      <c r="F55" s="41">
        <v>31</v>
      </c>
    </row>
    <row r="56" spans="1:6" ht="13">
      <c r="A56" s="34" t="s">
        <v>165</v>
      </c>
      <c r="B56" s="41">
        <v>171</v>
      </c>
      <c r="C56" s="41">
        <v>26</v>
      </c>
      <c r="D56" s="41">
        <v>12</v>
      </c>
      <c r="E56" s="41">
        <v>24</v>
      </c>
      <c r="F56" s="41">
        <v>37</v>
      </c>
    </row>
    <row r="57" spans="1:6" ht="13">
      <c r="A57" s="34" t="s">
        <v>167</v>
      </c>
      <c r="B57" s="41">
        <v>196</v>
      </c>
      <c r="C57" s="41">
        <v>1</v>
      </c>
      <c r="D57" s="41">
        <v>14</v>
      </c>
      <c r="E57" s="41">
        <v>30</v>
      </c>
      <c r="F57" s="41">
        <v>45</v>
      </c>
    </row>
    <row r="58" spans="1:6" ht="13">
      <c r="A58" s="34" t="s">
        <v>169</v>
      </c>
      <c r="B58" s="41">
        <v>200</v>
      </c>
      <c r="C58" s="41">
        <v>2</v>
      </c>
      <c r="D58" s="41">
        <v>13</v>
      </c>
      <c r="E58" s="41">
        <v>28</v>
      </c>
      <c r="F58" s="41">
        <v>43</v>
      </c>
    </row>
    <row r="59" spans="1:6" ht="13">
      <c r="A59" s="44" t="s">
        <v>148</v>
      </c>
      <c r="B59" s="45">
        <v>198</v>
      </c>
      <c r="C59" s="45">
        <v>8</v>
      </c>
      <c r="D59" s="45">
        <v>13</v>
      </c>
      <c r="E59" s="45">
        <v>27</v>
      </c>
      <c r="F59" s="45">
        <v>41</v>
      </c>
    </row>
    <row r="60" spans="1:6" ht="13">
      <c r="A60" s="39" t="s">
        <v>117</v>
      </c>
      <c r="B60" s="40"/>
      <c r="C60" s="40"/>
      <c r="D60" s="40"/>
      <c r="E60" s="40"/>
      <c r="F60" s="40"/>
    </row>
    <row r="61" spans="1:6" ht="13">
      <c r="A61" s="34" t="s">
        <v>151</v>
      </c>
      <c r="B61" s="41">
        <v>187</v>
      </c>
      <c r="C61" s="41">
        <v>18</v>
      </c>
      <c r="D61" s="41">
        <v>15</v>
      </c>
      <c r="E61" s="41">
        <v>32</v>
      </c>
      <c r="F61" s="41">
        <v>46</v>
      </c>
    </row>
    <row r="62" spans="1:6" ht="13">
      <c r="A62" s="34" t="s">
        <v>175</v>
      </c>
      <c r="B62" s="41">
        <v>153</v>
      </c>
      <c r="C62" s="41">
        <v>3</v>
      </c>
      <c r="D62" s="41">
        <v>14</v>
      </c>
      <c r="E62" s="41">
        <v>31</v>
      </c>
      <c r="F62" s="41">
        <v>47</v>
      </c>
    </row>
    <row r="63" spans="1:6" ht="13">
      <c r="A63" s="34" t="s">
        <v>177</v>
      </c>
      <c r="B63" s="41">
        <v>188</v>
      </c>
      <c r="C63" s="41">
        <v>18</v>
      </c>
      <c r="D63" s="41">
        <v>16</v>
      </c>
      <c r="E63" s="41">
        <v>32</v>
      </c>
      <c r="F63" s="41">
        <v>50</v>
      </c>
    </row>
    <row r="64" spans="1:6" ht="13">
      <c r="A64" s="34" t="s">
        <v>153</v>
      </c>
      <c r="B64" s="41">
        <v>194</v>
      </c>
      <c r="C64" s="41">
        <v>3</v>
      </c>
      <c r="D64" s="41">
        <v>13</v>
      </c>
      <c r="E64" s="41">
        <v>28</v>
      </c>
      <c r="F64" s="41">
        <v>43</v>
      </c>
    </row>
    <row r="65" spans="1:6" ht="13">
      <c r="A65" s="34" t="s">
        <v>155</v>
      </c>
      <c r="B65" s="41">
        <v>182</v>
      </c>
      <c r="C65" s="41">
        <v>3</v>
      </c>
      <c r="D65" s="41">
        <v>17</v>
      </c>
      <c r="E65" s="41">
        <v>34</v>
      </c>
      <c r="F65" s="41">
        <v>52</v>
      </c>
    </row>
    <row r="66" spans="1:6" ht="13">
      <c r="A66" s="34" t="s">
        <v>157</v>
      </c>
      <c r="B66" s="41">
        <v>184</v>
      </c>
      <c r="C66" s="41">
        <v>6</v>
      </c>
      <c r="D66" s="41">
        <v>14</v>
      </c>
      <c r="E66" s="41">
        <v>27</v>
      </c>
      <c r="F66" s="41">
        <v>44</v>
      </c>
    </row>
    <row r="67" spans="1:6" ht="13">
      <c r="A67" s="34" t="s">
        <v>159</v>
      </c>
      <c r="B67" s="41">
        <v>188</v>
      </c>
      <c r="C67" s="41">
        <v>1</v>
      </c>
      <c r="D67" s="41">
        <v>13</v>
      </c>
      <c r="E67" s="41">
        <v>28</v>
      </c>
      <c r="F67" s="41">
        <v>41</v>
      </c>
    </row>
    <row r="68" spans="1:6" ht="13">
      <c r="A68" s="34" t="s">
        <v>161</v>
      </c>
      <c r="B68" s="41">
        <v>181</v>
      </c>
      <c r="C68" s="41">
        <v>7</v>
      </c>
      <c r="D68" s="41">
        <v>14</v>
      </c>
      <c r="E68" s="41">
        <v>30</v>
      </c>
      <c r="F68" s="41">
        <v>46</v>
      </c>
    </row>
    <row r="69" spans="1:6" ht="13">
      <c r="A69" s="34" t="s">
        <v>163</v>
      </c>
      <c r="B69" s="41">
        <v>142</v>
      </c>
      <c r="C69" s="41">
        <v>12</v>
      </c>
      <c r="D69" s="41">
        <v>10</v>
      </c>
      <c r="E69" s="41">
        <v>19</v>
      </c>
      <c r="F69" s="41">
        <v>24</v>
      </c>
    </row>
    <row r="70" spans="1:6" ht="13">
      <c r="A70" s="34" t="s">
        <v>165</v>
      </c>
      <c r="B70" s="41">
        <v>151</v>
      </c>
      <c r="C70" s="41">
        <v>16</v>
      </c>
      <c r="D70" s="41">
        <v>12</v>
      </c>
      <c r="E70" s="41">
        <v>25</v>
      </c>
      <c r="F70" s="41">
        <v>38</v>
      </c>
    </row>
    <row r="71" spans="1:6" ht="13">
      <c r="A71" s="34" t="s">
        <v>167</v>
      </c>
      <c r="B71" s="41">
        <v>186</v>
      </c>
      <c r="C71" s="41">
        <v>3</v>
      </c>
      <c r="D71" s="41">
        <v>15</v>
      </c>
      <c r="E71" s="41">
        <v>34</v>
      </c>
      <c r="F71" s="41">
        <v>51</v>
      </c>
    </row>
    <row r="72" spans="1:6" ht="13">
      <c r="A72" s="34" t="s">
        <v>169</v>
      </c>
      <c r="B72" s="41">
        <v>198</v>
      </c>
      <c r="C72" s="41">
        <v>4</v>
      </c>
      <c r="D72" s="41">
        <v>14</v>
      </c>
      <c r="E72" s="41">
        <v>32</v>
      </c>
      <c r="F72" s="41">
        <v>49</v>
      </c>
    </row>
    <row r="73" spans="1:6" ht="13">
      <c r="A73" s="44" t="s">
        <v>148</v>
      </c>
      <c r="B73" s="45">
        <v>178</v>
      </c>
      <c r="C73" s="45">
        <v>8</v>
      </c>
      <c r="D73" s="45">
        <v>14</v>
      </c>
      <c r="E73" s="45">
        <v>29</v>
      </c>
      <c r="F73" s="45">
        <v>44</v>
      </c>
    </row>
    <row r="74" spans="1:6" ht="13">
      <c r="A74" s="39" t="s">
        <v>118</v>
      </c>
      <c r="B74" s="40"/>
      <c r="C74" s="40"/>
      <c r="D74" s="40"/>
      <c r="E74" s="40"/>
      <c r="F74" s="40"/>
    </row>
    <row r="75" spans="1:6" ht="13">
      <c r="A75" s="34" t="s">
        <v>149</v>
      </c>
      <c r="B75" s="41">
        <v>261</v>
      </c>
      <c r="C75" s="41">
        <v>3</v>
      </c>
      <c r="D75" s="41">
        <v>17</v>
      </c>
      <c r="E75" s="41">
        <v>35</v>
      </c>
      <c r="F75" s="41">
        <v>58</v>
      </c>
    </row>
    <row r="76" spans="1:6" ht="13">
      <c r="A76" s="34" t="s">
        <v>151</v>
      </c>
      <c r="B76" s="41">
        <v>217</v>
      </c>
      <c r="C76" s="41">
        <v>17</v>
      </c>
      <c r="D76" s="41">
        <v>14</v>
      </c>
      <c r="E76" s="41">
        <v>28</v>
      </c>
      <c r="F76" s="41">
        <v>43</v>
      </c>
    </row>
    <row r="77" spans="1:6" ht="13">
      <c r="A77" s="34" t="s">
        <v>189</v>
      </c>
      <c r="B77" s="41">
        <v>261</v>
      </c>
      <c r="C77" s="41">
        <v>9</v>
      </c>
      <c r="D77" s="41">
        <v>17</v>
      </c>
      <c r="E77" s="41">
        <v>35</v>
      </c>
      <c r="F77" s="41">
        <v>56</v>
      </c>
    </row>
    <row r="78" spans="1:6" ht="13">
      <c r="A78" s="34" t="s">
        <v>175</v>
      </c>
      <c r="B78" s="41">
        <v>212</v>
      </c>
      <c r="C78" s="41">
        <v>6</v>
      </c>
      <c r="D78" s="41">
        <v>14</v>
      </c>
      <c r="E78" s="41">
        <v>31</v>
      </c>
      <c r="F78" s="41">
        <v>49</v>
      </c>
    </row>
    <row r="79" spans="1:6" ht="13">
      <c r="A79" s="34" t="s">
        <v>153</v>
      </c>
      <c r="B79" s="41">
        <v>235</v>
      </c>
      <c r="C79" s="41">
        <v>11</v>
      </c>
      <c r="D79" s="41">
        <v>13</v>
      </c>
      <c r="E79" s="41">
        <v>30</v>
      </c>
      <c r="F79" s="41">
        <v>41</v>
      </c>
    </row>
    <row r="80" spans="1:6" ht="13">
      <c r="A80" s="34" t="s">
        <v>155</v>
      </c>
      <c r="B80" s="41">
        <v>224</v>
      </c>
      <c r="C80" s="41">
        <v>3</v>
      </c>
      <c r="D80" s="41">
        <v>18</v>
      </c>
      <c r="E80" s="41">
        <v>34</v>
      </c>
      <c r="F80" s="41">
        <v>55</v>
      </c>
    </row>
    <row r="81" spans="1:6" ht="13">
      <c r="A81" s="34" t="s">
        <v>157</v>
      </c>
      <c r="B81" s="41">
        <v>209</v>
      </c>
      <c r="C81" s="41">
        <v>3</v>
      </c>
      <c r="D81" s="41">
        <v>16</v>
      </c>
      <c r="E81" s="41">
        <v>30</v>
      </c>
      <c r="F81" s="41">
        <v>44</v>
      </c>
    </row>
    <row r="82" spans="1:6" ht="13">
      <c r="A82" s="34" t="s">
        <v>159</v>
      </c>
      <c r="B82" s="41">
        <v>213</v>
      </c>
      <c r="C82" s="41">
        <v>5</v>
      </c>
      <c r="D82" s="41">
        <v>14</v>
      </c>
      <c r="E82" s="41">
        <v>26</v>
      </c>
      <c r="F82" s="41">
        <v>42</v>
      </c>
    </row>
    <row r="83" spans="1:6" ht="13">
      <c r="A83" s="34" t="s">
        <v>163</v>
      </c>
      <c r="B83" s="41">
        <v>184</v>
      </c>
      <c r="C83" s="41">
        <v>12</v>
      </c>
      <c r="D83" s="41">
        <v>16</v>
      </c>
      <c r="E83" s="41">
        <v>26</v>
      </c>
      <c r="F83" s="41">
        <v>35</v>
      </c>
    </row>
    <row r="84" spans="1:6" ht="13">
      <c r="A84" s="34" t="s">
        <v>165</v>
      </c>
      <c r="B84" s="41">
        <v>174</v>
      </c>
      <c r="C84" s="41">
        <v>12</v>
      </c>
      <c r="D84" s="41">
        <v>13</v>
      </c>
      <c r="E84" s="41">
        <v>26</v>
      </c>
      <c r="F84" s="41">
        <v>40</v>
      </c>
    </row>
    <row r="85" spans="1:6" ht="13">
      <c r="A85" s="34" t="s">
        <v>167</v>
      </c>
      <c r="B85" s="41">
        <v>233</v>
      </c>
      <c r="C85" s="41">
        <v>2</v>
      </c>
      <c r="D85" s="41">
        <v>15</v>
      </c>
      <c r="E85" s="41">
        <v>32</v>
      </c>
      <c r="F85" s="41">
        <v>52</v>
      </c>
    </row>
    <row r="86" spans="1:6" ht="13">
      <c r="A86" s="34" t="s">
        <v>169</v>
      </c>
      <c r="B86" s="41">
        <v>229</v>
      </c>
      <c r="C86" s="41">
        <v>7</v>
      </c>
      <c r="D86" s="41">
        <v>13</v>
      </c>
      <c r="E86" s="41">
        <v>31</v>
      </c>
      <c r="F86" s="41">
        <v>49</v>
      </c>
    </row>
    <row r="87" spans="1:6" ht="13">
      <c r="A87" s="44" t="s">
        <v>148</v>
      </c>
      <c r="B87" s="45">
        <v>221</v>
      </c>
      <c r="C87" s="45">
        <v>8</v>
      </c>
      <c r="D87" s="45">
        <v>15</v>
      </c>
      <c r="E87" s="45">
        <v>30</v>
      </c>
      <c r="F87" s="45">
        <v>47</v>
      </c>
    </row>
    <row r="88" spans="1:6" ht="13">
      <c r="A88" s="39" t="s">
        <v>119</v>
      </c>
      <c r="B88" s="40"/>
      <c r="C88" s="40"/>
      <c r="D88" s="40"/>
      <c r="E88" s="40"/>
      <c r="F88" s="40"/>
    </row>
    <row r="89" spans="1:6" ht="13">
      <c r="A89" s="34" t="s">
        <v>149</v>
      </c>
      <c r="B89" s="41">
        <v>192</v>
      </c>
      <c r="C89" s="41">
        <v>3</v>
      </c>
      <c r="D89" s="41">
        <v>14</v>
      </c>
      <c r="E89" s="41">
        <v>33</v>
      </c>
      <c r="F89" s="41">
        <v>47</v>
      </c>
    </row>
    <row r="90" spans="1:6" ht="13">
      <c r="A90" s="34" t="s">
        <v>151</v>
      </c>
      <c r="B90" s="41">
        <v>195</v>
      </c>
      <c r="C90" s="41">
        <v>12</v>
      </c>
      <c r="D90" s="41">
        <v>13</v>
      </c>
      <c r="E90" s="41">
        <v>28</v>
      </c>
      <c r="F90" s="41">
        <v>42</v>
      </c>
    </row>
    <row r="91" spans="1:6" ht="13">
      <c r="A91" s="34" t="s">
        <v>189</v>
      </c>
      <c r="B91" s="41">
        <v>184</v>
      </c>
      <c r="C91" s="41">
        <v>4</v>
      </c>
      <c r="D91" s="41">
        <v>15</v>
      </c>
      <c r="E91" s="41">
        <v>33</v>
      </c>
      <c r="F91" s="41">
        <v>45</v>
      </c>
    </row>
    <row r="92" spans="1:6" ht="13">
      <c r="A92" s="34" t="s">
        <v>175</v>
      </c>
      <c r="B92" s="41">
        <v>154</v>
      </c>
      <c r="C92" s="41">
        <v>0</v>
      </c>
      <c r="D92" s="41">
        <v>12</v>
      </c>
      <c r="E92" s="41">
        <v>28</v>
      </c>
      <c r="F92" s="41">
        <v>40</v>
      </c>
    </row>
    <row r="93" spans="1:6" ht="13">
      <c r="A93" s="34" t="s">
        <v>153</v>
      </c>
      <c r="B93" s="41">
        <v>181</v>
      </c>
      <c r="C93" s="41">
        <v>7</v>
      </c>
      <c r="D93" s="41">
        <v>14</v>
      </c>
      <c r="E93" s="41">
        <v>30</v>
      </c>
      <c r="F93" s="41">
        <v>40</v>
      </c>
    </row>
    <row r="94" spans="1:6" ht="13">
      <c r="A94" s="34" t="s">
        <v>155</v>
      </c>
      <c r="B94" s="41">
        <v>189</v>
      </c>
      <c r="C94" s="41">
        <v>0</v>
      </c>
      <c r="D94" s="41">
        <v>17</v>
      </c>
      <c r="E94" s="41">
        <v>28</v>
      </c>
      <c r="F94" s="41">
        <v>42</v>
      </c>
    </row>
    <row r="95" spans="1:6" ht="13">
      <c r="A95" s="34" t="s">
        <v>157</v>
      </c>
      <c r="B95" s="41">
        <v>170</v>
      </c>
      <c r="C95" s="41">
        <v>7</v>
      </c>
      <c r="D95" s="41">
        <v>13</v>
      </c>
      <c r="E95" s="41">
        <v>25</v>
      </c>
      <c r="F95" s="41">
        <v>36</v>
      </c>
    </row>
    <row r="96" spans="1:6" ht="13">
      <c r="A96" s="34" t="s">
        <v>159</v>
      </c>
      <c r="B96" s="41">
        <v>182</v>
      </c>
      <c r="C96" s="41">
        <v>2</v>
      </c>
      <c r="D96" s="41">
        <v>12</v>
      </c>
      <c r="E96" s="41">
        <v>24</v>
      </c>
      <c r="F96" s="41">
        <v>36</v>
      </c>
    </row>
    <row r="97" spans="1:6" ht="13">
      <c r="A97" s="34" t="s">
        <v>161</v>
      </c>
      <c r="B97" s="41">
        <v>187</v>
      </c>
      <c r="C97" s="41">
        <v>2</v>
      </c>
      <c r="D97" s="41">
        <v>17</v>
      </c>
      <c r="E97" s="41">
        <v>34</v>
      </c>
      <c r="F97" s="41">
        <v>47</v>
      </c>
    </row>
    <row r="98" spans="1:6" ht="13">
      <c r="A98" s="34" t="s">
        <v>163</v>
      </c>
      <c r="B98" s="41">
        <v>141</v>
      </c>
      <c r="C98" s="41">
        <v>10</v>
      </c>
      <c r="D98" s="41">
        <v>12</v>
      </c>
      <c r="E98" s="41">
        <v>18</v>
      </c>
      <c r="F98" s="41">
        <v>26</v>
      </c>
    </row>
    <row r="99" spans="1:6" ht="13">
      <c r="A99" s="34" t="s">
        <v>165</v>
      </c>
      <c r="B99" s="41">
        <v>141</v>
      </c>
      <c r="C99" s="41">
        <v>11</v>
      </c>
      <c r="D99" s="41">
        <v>11</v>
      </c>
      <c r="E99" s="41">
        <v>24</v>
      </c>
      <c r="F99" s="41">
        <v>36</v>
      </c>
    </row>
    <row r="100" spans="1:6" ht="13">
      <c r="A100" s="34" t="s">
        <v>167</v>
      </c>
      <c r="B100" s="41">
        <v>184</v>
      </c>
      <c r="C100" s="41">
        <v>2</v>
      </c>
      <c r="D100" s="41">
        <v>13</v>
      </c>
      <c r="E100" s="41">
        <v>29</v>
      </c>
      <c r="F100" s="41">
        <v>43</v>
      </c>
    </row>
    <row r="101" spans="1:6" ht="13">
      <c r="A101" s="34" t="s">
        <v>169</v>
      </c>
      <c r="B101" s="41">
        <v>175</v>
      </c>
      <c r="C101" s="41">
        <v>0</v>
      </c>
      <c r="D101" s="41">
        <v>11</v>
      </c>
      <c r="E101" s="41">
        <v>27</v>
      </c>
      <c r="F101" s="41">
        <v>38</v>
      </c>
    </row>
    <row r="102" spans="1:6" ht="13">
      <c r="A102" s="44" t="s">
        <v>148</v>
      </c>
      <c r="B102" s="45">
        <v>175</v>
      </c>
      <c r="C102" s="45">
        <v>5</v>
      </c>
      <c r="D102" s="45">
        <v>14</v>
      </c>
      <c r="E102" s="45">
        <v>28</v>
      </c>
      <c r="F102" s="45">
        <v>40</v>
      </c>
    </row>
    <row r="103" spans="1:6" ht="13">
      <c r="A103" s="39" t="s">
        <v>120</v>
      </c>
      <c r="B103" s="40"/>
      <c r="C103" s="40"/>
      <c r="D103" s="40"/>
      <c r="E103" s="40"/>
      <c r="F103" s="40"/>
    </row>
    <row r="104" spans="1:6" ht="13">
      <c r="A104" s="34" t="s">
        <v>149</v>
      </c>
      <c r="B104" s="41">
        <v>204</v>
      </c>
      <c r="C104" s="41">
        <v>0</v>
      </c>
      <c r="D104" s="41">
        <v>15</v>
      </c>
      <c r="E104" s="41">
        <v>35</v>
      </c>
      <c r="F104" s="41">
        <v>56</v>
      </c>
    </row>
    <row r="105" spans="1:6" ht="13">
      <c r="A105" s="34" t="s">
        <v>151</v>
      </c>
      <c r="B105" s="41">
        <v>172</v>
      </c>
      <c r="C105" s="41">
        <v>14</v>
      </c>
      <c r="D105" s="41">
        <v>13</v>
      </c>
      <c r="E105" s="41">
        <v>29</v>
      </c>
      <c r="F105" s="41">
        <v>43</v>
      </c>
    </row>
    <row r="106" spans="1:6" ht="13">
      <c r="A106" s="34" t="s">
        <v>189</v>
      </c>
      <c r="B106" s="41">
        <v>164</v>
      </c>
      <c r="C106" s="41">
        <v>6</v>
      </c>
      <c r="D106" s="41">
        <v>13</v>
      </c>
      <c r="E106" s="41">
        <v>27</v>
      </c>
      <c r="F106" s="41">
        <v>43</v>
      </c>
    </row>
    <row r="107" spans="1:6" ht="13">
      <c r="A107" s="34" t="s">
        <v>175</v>
      </c>
      <c r="B107" s="41">
        <v>154</v>
      </c>
      <c r="C107" s="41">
        <v>1</v>
      </c>
      <c r="D107" s="41">
        <v>14</v>
      </c>
      <c r="E107" s="41">
        <v>28</v>
      </c>
      <c r="F107" s="41">
        <v>45</v>
      </c>
    </row>
    <row r="108" spans="1:6" ht="13">
      <c r="A108" s="34" t="s">
        <v>177</v>
      </c>
      <c r="B108" s="41">
        <v>132</v>
      </c>
      <c r="C108" s="41">
        <v>20</v>
      </c>
      <c r="D108" s="41">
        <v>13</v>
      </c>
      <c r="E108" s="41">
        <v>25</v>
      </c>
      <c r="F108" s="41">
        <v>39</v>
      </c>
    </row>
    <row r="109" spans="1:6" ht="13">
      <c r="A109" s="34" t="s">
        <v>153</v>
      </c>
      <c r="B109" s="41">
        <v>159</v>
      </c>
      <c r="C109" s="41">
        <v>4</v>
      </c>
      <c r="D109" s="41">
        <v>11</v>
      </c>
      <c r="E109" s="41">
        <v>23</v>
      </c>
      <c r="F109" s="41">
        <v>36</v>
      </c>
    </row>
    <row r="110" spans="1:6" ht="13">
      <c r="A110" s="34" t="s">
        <v>155</v>
      </c>
      <c r="B110" s="41">
        <v>186</v>
      </c>
      <c r="C110" s="41">
        <v>3</v>
      </c>
      <c r="D110" s="41">
        <v>15</v>
      </c>
      <c r="E110" s="41">
        <v>31</v>
      </c>
      <c r="F110" s="41">
        <v>48</v>
      </c>
    </row>
    <row r="111" spans="1:6" ht="13">
      <c r="A111" s="34" t="s">
        <v>157</v>
      </c>
      <c r="B111" s="41">
        <v>165</v>
      </c>
      <c r="C111" s="41">
        <v>5</v>
      </c>
      <c r="D111" s="41">
        <v>11</v>
      </c>
      <c r="E111" s="41">
        <v>24</v>
      </c>
      <c r="F111" s="41">
        <v>37</v>
      </c>
    </row>
    <row r="112" spans="1:6" ht="13">
      <c r="A112" s="34" t="s">
        <v>159</v>
      </c>
      <c r="B112" s="41">
        <v>177</v>
      </c>
      <c r="C112" s="41">
        <v>4</v>
      </c>
      <c r="D112" s="41">
        <v>12</v>
      </c>
      <c r="E112" s="41">
        <v>27</v>
      </c>
      <c r="F112" s="41">
        <v>40</v>
      </c>
    </row>
    <row r="113" spans="1:6" ht="13">
      <c r="A113" s="34" t="s">
        <v>161</v>
      </c>
      <c r="B113" s="41">
        <v>163</v>
      </c>
      <c r="C113" s="41">
        <v>7</v>
      </c>
      <c r="D113" s="41">
        <v>14</v>
      </c>
      <c r="E113" s="41">
        <v>30</v>
      </c>
      <c r="F113" s="41">
        <v>46</v>
      </c>
    </row>
    <row r="114" spans="1:6" ht="13">
      <c r="A114" s="34" t="s">
        <v>163</v>
      </c>
      <c r="B114" s="41">
        <v>138</v>
      </c>
      <c r="C114" s="41">
        <v>10</v>
      </c>
      <c r="D114" s="41">
        <v>11</v>
      </c>
      <c r="E114" s="41">
        <v>19</v>
      </c>
      <c r="F114" s="41">
        <v>29</v>
      </c>
    </row>
    <row r="115" spans="1:6" ht="13">
      <c r="A115" s="34" t="s">
        <v>165</v>
      </c>
      <c r="B115" s="41">
        <v>129</v>
      </c>
      <c r="C115" s="41">
        <v>13</v>
      </c>
      <c r="D115" s="41">
        <v>12</v>
      </c>
      <c r="E115" s="41">
        <v>25</v>
      </c>
      <c r="F115" s="41">
        <v>38</v>
      </c>
    </row>
    <row r="116" spans="1:6" ht="13">
      <c r="A116" s="34" t="s">
        <v>167</v>
      </c>
      <c r="B116" s="41">
        <v>200</v>
      </c>
      <c r="C116" s="41">
        <v>3</v>
      </c>
      <c r="D116" s="41">
        <v>15</v>
      </c>
      <c r="E116" s="41">
        <v>32</v>
      </c>
      <c r="F116" s="41">
        <v>51</v>
      </c>
    </row>
    <row r="117" spans="1:6" ht="13">
      <c r="A117" s="34" t="s">
        <v>169</v>
      </c>
      <c r="B117" s="41">
        <v>175</v>
      </c>
      <c r="C117" s="41">
        <v>3</v>
      </c>
      <c r="D117" s="41">
        <v>13</v>
      </c>
      <c r="E117" s="41">
        <v>27</v>
      </c>
      <c r="F117" s="41">
        <v>44</v>
      </c>
    </row>
    <row r="118" spans="1:6" ht="13">
      <c r="A118" s="44" t="s">
        <v>148</v>
      </c>
      <c r="B118" s="45">
        <v>165</v>
      </c>
      <c r="C118" s="45">
        <v>7</v>
      </c>
      <c r="D118" s="45">
        <v>13</v>
      </c>
      <c r="E118" s="45">
        <v>27</v>
      </c>
      <c r="F118" s="45">
        <v>43</v>
      </c>
    </row>
    <row r="119" spans="1:6" ht="13">
      <c r="A119" s="39" t="s">
        <v>121</v>
      </c>
      <c r="B119" s="40"/>
      <c r="C119" s="40"/>
      <c r="D119" s="40"/>
      <c r="E119" s="40"/>
      <c r="F119" s="40"/>
    </row>
    <row r="120" spans="1:6" ht="13">
      <c r="A120" s="34" t="s">
        <v>149</v>
      </c>
      <c r="B120" s="41">
        <v>191</v>
      </c>
      <c r="C120" s="41">
        <v>3</v>
      </c>
      <c r="D120" s="41">
        <v>15</v>
      </c>
      <c r="E120" s="41">
        <v>34</v>
      </c>
      <c r="F120" s="41">
        <v>55</v>
      </c>
    </row>
    <row r="121" spans="1:6" ht="13">
      <c r="A121" s="34" t="s">
        <v>151</v>
      </c>
      <c r="B121" s="41">
        <v>170</v>
      </c>
      <c r="C121" s="41">
        <v>9</v>
      </c>
      <c r="D121" s="41">
        <v>13</v>
      </c>
      <c r="E121" s="41">
        <v>27</v>
      </c>
      <c r="F121" s="41">
        <v>42</v>
      </c>
    </row>
    <row r="122" spans="1:6" ht="13">
      <c r="A122" s="34" t="s">
        <v>189</v>
      </c>
      <c r="B122" s="41">
        <v>178</v>
      </c>
      <c r="C122" s="41">
        <v>3</v>
      </c>
      <c r="D122" s="41">
        <v>14</v>
      </c>
      <c r="E122" s="41">
        <v>33</v>
      </c>
      <c r="F122" s="41">
        <v>52</v>
      </c>
    </row>
    <row r="123" spans="1:6" ht="13">
      <c r="A123" s="34" t="s">
        <v>175</v>
      </c>
      <c r="B123" s="41">
        <v>146</v>
      </c>
      <c r="C123" s="41">
        <v>1</v>
      </c>
      <c r="D123" s="41">
        <v>13</v>
      </c>
      <c r="E123" s="41">
        <v>27</v>
      </c>
      <c r="F123" s="41">
        <v>45</v>
      </c>
    </row>
    <row r="124" spans="1:6" ht="13">
      <c r="A124" s="34" t="s">
        <v>177</v>
      </c>
      <c r="B124" s="41">
        <v>154</v>
      </c>
      <c r="C124" s="41">
        <v>9</v>
      </c>
      <c r="D124" s="41">
        <v>13</v>
      </c>
      <c r="E124" s="41">
        <v>26</v>
      </c>
      <c r="F124" s="41">
        <v>42</v>
      </c>
    </row>
    <row r="125" spans="1:6" ht="13">
      <c r="A125" s="34" t="s">
        <v>153</v>
      </c>
      <c r="B125" s="41">
        <v>147</v>
      </c>
      <c r="C125" s="41">
        <v>7</v>
      </c>
      <c r="D125" s="41">
        <v>11</v>
      </c>
      <c r="E125" s="41">
        <v>23</v>
      </c>
      <c r="F125" s="41">
        <v>37</v>
      </c>
    </row>
    <row r="126" spans="1:6" ht="13">
      <c r="A126" s="34" t="s">
        <v>155</v>
      </c>
      <c r="B126" s="41">
        <v>176</v>
      </c>
      <c r="C126" s="41">
        <v>1</v>
      </c>
      <c r="D126" s="41">
        <v>14</v>
      </c>
      <c r="E126" s="41">
        <v>28</v>
      </c>
      <c r="F126" s="41">
        <v>47</v>
      </c>
    </row>
    <row r="127" spans="1:6" ht="13">
      <c r="A127" s="34" t="s">
        <v>157</v>
      </c>
      <c r="B127" s="41">
        <v>166</v>
      </c>
      <c r="C127" s="41">
        <v>5</v>
      </c>
      <c r="D127" s="41">
        <v>14</v>
      </c>
      <c r="E127" s="41">
        <v>26</v>
      </c>
      <c r="F127" s="41">
        <v>41</v>
      </c>
    </row>
    <row r="128" spans="1:6" ht="13">
      <c r="A128" s="34" t="s">
        <v>159</v>
      </c>
      <c r="B128" s="41">
        <v>160</v>
      </c>
      <c r="C128" s="41">
        <v>1</v>
      </c>
      <c r="D128" s="41">
        <v>13</v>
      </c>
      <c r="E128" s="41">
        <v>25</v>
      </c>
      <c r="F128" s="41">
        <v>41</v>
      </c>
    </row>
    <row r="129" spans="1:6" ht="13">
      <c r="A129" s="34" t="s">
        <v>161</v>
      </c>
      <c r="B129" s="41">
        <v>162</v>
      </c>
      <c r="C129" s="41">
        <v>8</v>
      </c>
      <c r="D129" s="41">
        <v>15</v>
      </c>
      <c r="E129" s="41">
        <v>30</v>
      </c>
      <c r="F129" s="41">
        <v>48</v>
      </c>
    </row>
    <row r="130" spans="1:6" ht="13">
      <c r="A130" s="34" t="s">
        <v>163</v>
      </c>
      <c r="B130" s="41">
        <v>136</v>
      </c>
      <c r="C130" s="41">
        <v>7</v>
      </c>
      <c r="D130" s="41">
        <v>10</v>
      </c>
      <c r="E130" s="41">
        <v>22</v>
      </c>
      <c r="F130" s="41">
        <v>30</v>
      </c>
    </row>
    <row r="131" spans="1:6" ht="13">
      <c r="A131" s="34" t="s">
        <v>165</v>
      </c>
      <c r="B131" s="41">
        <v>130</v>
      </c>
      <c r="C131" s="41">
        <v>11</v>
      </c>
      <c r="D131" s="41">
        <v>12</v>
      </c>
      <c r="E131" s="41">
        <v>26</v>
      </c>
      <c r="F131" s="41">
        <v>41</v>
      </c>
    </row>
    <row r="132" spans="1:6" ht="13">
      <c r="A132" s="34" t="s">
        <v>167</v>
      </c>
      <c r="B132" s="41">
        <v>191</v>
      </c>
      <c r="C132" s="41">
        <v>3</v>
      </c>
      <c r="D132" s="41">
        <v>13</v>
      </c>
      <c r="E132" s="41">
        <v>32</v>
      </c>
      <c r="F132" s="41">
        <v>51</v>
      </c>
    </row>
    <row r="133" spans="1:6" ht="13">
      <c r="A133" s="34" t="s">
        <v>169</v>
      </c>
      <c r="B133" s="41">
        <v>194</v>
      </c>
      <c r="C133" s="41">
        <v>3</v>
      </c>
      <c r="D133" s="41">
        <v>11</v>
      </c>
      <c r="E133" s="41">
        <v>30</v>
      </c>
      <c r="F133" s="41">
        <v>47</v>
      </c>
    </row>
    <row r="134" spans="1:6" ht="13">
      <c r="A134" s="44" t="s">
        <v>148</v>
      </c>
      <c r="B134" s="45">
        <v>164</v>
      </c>
      <c r="C134" s="45">
        <v>5</v>
      </c>
      <c r="D134" s="45">
        <v>13</v>
      </c>
      <c r="E134" s="45">
        <v>28</v>
      </c>
      <c r="F134" s="45">
        <v>44</v>
      </c>
    </row>
    <row r="135" spans="1:6" ht="13">
      <c r="A135" s="39" t="s">
        <v>122</v>
      </c>
      <c r="B135" s="40"/>
      <c r="C135" s="40"/>
      <c r="D135" s="40"/>
      <c r="E135" s="40"/>
      <c r="F135" s="40"/>
    </row>
    <row r="136" spans="1:6" ht="13">
      <c r="A136" s="34" t="s">
        <v>149</v>
      </c>
      <c r="B136" s="41">
        <v>235</v>
      </c>
      <c r="C136" s="41">
        <v>6</v>
      </c>
      <c r="D136" s="41">
        <v>14</v>
      </c>
      <c r="E136" s="41">
        <v>33</v>
      </c>
      <c r="F136" s="41">
        <v>55</v>
      </c>
    </row>
    <row r="137" spans="1:6" ht="13">
      <c r="A137" s="34" t="s">
        <v>151</v>
      </c>
      <c r="B137" s="41">
        <v>210</v>
      </c>
      <c r="C137" s="41">
        <v>23</v>
      </c>
      <c r="D137" s="41">
        <v>15</v>
      </c>
      <c r="E137" s="41">
        <v>28</v>
      </c>
      <c r="F137" s="41">
        <v>45</v>
      </c>
    </row>
    <row r="138" spans="1:6" ht="13">
      <c r="A138" s="34" t="s">
        <v>189</v>
      </c>
      <c r="B138" s="41">
        <v>194</v>
      </c>
      <c r="C138" s="41">
        <v>5</v>
      </c>
      <c r="D138" s="41">
        <v>14</v>
      </c>
      <c r="E138" s="41">
        <v>28</v>
      </c>
      <c r="F138" s="41">
        <v>46</v>
      </c>
    </row>
    <row r="139" spans="1:6" ht="13">
      <c r="A139" s="34" t="s">
        <v>175</v>
      </c>
      <c r="B139" s="41">
        <v>202</v>
      </c>
      <c r="C139" s="41">
        <v>3</v>
      </c>
      <c r="D139" s="41">
        <v>13</v>
      </c>
      <c r="E139" s="41">
        <v>33</v>
      </c>
      <c r="F139" s="41">
        <v>53</v>
      </c>
    </row>
    <row r="140" spans="1:6" ht="13">
      <c r="A140" s="34" t="s">
        <v>177</v>
      </c>
      <c r="B140" s="41">
        <v>166</v>
      </c>
      <c r="C140" s="41">
        <v>17</v>
      </c>
      <c r="D140" s="41">
        <v>15</v>
      </c>
      <c r="E140" s="41">
        <v>30</v>
      </c>
      <c r="F140" s="41">
        <v>47</v>
      </c>
    </row>
    <row r="141" spans="1:6" ht="13">
      <c r="A141" s="34" t="s">
        <v>153</v>
      </c>
      <c r="B141" s="41">
        <v>206</v>
      </c>
      <c r="C141" s="41">
        <v>13</v>
      </c>
      <c r="D141" s="41">
        <v>13</v>
      </c>
      <c r="E141" s="41">
        <v>29</v>
      </c>
      <c r="F141" s="41">
        <v>45</v>
      </c>
    </row>
    <row r="142" spans="1:6" ht="13">
      <c r="A142" s="34" t="s">
        <v>155</v>
      </c>
      <c r="B142" s="41">
        <v>199</v>
      </c>
      <c r="C142" s="41">
        <v>4</v>
      </c>
      <c r="D142" s="41">
        <v>17</v>
      </c>
      <c r="E142" s="41">
        <v>34</v>
      </c>
      <c r="F142" s="41">
        <v>55</v>
      </c>
    </row>
    <row r="143" spans="1:6" ht="13">
      <c r="A143" s="34" t="s">
        <v>157</v>
      </c>
      <c r="B143" s="41">
        <v>192</v>
      </c>
      <c r="C143" s="41">
        <v>5</v>
      </c>
      <c r="D143" s="41">
        <v>14</v>
      </c>
      <c r="E143" s="41">
        <v>26</v>
      </c>
      <c r="F143" s="41">
        <v>42</v>
      </c>
    </row>
    <row r="144" spans="1:6" ht="13">
      <c r="A144" s="34" t="s">
        <v>159</v>
      </c>
      <c r="B144" s="41">
        <v>200</v>
      </c>
      <c r="C144" s="41">
        <v>2</v>
      </c>
      <c r="D144" s="41">
        <v>15</v>
      </c>
      <c r="E144" s="41">
        <v>28</v>
      </c>
      <c r="F144" s="41">
        <v>44</v>
      </c>
    </row>
    <row r="145" spans="1:6" ht="13">
      <c r="A145" s="34" t="s">
        <v>161</v>
      </c>
      <c r="B145" s="41">
        <v>182</v>
      </c>
      <c r="C145" s="41">
        <v>13</v>
      </c>
      <c r="D145" s="41">
        <v>14</v>
      </c>
      <c r="E145" s="41">
        <v>29</v>
      </c>
      <c r="F145" s="41">
        <v>48</v>
      </c>
    </row>
    <row r="146" spans="1:6" ht="13">
      <c r="A146" s="34" t="s">
        <v>163</v>
      </c>
      <c r="B146" s="41">
        <v>160</v>
      </c>
      <c r="C146" s="41">
        <v>8</v>
      </c>
      <c r="D146" s="41">
        <v>15</v>
      </c>
      <c r="E146" s="41">
        <v>24</v>
      </c>
      <c r="F146" s="41">
        <v>35</v>
      </c>
    </row>
    <row r="147" spans="1:6" ht="13">
      <c r="A147" s="34" t="s">
        <v>165</v>
      </c>
      <c r="B147" s="41">
        <v>164</v>
      </c>
      <c r="C147" s="41">
        <v>22</v>
      </c>
      <c r="D147" s="41">
        <v>14</v>
      </c>
      <c r="E147" s="41">
        <v>24</v>
      </c>
      <c r="F147" s="41">
        <v>41</v>
      </c>
    </row>
    <row r="148" spans="1:6" ht="13">
      <c r="A148" s="34" t="s">
        <v>167</v>
      </c>
      <c r="B148" s="41">
        <v>211</v>
      </c>
      <c r="C148" s="41">
        <v>3</v>
      </c>
      <c r="D148" s="41">
        <v>14</v>
      </c>
      <c r="E148" s="41">
        <v>31</v>
      </c>
      <c r="F148" s="41">
        <v>52</v>
      </c>
    </row>
    <row r="149" spans="1:6" ht="13">
      <c r="A149" s="34" t="s">
        <v>169</v>
      </c>
      <c r="B149" s="41">
        <v>190</v>
      </c>
      <c r="C149" s="41">
        <v>2</v>
      </c>
      <c r="D149" s="41">
        <v>12</v>
      </c>
      <c r="E149" s="41">
        <v>26</v>
      </c>
      <c r="F149" s="41">
        <v>44</v>
      </c>
    </row>
    <row r="150" spans="1:6" ht="13">
      <c r="A150" s="44" t="s">
        <v>148</v>
      </c>
      <c r="B150" s="45">
        <v>194</v>
      </c>
      <c r="C150" s="45">
        <v>9</v>
      </c>
      <c r="D150" s="45">
        <v>14</v>
      </c>
      <c r="E150" s="45">
        <v>29</v>
      </c>
      <c r="F150" s="45">
        <v>47</v>
      </c>
    </row>
    <row r="151" spans="1:6" ht="13">
      <c r="A151" s="39" t="s">
        <v>124</v>
      </c>
      <c r="B151" s="40"/>
      <c r="C151" s="40"/>
      <c r="D151" s="40"/>
      <c r="E151" s="40"/>
      <c r="F151" s="40"/>
    </row>
    <row r="152" spans="1:6" ht="13">
      <c r="A152" s="34" t="s">
        <v>149</v>
      </c>
      <c r="B152" s="41">
        <v>235</v>
      </c>
      <c r="C152" s="41">
        <v>4</v>
      </c>
      <c r="D152" s="41">
        <v>15</v>
      </c>
      <c r="E152" s="41">
        <v>33</v>
      </c>
      <c r="F152" s="41">
        <v>54</v>
      </c>
    </row>
    <row r="153" spans="1:6" ht="13">
      <c r="A153" s="34" t="s">
        <v>151</v>
      </c>
      <c r="B153" s="41">
        <v>234</v>
      </c>
      <c r="C153" s="41">
        <v>38</v>
      </c>
      <c r="D153" s="41">
        <v>16</v>
      </c>
      <c r="E153" s="41">
        <v>32</v>
      </c>
      <c r="F153" s="41">
        <v>52</v>
      </c>
    </row>
    <row r="154" spans="1:6" ht="13">
      <c r="A154" s="34" t="s">
        <v>189</v>
      </c>
      <c r="B154" s="41">
        <v>216</v>
      </c>
      <c r="C154" s="41">
        <v>6</v>
      </c>
      <c r="D154" s="41">
        <v>17</v>
      </c>
      <c r="E154" s="41">
        <v>33</v>
      </c>
      <c r="F154" s="41">
        <v>51</v>
      </c>
    </row>
    <row r="155" spans="1:6" ht="13">
      <c r="A155" s="34" t="s">
        <v>175</v>
      </c>
      <c r="B155" s="41">
        <v>206</v>
      </c>
      <c r="C155" s="41">
        <v>8</v>
      </c>
      <c r="D155" s="41">
        <v>16</v>
      </c>
      <c r="E155" s="41">
        <v>38</v>
      </c>
      <c r="F155" s="41">
        <v>57</v>
      </c>
    </row>
    <row r="156" spans="1:6" ht="13">
      <c r="A156" s="34" t="s">
        <v>177</v>
      </c>
      <c r="B156" s="41">
        <v>210</v>
      </c>
      <c r="C156" s="41">
        <v>27</v>
      </c>
      <c r="D156" s="41">
        <v>14</v>
      </c>
      <c r="E156" s="41">
        <v>27</v>
      </c>
      <c r="F156" s="41">
        <v>43</v>
      </c>
    </row>
    <row r="157" spans="1:6" ht="13">
      <c r="A157" s="34" t="s">
        <v>153</v>
      </c>
      <c r="B157" s="41">
        <v>228</v>
      </c>
      <c r="C157" s="41">
        <v>9</v>
      </c>
      <c r="D157" s="41">
        <v>13</v>
      </c>
      <c r="E157" s="41">
        <v>29</v>
      </c>
      <c r="F157" s="41">
        <v>43</v>
      </c>
    </row>
    <row r="158" spans="1:6" ht="13">
      <c r="A158" s="34" t="s">
        <v>155</v>
      </c>
      <c r="B158" s="41">
        <v>194</v>
      </c>
      <c r="C158" s="41">
        <v>3</v>
      </c>
      <c r="D158" s="41">
        <v>20</v>
      </c>
      <c r="E158" s="41">
        <v>34</v>
      </c>
      <c r="F158" s="41">
        <v>54</v>
      </c>
    </row>
    <row r="159" spans="1:6" ht="13">
      <c r="A159" s="34" t="s">
        <v>159</v>
      </c>
      <c r="B159" s="41">
        <v>209</v>
      </c>
      <c r="C159" s="41">
        <v>6</v>
      </c>
      <c r="D159" s="41">
        <v>15</v>
      </c>
      <c r="E159" s="41">
        <v>30</v>
      </c>
      <c r="F159" s="41">
        <v>41</v>
      </c>
    </row>
    <row r="160" spans="1:6" ht="13">
      <c r="A160" s="34" t="s">
        <v>161</v>
      </c>
      <c r="B160" s="41">
        <v>73</v>
      </c>
      <c r="C160" s="41">
        <v>0</v>
      </c>
      <c r="D160" s="41">
        <v>4</v>
      </c>
      <c r="E160" s="41">
        <v>8</v>
      </c>
      <c r="F160" s="41">
        <v>12</v>
      </c>
    </row>
    <row r="161" spans="1:6" ht="13">
      <c r="A161" s="34" t="s">
        <v>163</v>
      </c>
      <c r="B161" s="41">
        <v>168</v>
      </c>
      <c r="C161" s="41">
        <v>10</v>
      </c>
      <c r="D161" s="41">
        <v>14</v>
      </c>
      <c r="E161" s="41">
        <v>19</v>
      </c>
      <c r="F161" s="41">
        <v>30</v>
      </c>
    </row>
    <row r="162" spans="1:6" ht="13">
      <c r="A162" s="34" t="s">
        <v>165</v>
      </c>
      <c r="B162" s="41">
        <v>173</v>
      </c>
      <c r="C162" s="41">
        <v>12</v>
      </c>
      <c r="D162" s="41">
        <v>15</v>
      </c>
      <c r="E162" s="41">
        <v>27</v>
      </c>
      <c r="F162" s="41">
        <v>41</v>
      </c>
    </row>
    <row r="163" spans="1:6" ht="13">
      <c r="A163" s="34" t="s">
        <v>167</v>
      </c>
      <c r="B163" s="41">
        <v>186</v>
      </c>
      <c r="C163" s="41">
        <v>2</v>
      </c>
      <c r="D163" s="41">
        <v>16</v>
      </c>
      <c r="E163" s="41">
        <v>34</v>
      </c>
      <c r="F163" s="41">
        <v>51</v>
      </c>
    </row>
    <row r="164" spans="1:6" ht="13">
      <c r="A164" s="34" t="s">
        <v>169</v>
      </c>
      <c r="B164" s="41">
        <v>227</v>
      </c>
      <c r="C164" s="41">
        <v>3</v>
      </c>
      <c r="D164" s="41">
        <v>14</v>
      </c>
      <c r="E164" s="41">
        <v>34</v>
      </c>
      <c r="F164" s="41">
        <v>53</v>
      </c>
    </row>
    <row r="165" spans="1:6" ht="13">
      <c r="A165" s="44" t="s">
        <v>148</v>
      </c>
      <c r="B165" s="45">
        <v>197</v>
      </c>
      <c r="C165" s="45">
        <v>10</v>
      </c>
      <c r="D165" s="45">
        <v>14</v>
      </c>
      <c r="E165" s="45">
        <v>29</v>
      </c>
      <c r="F165" s="45">
        <v>45</v>
      </c>
    </row>
    <row r="166" spans="1:6" ht="13">
      <c r="A166" s="39" t="s">
        <v>126</v>
      </c>
      <c r="B166" s="40"/>
      <c r="C166" s="40"/>
      <c r="D166" s="40"/>
      <c r="E166" s="40"/>
      <c r="F166" s="40"/>
    </row>
    <row r="167" spans="1:6" ht="13">
      <c r="A167" s="34" t="s">
        <v>149</v>
      </c>
      <c r="B167" s="41">
        <v>223</v>
      </c>
      <c r="C167" s="41">
        <v>7</v>
      </c>
      <c r="D167" s="41">
        <v>15</v>
      </c>
      <c r="E167" s="41">
        <v>33</v>
      </c>
      <c r="F167" s="41">
        <v>53</v>
      </c>
    </row>
    <row r="168" spans="1:6" ht="13">
      <c r="A168" s="34" t="s">
        <v>151</v>
      </c>
      <c r="B168" s="41">
        <v>217</v>
      </c>
      <c r="C168" s="41">
        <v>29</v>
      </c>
      <c r="D168" s="41">
        <v>15</v>
      </c>
      <c r="E168" s="41">
        <v>32</v>
      </c>
      <c r="F168" s="41">
        <v>52</v>
      </c>
    </row>
    <row r="169" spans="1:6" ht="13">
      <c r="A169" s="34" t="s">
        <v>175</v>
      </c>
      <c r="B169" s="41">
        <v>188</v>
      </c>
      <c r="C169" s="41">
        <v>6</v>
      </c>
      <c r="D169" s="41">
        <v>16</v>
      </c>
      <c r="E169" s="41">
        <v>36</v>
      </c>
      <c r="F169" s="41">
        <v>57</v>
      </c>
    </row>
    <row r="170" spans="1:6" ht="13">
      <c r="A170" s="34" t="s">
        <v>177</v>
      </c>
      <c r="B170" s="41">
        <v>189</v>
      </c>
      <c r="C170" s="41">
        <v>22</v>
      </c>
      <c r="D170" s="41">
        <v>15</v>
      </c>
      <c r="E170" s="41">
        <v>31</v>
      </c>
      <c r="F170" s="41">
        <v>47</v>
      </c>
    </row>
    <row r="171" spans="1:6" ht="13">
      <c r="A171" s="34" t="s">
        <v>153</v>
      </c>
      <c r="B171" s="41">
        <v>221</v>
      </c>
      <c r="C171" s="41">
        <v>5</v>
      </c>
      <c r="D171" s="41">
        <v>13</v>
      </c>
      <c r="E171" s="41">
        <v>28</v>
      </c>
      <c r="F171" s="41">
        <v>42</v>
      </c>
    </row>
    <row r="172" spans="1:6" ht="13">
      <c r="A172" s="34" t="s">
        <v>155</v>
      </c>
      <c r="B172" s="41">
        <v>222</v>
      </c>
      <c r="C172" s="41">
        <v>5</v>
      </c>
      <c r="D172" s="41">
        <v>20</v>
      </c>
      <c r="E172" s="41">
        <v>37</v>
      </c>
      <c r="F172" s="41">
        <v>58</v>
      </c>
    </row>
    <row r="173" spans="1:6" ht="13">
      <c r="A173" s="34" t="s">
        <v>159</v>
      </c>
      <c r="B173" s="41">
        <v>223</v>
      </c>
      <c r="C173" s="41">
        <v>4</v>
      </c>
      <c r="D173" s="41">
        <v>17</v>
      </c>
      <c r="E173" s="41">
        <v>30</v>
      </c>
      <c r="F173" s="41">
        <v>45</v>
      </c>
    </row>
    <row r="174" spans="1:6" ht="13">
      <c r="A174" s="34" t="s">
        <v>161</v>
      </c>
      <c r="B174" s="41">
        <v>197</v>
      </c>
      <c r="C174" s="41">
        <v>9</v>
      </c>
      <c r="D174" s="41">
        <v>15</v>
      </c>
      <c r="E174" s="41">
        <v>28</v>
      </c>
      <c r="F174" s="41">
        <v>46</v>
      </c>
    </row>
    <row r="175" spans="1:6" ht="13">
      <c r="A175" s="34" t="s">
        <v>163</v>
      </c>
      <c r="B175" s="41">
        <v>178</v>
      </c>
      <c r="C175" s="41">
        <v>18</v>
      </c>
      <c r="D175" s="41">
        <v>16</v>
      </c>
      <c r="E175" s="41">
        <v>27</v>
      </c>
      <c r="F175" s="41">
        <v>36</v>
      </c>
    </row>
    <row r="176" spans="1:6" ht="13">
      <c r="A176" s="34" t="s">
        <v>165</v>
      </c>
      <c r="B176" s="41">
        <v>169</v>
      </c>
      <c r="C176" s="41">
        <v>17</v>
      </c>
      <c r="D176" s="41">
        <v>15</v>
      </c>
      <c r="E176" s="41">
        <v>26</v>
      </c>
      <c r="F176" s="41">
        <v>41</v>
      </c>
    </row>
    <row r="177" spans="1:6" ht="13">
      <c r="A177" s="34" t="s">
        <v>167</v>
      </c>
      <c r="B177" s="41">
        <v>220</v>
      </c>
      <c r="C177" s="41">
        <v>5</v>
      </c>
      <c r="D177" s="41">
        <v>19</v>
      </c>
      <c r="E177" s="41">
        <v>39</v>
      </c>
      <c r="F177" s="41">
        <v>61</v>
      </c>
    </row>
    <row r="178" spans="1:6" ht="13">
      <c r="A178" s="34" t="s">
        <v>169</v>
      </c>
      <c r="B178" s="41">
        <v>220</v>
      </c>
      <c r="C178" s="41">
        <v>3</v>
      </c>
      <c r="D178" s="41">
        <v>15</v>
      </c>
      <c r="E178" s="41">
        <v>32</v>
      </c>
      <c r="F178" s="41">
        <v>52</v>
      </c>
    </row>
    <row r="179" spans="1:6" ht="13">
      <c r="A179" s="44" t="s">
        <v>148</v>
      </c>
      <c r="B179" s="45">
        <v>206</v>
      </c>
      <c r="C179" s="45">
        <v>11</v>
      </c>
      <c r="D179" s="45">
        <v>16</v>
      </c>
      <c r="E179" s="45">
        <v>31</v>
      </c>
      <c r="F179" s="45">
        <v>49</v>
      </c>
    </row>
    <row r="180" spans="1:6" ht="13">
      <c r="A180" s="39" t="s">
        <v>127</v>
      </c>
      <c r="B180" s="40"/>
      <c r="C180" s="40"/>
      <c r="D180" s="40"/>
      <c r="E180" s="40"/>
      <c r="F180" s="40"/>
    </row>
    <row r="181" spans="1:6" ht="13">
      <c r="A181" s="34" t="s">
        <v>149</v>
      </c>
      <c r="B181" s="41">
        <v>210</v>
      </c>
      <c r="C181" s="41">
        <v>6</v>
      </c>
      <c r="D181" s="41">
        <v>17</v>
      </c>
      <c r="E181" s="41">
        <v>34</v>
      </c>
      <c r="F181" s="41">
        <v>51</v>
      </c>
    </row>
    <row r="182" spans="1:6" ht="13">
      <c r="A182" s="34" t="s">
        <v>151</v>
      </c>
      <c r="B182" s="41">
        <v>180</v>
      </c>
      <c r="C182" s="41">
        <v>32</v>
      </c>
      <c r="D182" s="41">
        <v>14</v>
      </c>
      <c r="E182" s="41">
        <v>29</v>
      </c>
      <c r="F182" s="41">
        <v>42</v>
      </c>
    </row>
    <row r="183" spans="1:6" ht="13">
      <c r="A183" s="34" t="s">
        <v>189</v>
      </c>
      <c r="B183" s="41">
        <v>209</v>
      </c>
      <c r="C183" s="41">
        <v>6</v>
      </c>
      <c r="D183" s="41">
        <v>17</v>
      </c>
      <c r="E183" s="41">
        <v>32</v>
      </c>
      <c r="F183" s="41">
        <v>47</v>
      </c>
    </row>
    <row r="184" spans="1:6" ht="13">
      <c r="A184" s="34" t="s">
        <v>175</v>
      </c>
      <c r="B184" s="41">
        <v>192</v>
      </c>
      <c r="C184" s="41">
        <v>5</v>
      </c>
      <c r="D184" s="41">
        <v>17</v>
      </c>
      <c r="E184" s="41">
        <v>34</v>
      </c>
      <c r="F184" s="41">
        <v>49</v>
      </c>
    </row>
    <row r="185" spans="1:6" ht="13">
      <c r="A185" s="34" t="s">
        <v>177</v>
      </c>
      <c r="B185" s="41">
        <v>169</v>
      </c>
      <c r="C185" s="41">
        <v>16</v>
      </c>
      <c r="D185" s="41">
        <v>14</v>
      </c>
      <c r="E185" s="41">
        <v>26</v>
      </c>
      <c r="F185" s="41">
        <v>38</v>
      </c>
    </row>
    <row r="186" spans="1:6" ht="13">
      <c r="A186" s="34" t="s">
        <v>153</v>
      </c>
      <c r="B186" s="41">
        <v>160</v>
      </c>
      <c r="C186" s="41">
        <v>9</v>
      </c>
      <c r="D186" s="41">
        <v>12</v>
      </c>
      <c r="E186" s="41">
        <v>22</v>
      </c>
      <c r="F186" s="41">
        <v>33</v>
      </c>
    </row>
    <row r="187" spans="1:6" ht="13">
      <c r="A187" s="34" t="s">
        <v>155</v>
      </c>
      <c r="B187" s="41">
        <v>208</v>
      </c>
      <c r="C187" s="41">
        <v>4</v>
      </c>
      <c r="D187" s="41">
        <v>19</v>
      </c>
      <c r="E187" s="41">
        <v>37</v>
      </c>
      <c r="F187" s="41">
        <v>51</v>
      </c>
    </row>
    <row r="188" spans="1:6" ht="13">
      <c r="A188" s="34" t="s">
        <v>157</v>
      </c>
      <c r="B188" s="41">
        <v>8</v>
      </c>
      <c r="C188" s="41">
        <v>0</v>
      </c>
      <c r="D188" s="41">
        <v>0</v>
      </c>
      <c r="E188" s="41">
        <v>1</v>
      </c>
      <c r="F188" s="41">
        <v>1</v>
      </c>
    </row>
    <row r="189" spans="1:6" ht="13">
      <c r="A189" s="34" t="s">
        <v>159</v>
      </c>
      <c r="B189" s="41">
        <v>212</v>
      </c>
      <c r="C189" s="41">
        <v>3</v>
      </c>
      <c r="D189" s="41">
        <v>17</v>
      </c>
      <c r="E189" s="41">
        <v>31</v>
      </c>
      <c r="F189" s="41">
        <v>45</v>
      </c>
    </row>
    <row r="190" spans="1:6" ht="13">
      <c r="A190" s="34" t="s">
        <v>161</v>
      </c>
      <c r="B190" s="41">
        <v>173</v>
      </c>
      <c r="C190" s="41">
        <v>8</v>
      </c>
      <c r="D190" s="41">
        <v>17</v>
      </c>
      <c r="E190" s="41">
        <v>31</v>
      </c>
      <c r="F190" s="41">
        <v>43</v>
      </c>
    </row>
    <row r="191" spans="1:6" ht="13">
      <c r="A191" s="34" t="s">
        <v>163</v>
      </c>
      <c r="B191" s="41">
        <v>147</v>
      </c>
      <c r="C191" s="41">
        <v>15</v>
      </c>
      <c r="D191" s="41">
        <v>9</v>
      </c>
      <c r="E191" s="41">
        <v>18</v>
      </c>
      <c r="F191" s="41">
        <v>29</v>
      </c>
    </row>
    <row r="192" spans="1:6" ht="13">
      <c r="A192" s="34" t="s">
        <v>165</v>
      </c>
      <c r="B192" s="41">
        <v>132</v>
      </c>
      <c r="C192" s="41">
        <v>8</v>
      </c>
      <c r="D192" s="41">
        <v>13</v>
      </c>
      <c r="E192" s="41">
        <v>24</v>
      </c>
      <c r="F192" s="41">
        <v>34</v>
      </c>
    </row>
    <row r="193" spans="1:6" ht="13">
      <c r="A193" s="34" t="s">
        <v>167</v>
      </c>
      <c r="B193" s="41">
        <v>212</v>
      </c>
      <c r="C193" s="41">
        <v>5</v>
      </c>
      <c r="D193" s="41">
        <v>16</v>
      </c>
      <c r="E193" s="41">
        <v>33</v>
      </c>
      <c r="F193" s="41">
        <v>48</v>
      </c>
    </row>
    <row r="194" spans="1:6" ht="13">
      <c r="A194" s="34" t="s">
        <v>169</v>
      </c>
      <c r="B194" s="41">
        <v>184</v>
      </c>
      <c r="C194" s="41">
        <v>3</v>
      </c>
      <c r="D194" s="41">
        <v>13</v>
      </c>
      <c r="E194" s="41">
        <v>28</v>
      </c>
      <c r="F194" s="41">
        <v>43</v>
      </c>
    </row>
    <row r="195" spans="1:6" ht="13">
      <c r="A195" s="44" t="s">
        <v>148</v>
      </c>
      <c r="B195" s="45">
        <f>AVERAGE(B181:B187,B189:B194)</f>
        <v>183.69230769230768</v>
      </c>
      <c r="C195" s="45">
        <v>9</v>
      </c>
      <c r="D195" s="45">
        <v>14</v>
      </c>
      <c r="E195" s="45">
        <v>27</v>
      </c>
      <c r="F195" s="45">
        <v>40</v>
      </c>
    </row>
    <row r="196" spans="1:6" ht="13">
      <c r="A196" s="39" t="s">
        <v>128</v>
      </c>
      <c r="B196" s="40"/>
      <c r="C196" s="40"/>
      <c r="D196" s="40"/>
      <c r="E196" s="40"/>
      <c r="F196" s="40"/>
    </row>
    <row r="197" spans="1:6" ht="13">
      <c r="A197" s="34" t="s">
        <v>149</v>
      </c>
      <c r="B197" s="41">
        <v>170</v>
      </c>
      <c r="C197" s="41">
        <v>5</v>
      </c>
      <c r="D197" s="41">
        <v>17</v>
      </c>
      <c r="E197" s="41">
        <v>40</v>
      </c>
      <c r="F197" s="41">
        <v>63</v>
      </c>
    </row>
    <row r="198" spans="1:6" ht="13">
      <c r="A198" s="34" t="s">
        <v>151</v>
      </c>
      <c r="B198" s="41">
        <v>150</v>
      </c>
      <c r="C198" s="41">
        <v>19</v>
      </c>
      <c r="D198" s="41">
        <v>14</v>
      </c>
      <c r="E198" s="41">
        <v>34</v>
      </c>
      <c r="F198" s="41">
        <v>52</v>
      </c>
    </row>
    <row r="199" spans="1:6" ht="13">
      <c r="A199" s="34" t="s">
        <v>175</v>
      </c>
      <c r="B199" s="41">
        <v>133</v>
      </c>
      <c r="C199" s="41">
        <v>4</v>
      </c>
      <c r="D199" s="41">
        <v>16</v>
      </c>
      <c r="E199" s="41">
        <v>36</v>
      </c>
      <c r="F199" s="41">
        <v>56</v>
      </c>
    </row>
    <row r="200" spans="1:6" ht="13">
      <c r="A200" s="34" t="s">
        <v>177</v>
      </c>
      <c r="B200" s="41">
        <v>116</v>
      </c>
      <c r="C200" s="41">
        <v>7</v>
      </c>
      <c r="D200" s="41">
        <v>17</v>
      </c>
      <c r="E200" s="41">
        <v>31</v>
      </c>
      <c r="F200" s="41">
        <v>49</v>
      </c>
    </row>
    <row r="201" spans="1:6" ht="13">
      <c r="A201" s="34" t="s">
        <v>153</v>
      </c>
      <c r="B201" s="41">
        <v>137</v>
      </c>
      <c r="C201" s="41">
        <v>2</v>
      </c>
      <c r="D201" s="41">
        <v>12</v>
      </c>
      <c r="E201" s="41">
        <v>27</v>
      </c>
      <c r="F201" s="41">
        <v>42</v>
      </c>
    </row>
    <row r="202" spans="1:6" ht="13">
      <c r="A202" s="34" t="s">
        <v>155</v>
      </c>
      <c r="B202" s="41">
        <v>148</v>
      </c>
      <c r="C202" s="41">
        <v>2</v>
      </c>
      <c r="D202" s="41">
        <v>19</v>
      </c>
      <c r="E202" s="41">
        <v>36</v>
      </c>
      <c r="F202" s="41">
        <v>58</v>
      </c>
    </row>
    <row r="203" spans="1:6" ht="13">
      <c r="A203" s="34" t="s">
        <v>159</v>
      </c>
      <c r="B203" s="41">
        <v>155</v>
      </c>
      <c r="C203" s="41">
        <v>0</v>
      </c>
      <c r="D203" s="41">
        <v>17</v>
      </c>
      <c r="E203" s="41">
        <v>35</v>
      </c>
      <c r="F203" s="41">
        <v>53</v>
      </c>
    </row>
    <row r="204" spans="1:6" ht="13">
      <c r="A204" s="34" t="s">
        <v>161</v>
      </c>
      <c r="B204" s="41">
        <v>134</v>
      </c>
      <c r="C204" s="41">
        <v>5</v>
      </c>
      <c r="D204" s="41">
        <v>16</v>
      </c>
      <c r="E204" s="41">
        <v>31</v>
      </c>
      <c r="F204" s="41">
        <v>50</v>
      </c>
    </row>
    <row r="205" spans="1:6" ht="13">
      <c r="A205" s="34" t="s">
        <v>163</v>
      </c>
      <c r="B205" s="41">
        <v>117</v>
      </c>
      <c r="C205" s="41">
        <v>6</v>
      </c>
      <c r="D205" s="41">
        <v>19</v>
      </c>
      <c r="E205" s="41">
        <v>29</v>
      </c>
      <c r="F205" s="41">
        <v>36</v>
      </c>
    </row>
    <row r="206" spans="1:6" ht="13">
      <c r="A206" s="34" t="s">
        <v>165</v>
      </c>
      <c r="B206" s="41">
        <v>107</v>
      </c>
      <c r="C206" s="41">
        <v>1</v>
      </c>
      <c r="D206" s="41">
        <v>15</v>
      </c>
      <c r="E206" s="41">
        <v>28</v>
      </c>
      <c r="F206" s="41">
        <v>44</v>
      </c>
    </row>
    <row r="207" spans="1:6" ht="13">
      <c r="A207" s="34" t="s">
        <v>167</v>
      </c>
      <c r="B207" s="41">
        <v>147</v>
      </c>
      <c r="C207" s="41">
        <v>3</v>
      </c>
      <c r="D207" s="41">
        <v>16</v>
      </c>
      <c r="E207" s="41">
        <v>37</v>
      </c>
      <c r="F207" s="41">
        <v>58</v>
      </c>
    </row>
    <row r="208" spans="1:6" ht="13">
      <c r="A208" s="34" t="s">
        <v>169</v>
      </c>
      <c r="B208" s="41">
        <v>139</v>
      </c>
      <c r="C208" s="41">
        <v>1</v>
      </c>
      <c r="D208" s="41">
        <v>15</v>
      </c>
      <c r="E208" s="41">
        <v>34</v>
      </c>
      <c r="F208" s="41">
        <v>51</v>
      </c>
    </row>
    <row r="209" spans="1:6" ht="13">
      <c r="A209" s="44" t="s">
        <v>148</v>
      </c>
      <c r="B209" s="45">
        <v>138</v>
      </c>
      <c r="C209" s="45">
        <v>5</v>
      </c>
      <c r="D209" s="45">
        <v>16</v>
      </c>
      <c r="E209" s="45">
        <v>33</v>
      </c>
      <c r="F209" s="45">
        <v>51</v>
      </c>
    </row>
    <row r="210" spans="1:6" ht="13">
      <c r="A210" s="39" t="s">
        <v>129</v>
      </c>
      <c r="B210" s="40"/>
      <c r="C210" s="40"/>
      <c r="D210" s="40"/>
      <c r="E210" s="40"/>
      <c r="F210" s="40"/>
    </row>
    <row r="211" spans="1:6" ht="13">
      <c r="A211" s="34" t="s">
        <v>149</v>
      </c>
      <c r="B211" s="41">
        <v>113</v>
      </c>
      <c r="C211" s="41">
        <v>3</v>
      </c>
      <c r="D211" s="41">
        <v>20</v>
      </c>
      <c r="E211" s="41">
        <v>41</v>
      </c>
      <c r="F211" s="41">
        <v>66</v>
      </c>
    </row>
    <row r="212" spans="1:6" ht="13">
      <c r="A212" s="34" t="s">
        <v>151</v>
      </c>
      <c r="B212" s="41">
        <v>97</v>
      </c>
      <c r="C212" s="41">
        <v>6</v>
      </c>
      <c r="D212" s="41">
        <v>15</v>
      </c>
      <c r="E212" s="41">
        <v>33</v>
      </c>
      <c r="F212" s="41">
        <v>54</v>
      </c>
    </row>
    <row r="213" spans="1:6" ht="13">
      <c r="A213" s="34" t="s">
        <v>175</v>
      </c>
      <c r="B213" s="41">
        <v>109</v>
      </c>
      <c r="C213" s="41">
        <v>3</v>
      </c>
      <c r="D213" s="41">
        <v>18</v>
      </c>
      <c r="E213" s="41">
        <v>38</v>
      </c>
      <c r="F213" s="41">
        <v>64</v>
      </c>
    </row>
    <row r="214" spans="1:6" ht="13">
      <c r="A214" s="34" t="s">
        <v>177</v>
      </c>
      <c r="B214" s="41">
        <v>80</v>
      </c>
      <c r="C214" s="41">
        <v>9</v>
      </c>
      <c r="D214" s="41">
        <v>14</v>
      </c>
      <c r="E214" s="41">
        <v>28</v>
      </c>
      <c r="F214" s="41">
        <v>45</v>
      </c>
    </row>
    <row r="215" spans="1:6" ht="13">
      <c r="A215" s="34" t="s">
        <v>153</v>
      </c>
      <c r="B215" s="41">
        <v>87</v>
      </c>
      <c r="C215" s="41">
        <v>2</v>
      </c>
      <c r="D215" s="41">
        <v>14</v>
      </c>
      <c r="E215" s="41">
        <v>31</v>
      </c>
      <c r="F215" s="41">
        <v>48</v>
      </c>
    </row>
    <row r="216" spans="1:6" ht="13">
      <c r="A216" s="34" t="s">
        <v>155</v>
      </c>
      <c r="B216" s="41">
        <v>94</v>
      </c>
      <c r="C216" s="41">
        <v>5</v>
      </c>
      <c r="D216" s="41">
        <v>19</v>
      </c>
      <c r="E216" s="41">
        <v>36</v>
      </c>
      <c r="F216" s="41">
        <v>59</v>
      </c>
    </row>
    <row r="217" spans="1:6" ht="13">
      <c r="A217" s="34" t="s">
        <v>159</v>
      </c>
      <c r="B217" s="41">
        <v>93</v>
      </c>
      <c r="C217" s="41">
        <v>0</v>
      </c>
      <c r="D217" s="41">
        <v>19</v>
      </c>
      <c r="E217" s="41">
        <v>31</v>
      </c>
      <c r="F217" s="41">
        <v>49</v>
      </c>
    </row>
    <row r="218" spans="1:6" ht="13">
      <c r="A218" s="34" t="s">
        <v>161</v>
      </c>
      <c r="B218" s="41">
        <v>80</v>
      </c>
      <c r="C218" s="41">
        <v>0</v>
      </c>
      <c r="D218" s="41">
        <v>14</v>
      </c>
      <c r="E218" s="41">
        <v>30</v>
      </c>
      <c r="F218" s="41">
        <v>51</v>
      </c>
    </row>
    <row r="219" spans="1:6" ht="13">
      <c r="A219" s="34" t="s">
        <v>163</v>
      </c>
      <c r="B219" s="41">
        <v>62</v>
      </c>
      <c r="C219" s="41">
        <v>3</v>
      </c>
      <c r="D219" s="41">
        <v>15</v>
      </c>
      <c r="E219" s="41">
        <v>23</v>
      </c>
      <c r="F219" s="41">
        <v>34</v>
      </c>
    </row>
    <row r="220" spans="1:6" ht="13">
      <c r="A220" s="34" t="s">
        <v>165</v>
      </c>
      <c r="B220" s="41">
        <v>83</v>
      </c>
      <c r="C220" s="41">
        <v>6</v>
      </c>
      <c r="D220" s="41">
        <v>14</v>
      </c>
      <c r="E220" s="41">
        <v>29</v>
      </c>
      <c r="F220" s="41">
        <v>46</v>
      </c>
    </row>
    <row r="221" spans="1:6" ht="13">
      <c r="A221" s="34" t="s">
        <v>167</v>
      </c>
      <c r="B221" s="41">
        <v>102</v>
      </c>
      <c r="C221" s="41">
        <v>1</v>
      </c>
      <c r="D221" s="41">
        <v>17</v>
      </c>
      <c r="E221" s="41">
        <v>36</v>
      </c>
      <c r="F221" s="41">
        <v>57</v>
      </c>
    </row>
    <row r="222" spans="1:6" ht="13">
      <c r="A222" s="34" t="s">
        <v>169</v>
      </c>
      <c r="B222" s="41">
        <v>97</v>
      </c>
      <c r="C222" s="41">
        <v>2</v>
      </c>
      <c r="D222" s="41">
        <v>15</v>
      </c>
      <c r="E222" s="41">
        <v>33</v>
      </c>
      <c r="F222" s="41">
        <v>53</v>
      </c>
    </row>
    <row r="223" spans="1:6" ht="13">
      <c r="A223" s="44" t="s">
        <v>148</v>
      </c>
      <c r="B223" s="45">
        <v>91</v>
      </c>
      <c r="C223" s="45">
        <v>3</v>
      </c>
      <c r="D223" s="45">
        <v>16</v>
      </c>
      <c r="E223" s="45">
        <v>32</v>
      </c>
      <c r="F223" s="45">
        <v>52</v>
      </c>
    </row>
    <row r="224" spans="1:6" ht="13">
      <c r="A224" s="39" t="s">
        <v>130</v>
      </c>
      <c r="B224" s="40"/>
      <c r="C224" s="40"/>
      <c r="D224" s="40"/>
      <c r="E224" s="40"/>
      <c r="F224" s="40"/>
    </row>
    <row r="225" spans="1:6" ht="13">
      <c r="A225" s="34" t="s">
        <v>149</v>
      </c>
      <c r="B225" s="41">
        <v>226</v>
      </c>
      <c r="C225" s="41">
        <v>6</v>
      </c>
      <c r="D225" s="41">
        <v>19</v>
      </c>
      <c r="E225" s="41">
        <v>39</v>
      </c>
      <c r="F225" s="41">
        <v>63</v>
      </c>
    </row>
    <row r="226" spans="1:6" ht="13">
      <c r="A226" s="34" t="s">
        <v>151</v>
      </c>
      <c r="B226" s="41">
        <v>203</v>
      </c>
      <c r="C226" s="41">
        <v>18</v>
      </c>
      <c r="D226" s="41">
        <v>15</v>
      </c>
      <c r="E226" s="41">
        <v>33</v>
      </c>
      <c r="F226" s="41">
        <v>57</v>
      </c>
    </row>
    <row r="227" spans="1:6" ht="13">
      <c r="A227" s="34" t="s">
        <v>175</v>
      </c>
      <c r="B227" s="41">
        <v>170</v>
      </c>
      <c r="C227" s="41">
        <v>8</v>
      </c>
      <c r="D227" s="41">
        <v>16</v>
      </c>
      <c r="E227" s="41">
        <v>33</v>
      </c>
      <c r="F227" s="41">
        <v>55</v>
      </c>
    </row>
    <row r="228" spans="1:6" ht="13">
      <c r="A228" s="34" t="s">
        <v>177</v>
      </c>
      <c r="B228" s="41">
        <v>5</v>
      </c>
      <c r="C228" s="41">
        <v>0</v>
      </c>
      <c r="D228" s="41">
        <v>0</v>
      </c>
      <c r="E228" s="41">
        <v>0</v>
      </c>
      <c r="F228" s="41">
        <v>1</v>
      </c>
    </row>
    <row r="229" spans="1:6" ht="13">
      <c r="A229" s="34" t="s">
        <v>153</v>
      </c>
      <c r="B229" s="41">
        <v>185</v>
      </c>
      <c r="C229" s="41">
        <v>10</v>
      </c>
      <c r="D229" s="41">
        <v>14</v>
      </c>
      <c r="E229" s="41">
        <v>30</v>
      </c>
      <c r="F229" s="41">
        <v>48</v>
      </c>
    </row>
    <row r="230" spans="1:6" ht="13">
      <c r="A230" s="34" t="s">
        <v>155</v>
      </c>
      <c r="B230" s="41">
        <v>199</v>
      </c>
      <c r="C230" s="41">
        <v>2</v>
      </c>
      <c r="D230" s="41">
        <v>19</v>
      </c>
      <c r="E230" s="41">
        <v>34</v>
      </c>
      <c r="F230" s="41">
        <v>57</v>
      </c>
    </row>
    <row r="231" spans="1:6" ht="13">
      <c r="A231" s="34" t="s">
        <v>159</v>
      </c>
      <c r="B231" s="41">
        <v>180</v>
      </c>
      <c r="C231" s="41">
        <v>0</v>
      </c>
      <c r="D231" s="41">
        <v>15</v>
      </c>
      <c r="E231" s="41">
        <v>29</v>
      </c>
      <c r="F231" s="41">
        <v>45</v>
      </c>
    </row>
    <row r="232" spans="1:6" ht="13">
      <c r="A232" s="34" t="s">
        <v>161</v>
      </c>
      <c r="B232" s="41">
        <v>171</v>
      </c>
      <c r="C232" s="41">
        <v>6</v>
      </c>
      <c r="D232" s="41">
        <v>15</v>
      </c>
      <c r="E232" s="41">
        <v>31</v>
      </c>
      <c r="F232" s="41">
        <v>51</v>
      </c>
    </row>
    <row r="233" spans="1:6" ht="13">
      <c r="A233" s="34" t="s">
        <v>163</v>
      </c>
      <c r="B233" s="41">
        <v>151</v>
      </c>
      <c r="C233" s="41">
        <v>9</v>
      </c>
      <c r="D233" s="41">
        <v>16</v>
      </c>
      <c r="E233" s="41">
        <v>24</v>
      </c>
      <c r="F233" s="41">
        <v>35</v>
      </c>
    </row>
    <row r="234" spans="1:6" ht="13">
      <c r="A234" s="34" t="s">
        <v>165</v>
      </c>
      <c r="B234" s="41">
        <v>141</v>
      </c>
      <c r="C234" s="41">
        <v>14</v>
      </c>
      <c r="D234" s="41">
        <v>14</v>
      </c>
      <c r="E234" s="41">
        <v>27</v>
      </c>
      <c r="F234" s="41">
        <v>41</v>
      </c>
    </row>
    <row r="235" spans="1:6" ht="13">
      <c r="A235" s="34" t="s">
        <v>167</v>
      </c>
      <c r="B235" s="41">
        <v>213</v>
      </c>
      <c r="C235" s="41">
        <v>2</v>
      </c>
      <c r="D235" s="41">
        <v>18</v>
      </c>
      <c r="E235" s="41">
        <v>39</v>
      </c>
      <c r="F235" s="41">
        <v>60</v>
      </c>
    </row>
    <row r="236" spans="1:6" ht="13">
      <c r="A236" s="34" t="s">
        <v>169</v>
      </c>
      <c r="B236" s="41">
        <v>203</v>
      </c>
      <c r="C236" s="41">
        <v>5</v>
      </c>
      <c r="D236" s="41">
        <v>14</v>
      </c>
      <c r="E236" s="41">
        <v>34</v>
      </c>
      <c r="F236" s="41">
        <v>53</v>
      </c>
    </row>
    <row r="237" spans="1:6" ht="13">
      <c r="A237" s="44" t="s">
        <v>148</v>
      </c>
      <c r="B237" s="45">
        <v>171</v>
      </c>
      <c r="C237" s="45">
        <v>7</v>
      </c>
      <c r="D237" s="45">
        <v>14</v>
      </c>
      <c r="E237" s="45">
        <v>30</v>
      </c>
      <c r="F237" s="45">
        <v>47</v>
      </c>
    </row>
    <row r="238" spans="1:6" ht="13">
      <c r="A238" s="39" t="s">
        <v>131</v>
      </c>
      <c r="B238" s="40"/>
      <c r="C238" s="40"/>
      <c r="D238" s="40"/>
      <c r="E238" s="40"/>
      <c r="F238" s="40"/>
    </row>
    <row r="239" spans="1:6" ht="13">
      <c r="A239" s="34" t="s">
        <v>149</v>
      </c>
      <c r="B239" s="41">
        <v>231</v>
      </c>
      <c r="C239" s="41">
        <v>7</v>
      </c>
      <c r="D239" s="41">
        <v>15</v>
      </c>
      <c r="E239" s="41">
        <v>36</v>
      </c>
      <c r="F239" s="41">
        <v>52</v>
      </c>
    </row>
    <row r="240" spans="1:6" ht="13">
      <c r="A240" s="34" t="s">
        <v>151</v>
      </c>
      <c r="B240" s="41">
        <v>176</v>
      </c>
      <c r="C240" s="41">
        <v>15</v>
      </c>
      <c r="D240" s="41">
        <v>13</v>
      </c>
      <c r="E240" s="41">
        <v>31</v>
      </c>
      <c r="F240" s="41">
        <v>42</v>
      </c>
    </row>
    <row r="241" spans="1:6" ht="13">
      <c r="A241" s="34" t="s">
        <v>189</v>
      </c>
      <c r="B241" s="41">
        <v>163</v>
      </c>
      <c r="C241" s="41">
        <v>2</v>
      </c>
      <c r="D241" s="41">
        <v>14</v>
      </c>
      <c r="E241" s="41">
        <v>28</v>
      </c>
      <c r="F241" s="41">
        <v>38</v>
      </c>
    </row>
    <row r="242" spans="1:6" ht="13">
      <c r="A242" s="34" t="s">
        <v>175</v>
      </c>
      <c r="B242" s="41">
        <v>176</v>
      </c>
      <c r="C242" s="41">
        <v>4</v>
      </c>
      <c r="D242" s="41">
        <v>14</v>
      </c>
      <c r="E242" s="41">
        <v>36</v>
      </c>
      <c r="F242" s="41">
        <v>49</v>
      </c>
    </row>
    <row r="243" spans="1:6" ht="13">
      <c r="A243" s="34" t="s">
        <v>177</v>
      </c>
      <c r="B243" s="41">
        <v>182</v>
      </c>
      <c r="C243" s="41">
        <v>20</v>
      </c>
      <c r="D243" s="41">
        <v>11</v>
      </c>
      <c r="E243" s="41">
        <v>26</v>
      </c>
      <c r="F243" s="41">
        <v>39</v>
      </c>
    </row>
    <row r="244" spans="1:6" ht="13">
      <c r="A244" s="34" t="s">
        <v>153</v>
      </c>
      <c r="B244" s="41">
        <v>174</v>
      </c>
      <c r="C244" s="41">
        <v>10</v>
      </c>
      <c r="D244" s="41">
        <v>10</v>
      </c>
      <c r="E244" s="41">
        <v>23</v>
      </c>
      <c r="F244" s="41">
        <v>34</v>
      </c>
    </row>
    <row r="245" spans="1:6" ht="13">
      <c r="A245" s="34" t="s">
        <v>155</v>
      </c>
      <c r="B245" s="41">
        <v>169</v>
      </c>
      <c r="C245" s="41">
        <v>1</v>
      </c>
      <c r="D245" s="41">
        <v>16</v>
      </c>
      <c r="E245" s="41">
        <v>34</v>
      </c>
      <c r="F245" s="41">
        <v>48</v>
      </c>
    </row>
    <row r="246" spans="1:6" ht="13">
      <c r="A246" s="34" t="s">
        <v>157</v>
      </c>
      <c r="B246" s="41">
        <v>185</v>
      </c>
      <c r="C246" s="41">
        <v>9</v>
      </c>
      <c r="D246" s="41">
        <v>13</v>
      </c>
      <c r="E246" s="41">
        <v>29</v>
      </c>
      <c r="F246" s="41">
        <v>42</v>
      </c>
    </row>
    <row r="247" spans="1:6" ht="13">
      <c r="A247" s="34" t="s">
        <v>159</v>
      </c>
      <c r="B247" s="41">
        <v>196</v>
      </c>
      <c r="C247" s="41">
        <v>0</v>
      </c>
      <c r="D247" s="41">
        <v>13</v>
      </c>
      <c r="E247" s="41">
        <v>27</v>
      </c>
      <c r="F247" s="41">
        <v>40</v>
      </c>
    </row>
    <row r="248" spans="1:6" ht="13">
      <c r="A248" s="34" t="s">
        <v>161</v>
      </c>
      <c r="B248" s="41">
        <v>157</v>
      </c>
      <c r="C248" s="41">
        <v>3</v>
      </c>
      <c r="D248" s="41">
        <v>11</v>
      </c>
      <c r="E248" s="41">
        <v>28</v>
      </c>
      <c r="F248" s="41">
        <v>40</v>
      </c>
    </row>
    <row r="249" spans="1:6" ht="13">
      <c r="A249" s="34" t="s">
        <v>163</v>
      </c>
      <c r="B249" s="41">
        <v>171</v>
      </c>
      <c r="C249" s="41">
        <v>11</v>
      </c>
      <c r="D249" s="41">
        <v>15</v>
      </c>
      <c r="E249" s="41">
        <v>24</v>
      </c>
      <c r="F249" s="41">
        <v>35</v>
      </c>
    </row>
    <row r="250" spans="1:6" ht="13">
      <c r="A250" s="34" t="s">
        <v>165</v>
      </c>
      <c r="B250" s="41">
        <v>149</v>
      </c>
      <c r="C250" s="41">
        <v>11</v>
      </c>
      <c r="D250" s="41">
        <v>12</v>
      </c>
      <c r="E250" s="41">
        <v>27</v>
      </c>
      <c r="F250" s="41">
        <v>37</v>
      </c>
    </row>
    <row r="251" spans="1:6" ht="13">
      <c r="A251" s="34" t="s">
        <v>167</v>
      </c>
      <c r="B251" s="41">
        <v>199</v>
      </c>
      <c r="C251" s="41">
        <v>4</v>
      </c>
      <c r="D251" s="41">
        <v>16</v>
      </c>
      <c r="E251" s="41">
        <v>35</v>
      </c>
      <c r="F251" s="41">
        <v>48</v>
      </c>
    </row>
    <row r="252" spans="1:6" ht="13">
      <c r="A252" s="34" t="s">
        <v>169</v>
      </c>
      <c r="B252" s="41">
        <v>195</v>
      </c>
      <c r="C252" s="41">
        <v>6</v>
      </c>
      <c r="D252" s="41">
        <v>14</v>
      </c>
      <c r="E252" s="41">
        <v>30</v>
      </c>
      <c r="F252" s="41">
        <v>41</v>
      </c>
    </row>
    <row r="253" spans="1:6" ht="13">
      <c r="A253" s="44" t="s">
        <v>148</v>
      </c>
      <c r="B253" s="45">
        <v>180</v>
      </c>
      <c r="C253" s="45">
        <v>7</v>
      </c>
      <c r="D253" s="45">
        <v>13</v>
      </c>
      <c r="E253" s="45">
        <v>29</v>
      </c>
      <c r="F253" s="45">
        <v>42</v>
      </c>
    </row>
    <row r="254" spans="1:6" ht="13">
      <c r="A254" s="39" t="s">
        <v>132</v>
      </c>
      <c r="B254" s="40"/>
      <c r="C254" s="40"/>
      <c r="D254" s="40"/>
      <c r="E254" s="40"/>
      <c r="F254" s="40"/>
    </row>
    <row r="255" spans="1:6" ht="13">
      <c r="A255" s="34" t="s">
        <v>149</v>
      </c>
      <c r="B255" s="41">
        <v>234</v>
      </c>
      <c r="C255" s="41">
        <v>5</v>
      </c>
      <c r="D255" s="41">
        <v>15</v>
      </c>
      <c r="E255" s="41">
        <v>39</v>
      </c>
      <c r="F255" s="41">
        <v>64</v>
      </c>
    </row>
    <row r="256" spans="1:6" ht="13">
      <c r="A256" s="34" t="s">
        <v>151</v>
      </c>
      <c r="B256" s="41">
        <v>226</v>
      </c>
      <c r="C256" s="41">
        <v>18</v>
      </c>
      <c r="D256" s="41">
        <v>17</v>
      </c>
      <c r="E256" s="41">
        <v>35</v>
      </c>
      <c r="F256" s="41">
        <v>56</v>
      </c>
    </row>
    <row r="257" spans="1:6" ht="13">
      <c r="A257" s="34" t="s">
        <v>175</v>
      </c>
      <c r="B257" s="41">
        <v>195</v>
      </c>
      <c r="C257" s="41">
        <v>6</v>
      </c>
      <c r="D257" s="41">
        <v>18</v>
      </c>
      <c r="E257" s="41">
        <v>40</v>
      </c>
      <c r="F257" s="41">
        <v>65</v>
      </c>
    </row>
    <row r="258" spans="1:6" ht="13">
      <c r="A258" s="34" t="s">
        <v>177</v>
      </c>
      <c r="B258" s="41">
        <v>179</v>
      </c>
      <c r="C258" s="41">
        <v>18</v>
      </c>
      <c r="D258" s="41">
        <v>13</v>
      </c>
      <c r="E258" s="41">
        <v>28</v>
      </c>
      <c r="F258" s="41">
        <v>48</v>
      </c>
    </row>
    <row r="259" spans="1:6" ht="13">
      <c r="A259" s="34" t="s">
        <v>153</v>
      </c>
      <c r="B259" s="41">
        <v>187</v>
      </c>
      <c r="C259" s="41">
        <v>8</v>
      </c>
      <c r="D259" s="41">
        <v>11</v>
      </c>
      <c r="E259" s="41">
        <v>23</v>
      </c>
      <c r="F259" s="41">
        <v>38</v>
      </c>
    </row>
    <row r="260" spans="1:6" ht="13">
      <c r="A260" s="34" t="s">
        <v>155</v>
      </c>
      <c r="B260" s="41">
        <v>206</v>
      </c>
      <c r="C260" s="41">
        <v>2</v>
      </c>
      <c r="D260" s="41">
        <v>17</v>
      </c>
      <c r="E260" s="41">
        <v>35</v>
      </c>
      <c r="F260" s="41">
        <v>60</v>
      </c>
    </row>
    <row r="261" spans="1:6" ht="13">
      <c r="A261" s="34" t="s">
        <v>157</v>
      </c>
      <c r="B261" s="41">
        <v>197</v>
      </c>
      <c r="C261" s="41">
        <v>8</v>
      </c>
      <c r="D261" s="41">
        <v>13</v>
      </c>
      <c r="E261" s="41">
        <v>28</v>
      </c>
      <c r="F261" s="41">
        <v>46</v>
      </c>
    </row>
    <row r="262" spans="1:6" ht="13">
      <c r="A262" s="34" t="s">
        <v>159</v>
      </c>
      <c r="B262" s="41">
        <v>224</v>
      </c>
      <c r="C262" s="41">
        <v>0</v>
      </c>
      <c r="D262" s="41">
        <v>16</v>
      </c>
      <c r="E262" s="41">
        <v>31</v>
      </c>
      <c r="F262" s="41">
        <v>52</v>
      </c>
    </row>
    <row r="263" spans="1:6" ht="13">
      <c r="A263" s="34" t="s">
        <v>161</v>
      </c>
      <c r="B263" s="41">
        <v>217</v>
      </c>
      <c r="C263" s="41">
        <v>7</v>
      </c>
      <c r="D263" s="41">
        <v>16</v>
      </c>
      <c r="E263" s="41">
        <v>35</v>
      </c>
      <c r="F263" s="41">
        <v>59</v>
      </c>
    </row>
    <row r="264" spans="1:6" ht="13">
      <c r="A264" s="34" t="s">
        <v>163</v>
      </c>
      <c r="B264" s="41">
        <v>199</v>
      </c>
      <c r="C264" s="41">
        <v>20</v>
      </c>
      <c r="D264" s="41">
        <v>16</v>
      </c>
      <c r="E264" s="41">
        <v>30</v>
      </c>
      <c r="F264" s="41">
        <v>47</v>
      </c>
    </row>
    <row r="265" spans="1:6" ht="13">
      <c r="A265" s="34" t="s">
        <v>169</v>
      </c>
      <c r="B265" s="41">
        <v>196</v>
      </c>
      <c r="C265" s="41">
        <v>2</v>
      </c>
      <c r="D265" s="41">
        <v>14</v>
      </c>
      <c r="E265" s="41">
        <v>33</v>
      </c>
      <c r="F265" s="41">
        <v>52</v>
      </c>
    </row>
    <row r="266" spans="1:6" ht="13">
      <c r="A266" s="44" t="s">
        <v>148</v>
      </c>
      <c r="B266" s="45">
        <v>205</v>
      </c>
      <c r="C266" s="45">
        <v>9</v>
      </c>
      <c r="D266" s="45">
        <v>15</v>
      </c>
      <c r="E266" s="45">
        <v>33</v>
      </c>
      <c r="F266" s="45">
        <v>53</v>
      </c>
    </row>
    <row r="267" spans="1:6" ht="13">
      <c r="A267" s="39" t="s">
        <v>134</v>
      </c>
      <c r="B267" s="40"/>
      <c r="C267" s="40"/>
      <c r="D267" s="40"/>
      <c r="E267" s="40"/>
      <c r="F267" s="40"/>
    </row>
    <row r="268" spans="1:6" ht="13">
      <c r="A268" s="34" t="s">
        <v>149</v>
      </c>
      <c r="B268" s="41">
        <v>231</v>
      </c>
      <c r="C268" s="41">
        <v>8</v>
      </c>
      <c r="D268" s="41">
        <v>14</v>
      </c>
      <c r="E268" s="41">
        <v>37</v>
      </c>
      <c r="F268" s="41">
        <v>58</v>
      </c>
    </row>
    <row r="269" spans="1:6" ht="13">
      <c r="A269" s="34" t="s">
        <v>151</v>
      </c>
      <c r="B269" s="41">
        <v>208</v>
      </c>
      <c r="C269" s="41">
        <v>21</v>
      </c>
      <c r="D269" s="41">
        <v>14</v>
      </c>
      <c r="E269" s="41">
        <v>32</v>
      </c>
      <c r="F269" s="41">
        <v>49</v>
      </c>
    </row>
    <row r="270" spans="1:6" ht="13">
      <c r="A270" s="34" t="s">
        <v>189</v>
      </c>
      <c r="B270" s="41">
        <v>197</v>
      </c>
      <c r="C270" s="41">
        <v>6</v>
      </c>
      <c r="D270" s="41">
        <v>14</v>
      </c>
      <c r="E270" s="41">
        <v>32</v>
      </c>
      <c r="F270" s="41">
        <v>50</v>
      </c>
    </row>
    <row r="271" spans="1:6" ht="13">
      <c r="A271" s="34" t="s">
        <v>175</v>
      </c>
      <c r="B271" s="41">
        <v>189</v>
      </c>
      <c r="C271" s="41">
        <v>4</v>
      </c>
      <c r="D271" s="41">
        <v>14</v>
      </c>
      <c r="E271" s="41">
        <v>35</v>
      </c>
      <c r="F271" s="41">
        <v>57</v>
      </c>
    </row>
    <row r="272" spans="1:6" ht="13">
      <c r="A272" s="34" t="s">
        <v>177</v>
      </c>
      <c r="B272" s="41">
        <v>160</v>
      </c>
      <c r="C272" s="41">
        <v>11</v>
      </c>
      <c r="D272" s="41">
        <v>15</v>
      </c>
      <c r="E272" s="41">
        <v>31</v>
      </c>
      <c r="F272" s="41">
        <v>48</v>
      </c>
    </row>
    <row r="273" spans="1:6" ht="13">
      <c r="A273" s="34" t="s">
        <v>153</v>
      </c>
      <c r="B273" s="41">
        <v>217</v>
      </c>
      <c r="C273" s="41">
        <v>8</v>
      </c>
      <c r="D273" s="41">
        <v>14</v>
      </c>
      <c r="E273" s="41">
        <v>30</v>
      </c>
      <c r="F273" s="41">
        <v>45</v>
      </c>
    </row>
    <row r="274" spans="1:6" ht="13">
      <c r="A274" s="34" t="s">
        <v>155</v>
      </c>
      <c r="B274" s="41">
        <v>199</v>
      </c>
      <c r="C274" s="41">
        <v>6</v>
      </c>
      <c r="D274" s="41">
        <v>15</v>
      </c>
      <c r="E274" s="41">
        <v>35</v>
      </c>
      <c r="F274" s="41">
        <v>56</v>
      </c>
    </row>
    <row r="275" spans="1:6" ht="13">
      <c r="A275" s="34" t="s">
        <v>157</v>
      </c>
      <c r="B275" s="41">
        <v>195</v>
      </c>
      <c r="C275" s="41">
        <v>5</v>
      </c>
      <c r="D275" s="41">
        <v>17</v>
      </c>
      <c r="E275" s="41">
        <v>34</v>
      </c>
      <c r="F275" s="41">
        <v>48</v>
      </c>
    </row>
    <row r="276" spans="1:6" ht="13">
      <c r="A276" s="34" t="s">
        <v>159</v>
      </c>
      <c r="B276" s="41">
        <v>231</v>
      </c>
      <c r="C276" s="41">
        <v>5</v>
      </c>
      <c r="D276" s="41">
        <v>16</v>
      </c>
      <c r="E276" s="41">
        <v>31</v>
      </c>
      <c r="F276" s="41">
        <v>48</v>
      </c>
    </row>
    <row r="277" spans="1:6" ht="13">
      <c r="A277" s="34" t="s">
        <v>161</v>
      </c>
      <c r="B277" s="41">
        <v>203</v>
      </c>
      <c r="C277" s="41">
        <v>7</v>
      </c>
      <c r="D277" s="41">
        <v>15</v>
      </c>
      <c r="E277" s="41">
        <v>35</v>
      </c>
      <c r="F277" s="41">
        <v>57</v>
      </c>
    </row>
    <row r="278" spans="1:6" ht="13">
      <c r="A278" s="34" t="s">
        <v>163</v>
      </c>
      <c r="B278" s="41">
        <v>182</v>
      </c>
      <c r="C278" s="41">
        <v>18</v>
      </c>
      <c r="D278" s="41">
        <v>13</v>
      </c>
      <c r="E278" s="41">
        <v>23</v>
      </c>
      <c r="F278" s="41">
        <v>33</v>
      </c>
    </row>
    <row r="279" spans="1:6" ht="13">
      <c r="A279" s="34" t="s">
        <v>169</v>
      </c>
      <c r="B279" s="41">
        <v>200</v>
      </c>
      <c r="C279" s="41">
        <v>4</v>
      </c>
      <c r="D279" s="41">
        <v>13</v>
      </c>
      <c r="E279" s="41">
        <v>33</v>
      </c>
      <c r="F279" s="41">
        <v>51</v>
      </c>
    </row>
    <row r="280" spans="1:6" ht="13">
      <c r="A280" s="44" t="s">
        <v>148</v>
      </c>
      <c r="B280" s="45">
        <v>201</v>
      </c>
      <c r="C280" s="45">
        <v>9</v>
      </c>
      <c r="D280" s="45">
        <v>14</v>
      </c>
      <c r="E280" s="45">
        <v>32</v>
      </c>
      <c r="F280" s="45">
        <v>50</v>
      </c>
    </row>
    <row r="281" spans="1:6" ht="13">
      <c r="A281" s="39" t="s">
        <v>136</v>
      </c>
      <c r="B281" s="40"/>
      <c r="C281" s="40"/>
      <c r="D281" s="40"/>
      <c r="E281" s="40"/>
      <c r="F281" s="40"/>
    </row>
    <row r="282" spans="1:6" ht="13">
      <c r="A282" s="34" t="s">
        <v>149</v>
      </c>
      <c r="B282" s="41">
        <v>307</v>
      </c>
      <c r="C282" s="41">
        <v>8</v>
      </c>
      <c r="D282" s="41">
        <v>18</v>
      </c>
      <c r="E282" s="41">
        <v>43</v>
      </c>
      <c r="F282" s="41">
        <v>71</v>
      </c>
    </row>
    <row r="283" spans="1:6" ht="13">
      <c r="A283" s="34" t="s">
        <v>151</v>
      </c>
      <c r="B283" s="41">
        <v>219</v>
      </c>
      <c r="C283" s="41">
        <v>21</v>
      </c>
      <c r="D283" s="41">
        <v>14</v>
      </c>
      <c r="E283" s="41">
        <v>34</v>
      </c>
      <c r="F283" s="41">
        <v>56</v>
      </c>
    </row>
    <row r="284" spans="1:6" ht="13">
      <c r="A284" s="34" t="s">
        <v>189</v>
      </c>
      <c r="B284" s="41">
        <v>228</v>
      </c>
      <c r="C284" s="41">
        <v>10</v>
      </c>
      <c r="D284" s="41">
        <v>16</v>
      </c>
      <c r="E284" s="41">
        <v>33</v>
      </c>
      <c r="F284" s="41">
        <v>53</v>
      </c>
    </row>
    <row r="285" spans="1:6" ht="13">
      <c r="A285" s="34" t="s">
        <v>175</v>
      </c>
      <c r="B285" s="41">
        <v>183</v>
      </c>
      <c r="C285" s="41">
        <v>4</v>
      </c>
      <c r="D285" s="41">
        <v>15</v>
      </c>
      <c r="E285" s="41">
        <v>33</v>
      </c>
      <c r="F285" s="41">
        <v>56</v>
      </c>
    </row>
    <row r="286" spans="1:6" ht="13">
      <c r="A286" s="34" t="s">
        <v>177</v>
      </c>
      <c r="B286" s="41">
        <v>201</v>
      </c>
      <c r="C286" s="41">
        <v>24</v>
      </c>
      <c r="D286" s="41">
        <v>15</v>
      </c>
      <c r="E286" s="41">
        <v>32</v>
      </c>
      <c r="F286" s="41">
        <v>50</v>
      </c>
    </row>
    <row r="287" spans="1:6" ht="13">
      <c r="A287" s="34" t="s">
        <v>153</v>
      </c>
      <c r="B287" s="41">
        <v>234</v>
      </c>
      <c r="C287" s="41">
        <v>14</v>
      </c>
      <c r="D287" s="41">
        <v>13</v>
      </c>
      <c r="E287" s="41">
        <v>24</v>
      </c>
      <c r="F287" s="41">
        <v>41</v>
      </c>
    </row>
    <row r="288" spans="1:6" ht="13">
      <c r="A288" s="34" t="s">
        <v>155</v>
      </c>
      <c r="B288" s="41">
        <v>238</v>
      </c>
      <c r="C288" s="41">
        <v>2</v>
      </c>
      <c r="D288" s="41">
        <v>17</v>
      </c>
      <c r="E288" s="41">
        <v>38</v>
      </c>
      <c r="F288" s="41">
        <v>63</v>
      </c>
    </row>
    <row r="289" spans="1:6" ht="13">
      <c r="A289" s="34" t="s">
        <v>157</v>
      </c>
      <c r="B289" s="41">
        <v>193</v>
      </c>
      <c r="C289" s="41">
        <v>9</v>
      </c>
      <c r="D289" s="41">
        <v>15</v>
      </c>
      <c r="E289" s="41">
        <v>27</v>
      </c>
      <c r="F289" s="41">
        <v>44</v>
      </c>
    </row>
    <row r="290" spans="1:6" ht="13">
      <c r="A290" s="34" t="s">
        <v>159</v>
      </c>
      <c r="B290" s="41">
        <v>255</v>
      </c>
      <c r="C290" s="41">
        <v>1</v>
      </c>
      <c r="D290" s="41">
        <v>20</v>
      </c>
      <c r="E290" s="41">
        <v>35</v>
      </c>
      <c r="F290" s="41">
        <v>56</v>
      </c>
    </row>
    <row r="291" spans="1:6" ht="13">
      <c r="A291" s="34" t="s">
        <v>161</v>
      </c>
      <c r="B291" s="41">
        <v>245</v>
      </c>
      <c r="C291" s="41">
        <v>22</v>
      </c>
      <c r="D291" s="41">
        <v>15</v>
      </c>
      <c r="E291" s="41">
        <v>34</v>
      </c>
      <c r="F291" s="41">
        <v>56</v>
      </c>
    </row>
    <row r="292" spans="1:6" ht="13">
      <c r="A292" s="34" t="s">
        <v>163</v>
      </c>
      <c r="B292" s="41">
        <v>182</v>
      </c>
      <c r="C292" s="41">
        <v>8</v>
      </c>
      <c r="D292" s="41">
        <v>15</v>
      </c>
      <c r="E292" s="41">
        <v>26</v>
      </c>
      <c r="F292" s="41">
        <v>38</v>
      </c>
    </row>
    <row r="293" spans="1:6" ht="13">
      <c r="A293" s="34" t="s">
        <v>169</v>
      </c>
      <c r="B293" s="41">
        <v>241</v>
      </c>
      <c r="C293" s="41">
        <v>6</v>
      </c>
      <c r="D293" s="41">
        <v>16</v>
      </c>
      <c r="E293" s="41">
        <v>36</v>
      </c>
      <c r="F293" s="41">
        <v>59</v>
      </c>
    </row>
    <row r="294" spans="1:6" ht="13">
      <c r="A294" s="44" t="s">
        <v>148</v>
      </c>
      <c r="B294" s="45">
        <v>227</v>
      </c>
      <c r="C294" s="45">
        <v>11</v>
      </c>
      <c r="D294" s="45">
        <v>16</v>
      </c>
      <c r="E294" s="45">
        <v>33</v>
      </c>
      <c r="F294" s="45">
        <v>53</v>
      </c>
    </row>
    <row r="295" spans="1:6" ht="13">
      <c r="A295" s="39" t="s">
        <v>137</v>
      </c>
      <c r="B295" s="40"/>
      <c r="C295" s="40"/>
      <c r="D295" s="40"/>
      <c r="E295" s="40"/>
      <c r="F295" s="40"/>
    </row>
    <row r="296" spans="1:6" ht="13">
      <c r="A296" s="34" t="s">
        <v>149</v>
      </c>
      <c r="B296" s="41">
        <v>128</v>
      </c>
      <c r="C296" s="41">
        <v>5</v>
      </c>
      <c r="D296" s="41">
        <v>16</v>
      </c>
      <c r="E296" s="41">
        <v>38</v>
      </c>
      <c r="F296" s="41">
        <v>61</v>
      </c>
    </row>
    <row r="297" spans="1:6" ht="13">
      <c r="A297" s="34" t="s">
        <v>151</v>
      </c>
      <c r="B297" s="41">
        <v>117</v>
      </c>
      <c r="C297" s="41">
        <v>11</v>
      </c>
      <c r="D297" s="41">
        <v>14</v>
      </c>
      <c r="E297" s="41">
        <v>34</v>
      </c>
      <c r="F297" s="41">
        <v>52</v>
      </c>
    </row>
    <row r="298" spans="1:6" ht="13">
      <c r="A298" s="34" t="s">
        <v>189</v>
      </c>
      <c r="B298" s="41">
        <v>114</v>
      </c>
      <c r="C298" s="41">
        <v>4</v>
      </c>
      <c r="D298" s="41">
        <v>15</v>
      </c>
      <c r="E298" s="41">
        <v>32</v>
      </c>
      <c r="F298" s="41">
        <v>50</v>
      </c>
    </row>
    <row r="299" spans="1:6" ht="13">
      <c r="A299" s="34" t="s">
        <v>175</v>
      </c>
      <c r="B299" s="41">
        <v>103</v>
      </c>
      <c r="C299" s="41">
        <v>4</v>
      </c>
      <c r="D299" s="41">
        <v>12</v>
      </c>
      <c r="E299" s="41">
        <v>32</v>
      </c>
      <c r="F299" s="41">
        <v>51</v>
      </c>
    </row>
    <row r="300" spans="1:6" ht="13">
      <c r="A300" s="34" t="s">
        <v>177</v>
      </c>
      <c r="B300" s="41">
        <v>101</v>
      </c>
      <c r="C300" s="41">
        <v>17</v>
      </c>
      <c r="D300" s="41">
        <v>14</v>
      </c>
      <c r="E300" s="41">
        <v>29</v>
      </c>
      <c r="F300" s="41">
        <v>46</v>
      </c>
    </row>
    <row r="301" spans="1:6" ht="13">
      <c r="A301" s="34" t="s">
        <v>153</v>
      </c>
      <c r="B301" s="41">
        <v>108</v>
      </c>
      <c r="C301" s="41">
        <v>0</v>
      </c>
      <c r="D301" s="41">
        <v>12</v>
      </c>
      <c r="E301" s="41">
        <v>26</v>
      </c>
      <c r="F301" s="41">
        <v>39</v>
      </c>
    </row>
    <row r="302" spans="1:6" ht="13">
      <c r="A302" s="34" t="s">
        <v>155</v>
      </c>
      <c r="B302" s="41">
        <v>104</v>
      </c>
      <c r="C302" s="41">
        <v>1</v>
      </c>
      <c r="D302" s="41">
        <v>16</v>
      </c>
      <c r="E302" s="41">
        <v>31</v>
      </c>
      <c r="F302" s="41">
        <v>52</v>
      </c>
    </row>
    <row r="303" spans="1:6" ht="13">
      <c r="A303" s="34" t="s">
        <v>157</v>
      </c>
      <c r="B303" s="41">
        <v>96</v>
      </c>
      <c r="C303" s="41">
        <v>2</v>
      </c>
      <c r="D303" s="41">
        <v>13</v>
      </c>
      <c r="E303" s="41">
        <v>26</v>
      </c>
      <c r="F303" s="41">
        <v>41</v>
      </c>
    </row>
    <row r="304" spans="1:6" ht="13">
      <c r="A304" s="34" t="s">
        <v>159</v>
      </c>
      <c r="B304" s="41">
        <v>97</v>
      </c>
      <c r="C304" s="41">
        <v>1</v>
      </c>
      <c r="D304" s="41">
        <v>13</v>
      </c>
      <c r="E304" s="41">
        <v>27</v>
      </c>
      <c r="F304" s="41">
        <v>42</v>
      </c>
    </row>
    <row r="305" spans="1:6" ht="13">
      <c r="A305" s="34" t="s">
        <v>161</v>
      </c>
      <c r="B305" s="41">
        <v>106</v>
      </c>
      <c r="C305" s="41">
        <v>2</v>
      </c>
      <c r="D305" s="41">
        <v>15</v>
      </c>
      <c r="E305" s="41">
        <v>33</v>
      </c>
      <c r="F305" s="41">
        <v>50</v>
      </c>
    </row>
    <row r="306" spans="1:6" ht="13">
      <c r="A306" s="34" t="s">
        <v>163</v>
      </c>
      <c r="B306" s="41">
        <v>88</v>
      </c>
      <c r="C306" s="41">
        <v>2</v>
      </c>
      <c r="D306" s="41">
        <v>12</v>
      </c>
      <c r="E306" s="41">
        <v>23</v>
      </c>
      <c r="F306" s="41">
        <v>31</v>
      </c>
    </row>
    <row r="307" spans="1:6" ht="13">
      <c r="A307" s="34" t="s">
        <v>165</v>
      </c>
      <c r="B307" s="41">
        <v>3</v>
      </c>
      <c r="C307" s="41">
        <v>0</v>
      </c>
      <c r="D307" s="41">
        <v>1</v>
      </c>
      <c r="E307" s="41">
        <v>1</v>
      </c>
      <c r="F307" s="41">
        <v>1</v>
      </c>
    </row>
    <row r="308" spans="1:6" ht="13">
      <c r="A308" s="34" t="s">
        <v>167</v>
      </c>
      <c r="B308" s="41">
        <v>3</v>
      </c>
      <c r="C308" s="41">
        <v>0</v>
      </c>
      <c r="D308" s="41">
        <v>0</v>
      </c>
      <c r="E308" s="41">
        <v>1</v>
      </c>
      <c r="F308" s="41">
        <v>1</v>
      </c>
    </row>
    <row r="309" spans="1:6" ht="13">
      <c r="A309" s="34" t="s">
        <v>169</v>
      </c>
      <c r="B309" s="41">
        <v>112</v>
      </c>
      <c r="C309" s="41">
        <v>2</v>
      </c>
      <c r="D309" s="41">
        <v>13</v>
      </c>
      <c r="E309" s="41">
        <v>31</v>
      </c>
      <c r="F309" s="41">
        <v>49</v>
      </c>
    </row>
    <row r="310" spans="1:6" ht="13">
      <c r="A310" s="44" t="s">
        <v>148</v>
      </c>
      <c r="B310" s="45">
        <f>AVERAGE(B296:B306,B309)</f>
        <v>106.16666666666667</v>
      </c>
      <c r="C310" s="45">
        <v>4</v>
      </c>
      <c r="D310" s="45">
        <v>12</v>
      </c>
      <c r="E310" s="45">
        <v>26</v>
      </c>
      <c r="F310" s="45">
        <v>40</v>
      </c>
    </row>
    <row r="311" spans="1:6" ht="13">
      <c r="A311" s="39" t="s">
        <v>138</v>
      </c>
      <c r="B311" s="40"/>
      <c r="C311" s="40"/>
      <c r="D311" s="40"/>
      <c r="E311" s="40"/>
      <c r="F311" s="40"/>
    </row>
    <row r="312" spans="1:6" ht="13">
      <c r="A312" s="34" t="s">
        <v>149</v>
      </c>
      <c r="B312" s="41">
        <v>266</v>
      </c>
      <c r="C312" s="41">
        <v>7</v>
      </c>
      <c r="D312" s="41">
        <v>16</v>
      </c>
      <c r="E312" s="41">
        <v>36</v>
      </c>
      <c r="F312" s="41">
        <v>60</v>
      </c>
    </row>
    <row r="313" spans="1:6" ht="13">
      <c r="A313" s="34" t="s">
        <v>151</v>
      </c>
      <c r="B313" s="41">
        <v>231</v>
      </c>
      <c r="C313" s="41">
        <v>21</v>
      </c>
      <c r="D313" s="41">
        <v>13</v>
      </c>
      <c r="E313" s="41">
        <v>33</v>
      </c>
      <c r="F313" s="41">
        <v>52</v>
      </c>
    </row>
    <row r="314" spans="1:6" ht="13">
      <c r="A314" s="34" t="s">
        <v>189</v>
      </c>
      <c r="B314" s="41">
        <v>220</v>
      </c>
      <c r="C314" s="41">
        <v>7</v>
      </c>
      <c r="D314" s="41">
        <v>15</v>
      </c>
      <c r="E314" s="41">
        <v>29</v>
      </c>
      <c r="F314" s="41">
        <v>45</v>
      </c>
    </row>
    <row r="315" spans="1:6" ht="13">
      <c r="A315" s="34" t="s">
        <v>175</v>
      </c>
      <c r="B315" s="41">
        <v>191</v>
      </c>
      <c r="C315" s="41">
        <v>3</v>
      </c>
      <c r="D315" s="41">
        <v>13</v>
      </c>
      <c r="E315" s="41">
        <v>35</v>
      </c>
      <c r="F315" s="41">
        <v>54</v>
      </c>
    </row>
    <row r="316" spans="1:6" ht="13">
      <c r="A316" s="34" t="s">
        <v>177</v>
      </c>
      <c r="B316" s="41">
        <v>209</v>
      </c>
      <c r="C316" s="41">
        <v>13</v>
      </c>
      <c r="D316" s="41">
        <v>12</v>
      </c>
      <c r="E316" s="41">
        <v>24</v>
      </c>
      <c r="F316" s="41">
        <v>38</v>
      </c>
    </row>
    <row r="317" spans="1:6" ht="13">
      <c r="A317" s="34" t="s">
        <v>153</v>
      </c>
      <c r="B317" s="41">
        <v>240</v>
      </c>
      <c r="C317" s="41">
        <v>8</v>
      </c>
      <c r="D317" s="41">
        <v>13</v>
      </c>
      <c r="E317" s="41">
        <v>26</v>
      </c>
      <c r="F317" s="41">
        <v>39</v>
      </c>
    </row>
    <row r="318" spans="1:6" ht="13">
      <c r="A318" s="34" t="s">
        <v>155</v>
      </c>
      <c r="B318" s="41">
        <v>214</v>
      </c>
      <c r="C318" s="41">
        <v>3</v>
      </c>
      <c r="D318" s="41">
        <v>16</v>
      </c>
      <c r="E318" s="41">
        <v>33</v>
      </c>
      <c r="F318" s="41">
        <v>53</v>
      </c>
    </row>
    <row r="319" spans="1:6" ht="13">
      <c r="A319" s="34" t="s">
        <v>157</v>
      </c>
      <c r="B319" s="41">
        <v>191</v>
      </c>
      <c r="C319" s="41">
        <v>4</v>
      </c>
      <c r="D319" s="41">
        <v>14</v>
      </c>
      <c r="E319" s="41">
        <v>25</v>
      </c>
      <c r="F319" s="41">
        <v>38</v>
      </c>
    </row>
    <row r="320" spans="1:6" ht="13">
      <c r="A320" s="34" t="s">
        <v>159</v>
      </c>
      <c r="B320" s="41">
        <v>226</v>
      </c>
      <c r="C320" s="41">
        <v>4</v>
      </c>
      <c r="D320" s="41">
        <v>14</v>
      </c>
      <c r="E320" s="41">
        <v>27</v>
      </c>
      <c r="F320" s="41">
        <v>42</v>
      </c>
    </row>
    <row r="321" spans="1:6" ht="13">
      <c r="A321" s="34" t="s">
        <v>161</v>
      </c>
      <c r="B321" s="41">
        <v>239</v>
      </c>
      <c r="C321" s="41">
        <v>14</v>
      </c>
      <c r="D321" s="41">
        <v>17</v>
      </c>
      <c r="E321" s="41">
        <v>36</v>
      </c>
      <c r="F321" s="41">
        <v>55</v>
      </c>
    </row>
    <row r="322" spans="1:6" ht="13">
      <c r="A322" s="34" t="s">
        <v>163</v>
      </c>
      <c r="B322" s="41">
        <v>174</v>
      </c>
      <c r="C322" s="41">
        <v>19</v>
      </c>
      <c r="D322" s="41">
        <v>10</v>
      </c>
      <c r="E322" s="41">
        <v>19</v>
      </c>
      <c r="F322" s="41">
        <v>27</v>
      </c>
    </row>
    <row r="323" spans="1:6" ht="13">
      <c r="A323" s="34" t="s">
        <v>165</v>
      </c>
      <c r="B323" s="41">
        <v>159</v>
      </c>
      <c r="C323" s="41">
        <v>17</v>
      </c>
      <c r="D323" s="41">
        <v>13</v>
      </c>
      <c r="E323" s="41">
        <v>24</v>
      </c>
      <c r="F323" s="41">
        <v>36</v>
      </c>
    </row>
    <row r="324" spans="1:6" ht="13">
      <c r="A324" s="34" t="s">
        <v>169</v>
      </c>
      <c r="B324" s="41">
        <v>223</v>
      </c>
      <c r="C324" s="41">
        <v>8</v>
      </c>
      <c r="D324" s="41">
        <v>13</v>
      </c>
      <c r="E324" s="41">
        <v>32</v>
      </c>
      <c r="F324" s="41">
        <v>49</v>
      </c>
    </row>
    <row r="325" spans="1:6" ht="13">
      <c r="A325" s="44" t="s">
        <v>148</v>
      </c>
      <c r="B325" s="45">
        <v>214</v>
      </c>
      <c r="C325" s="45">
        <v>10</v>
      </c>
      <c r="D325" s="45">
        <v>14</v>
      </c>
      <c r="E325" s="45">
        <v>29</v>
      </c>
      <c r="F325" s="45">
        <v>45</v>
      </c>
    </row>
    <row r="326" spans="1:6" ht="13">
      <c r="A326" s="39" t="s">
        <v>139</v>
      </c>
      <c r="B326" s="40"/>
      <c r="C326" s="40"/>
      <c r="D326" s="40"/>
      <c r="E326" s="40"/>
      <c r="F326" s="40"/>
    </row>
    <row r="327" spans="1:6" ht="13">
      <c r="A327" s="34" t="s">
        <v>149</v>
      </c>
      <c r="B327" s="41">
        <v>217</v>
      </c>
      <c r="C327" s="41">
        <v>6</v>
      </c>
      <c r="D327" s="41">
        <v>14</v>
      </c>
      <c r="E327" s="41">
        <v>32</v>
      </c>
      <c r="F327" s="41">
        <v>53</v>
      </c>
    </row>
    <row r="328" spans="1:6" ht="13">
      <c r="A328" s="34" t="s">
        <v>151</v>
      </c>
      <c r="B328" s="41">
        <v>191</v>
      </c>
      <c r="C328" s="41">
        <v>11</v>
      </c>
      <c r="D328" s="41">
        <v>13</v>
      </c>
      <c r="E328" s="41">
        <v>28</v>
      </c>
      <c r="F328" s="41">
        <v>46</v>
      </c>
    </row>
    <row r="329" spans="1:6" ht="13">
      <c r="A329" s="34" t="s">
        <v>189</v>
      </c>
      <c r="B329" s="41">
        <v>248</v>
      </c>
      <c r="C329" s="41">
        <v>15</v>
      </c>
      <c r="D329" s="41">
        <v>16</v>
      </c>
      <c r="E329" s="41">
        <v>34</v>
      </c>
      <c r="F329" s="41">
        <v>55</v>
      </c>
    </row>
    <row r="330" spans="1:6" ht="13">
      <c r="A330" s="34" t="s">
        <v>175</v>
      </c>
      <c r="B330" s="41">
        <v>168</v>
      </c>
      <c r="C330" s="41">
        <v>3</v>
      </c>
      <c r="D330" s="41">
        <v>15</v>
      </c>
      <c r="E330" s="41">
        <v>31</v>
      </c>
      <c r="F330" s="41">
        <v>53</v>
      </c>
    </row>
    <row r="331" spans="1:6" ht="13">
      <c r="A331" s="34" t="s">
        <v>153</v>
      </c>
      <c r="B331" s="41">
        <v>228</v>
      </c>
      <c r="C331" s="41">
        <v>17</v>
      </c>
      <c r="D331" s="41">
        <v>11</v>
      </c>
      <c r="E331" s="41">
        <v>22</v>
      </c>
      <c r="F331" s="41">
        <v>37</v>
      </c>
    </row>
    <row r="332" spans="1:6" ht="13">
      <c r="A332" s="34" t="s">
        <v>155</v>
      </c>
      <c r="B332" s="41">
        <v>165</v>
      </c>
      <c r="C332" s="41">
        <v>3</v>
      </c>
      <c r="D332" s="41">
        <v>16</v>
      </c>
      <c r="E332" s="41">
        <v>29</v>
      </c>
      <c r="F332" s="41">
        <v>48</v>
      </c>
    </row>
    <row r="333" spans="1:6" ht="13">
      <c r="A333" s="34" t="s">
        <v>157</v>
      </c>
      <c r="B333" s="41">
        <v>178</v>
      </c>
      <c r="C333" s="41">
        <v>10</v>
      </c>
      <c r="D333" s="41">
        <v>13</v>
      </c>
      <c r="E333" s="41">
        <v>27</v>
      </c>
      <c r="F333" s="41">
        <v>42</v>
      </c>
    </row>
    <row r="334" spans="1:6" ht="13">
      <c r="A334" s="34" t="s">
        <v>159</v>
      </c>
      <c r="B334" s="41">
        <v>186</v>
      </c>
      <c r="C334" s="41">
        <v>2</v>
      </c>
      <c r="D334" s="41">
        <v>13</v>
      </c>
      <c r="E334" s="41">
        <v>26</v>
      </c>
      <c r="F334" s="41">
        <v>41</v>
      </c>
    </row>
    <row r="335" spans="1:6" ht="13">
      <c r="A335" s="34" t="s">
        <v>161</v>
      </c>
      <c r="B335" s="41">
        <v>225</v>
      </c>
      <c r="C335" s="41">
        <v>9</v>
      </c>
      <c r="D335" s="41">
        <v>16</v>
      </c>
      <c r="E335" s="41">
        <v>33</v>
      </c>
      <c r="F335" s="41">
        <v>53</v>
      </c>
    </row>
    <row r="336" spans="1:6" ht="13">
      <c r="A336" s="34" t="s">
        <v>163</v>
      </c>
      <c r="B336" s="41">
        <v>170</v>
      </c>
      <c r="C336" s="41">
        <v>8</v>
      </c>
      <c r="D336" s="41">
        <v>13</v>
      </c>
      <c r="E336" s="41">
        <v>25</v>
      </c>
      <c r="F336" s="41">
        <v>36</v>
      </c>
    </row>
    <row r="337" spans="1:6" ht="13">
      <c r="A337" s="34" t="s">
        <v>165</v>
      </c>
      <c r="B337" s="41">
        <v>161</v>
      </c>
      <c r="C337" s="41">
        <v>13</v>
      </c>
      <c r="D337" s="41">
        <v>12</v>
      </c>
      <c r="E337" s="41">
        <v>24</v>
      </c>
      <c r="F337" s="41">
        <v>38</v>
      </c>
    </row>
    <row r="338" spans="1:6" ht="13">
      <c r="A338" s="44" t="s">
        <v>148</v>
      </c>
      <c r="B338" s="45">
        <v>194</v>
      </c>
      <c r="C338" s="45">
        <v>9</v>
      </c>
      <c r="D338" s="45">
        <v>14</v>
      </c>
      <c r="E338" s="45">
        <v>28</v>
      </c>
      <c r="F338" s="45">
        <v>46</v>
      </c>
    </row>
    <row r="339" spans="1:6" ht="13">
      <c r="A339" s="39" t="s">
        <v>140</v>
      </c>
      <c r="B339" s="40"/>
      <c r="C339" s="40"/>
      <c r="D339" s="40"/>
      <c r="E339" s="40"/>
      <c r="F339" s="40"/>
    </row>
    <row r="340" spans="1:6" ht="13">
      <c r="A340" s="34" t="s">
        <v>149</v>
      </c>
      <c r="B340" s="41">
        <v>221</v>
      </c>
      <c r="C340" s="41">
        <v>8</v>
      </c>
      <c r="D340" s="41">
        <v>14</v>
      </c>
      <c r="E340" s="41">
        <v>32</v>
      </c>
      <c r="F340" s="41">
        <v>50</v>
      </c>
    </row>
    <row r="341" spans="1:6" ht="13">
      <c r="A341" s="34" t="s">
        <v>151</v>
      </c>
      <c r="B341" s="41">
        <v>176</v>
      </c>
      <c r="C341" s="41">
        <v>8</v>
      </c>
      <c r="D341" s="41">
        <v>11</v>
      </c>
      <c r="E341" s="41">
        <v>27</v>
      </c>
      <c r="F341" s="41">
        <v>40</v>
      </c>
    </row>
    <row r="342" spans="1:6" ht="13">
      <c r="A342" s="34" t="s">
        <v>189</v>
      </c>
      <c r="B342" s="41">
        <v>208</v>
      </c>
      <c r="C342" s="41">
        <v>10</v>
      </c>
      <c r="D342" s="41">
        <v>19</v>
      </c>
      <c r="E342" s="41">
        <v>38</v>
      </c>
      <c r="F342" s="41">
        <v>57</v>
      </c>
    </row>
    <row r="343" spans="1:6" ht="13">
      <c r="A343" s="34" t="s">
        <v>175</v>
      </c>
      <c r="B343" s="41">
        <v>180</v>
      </c>
      <c r="C343" s="41">
        <v>4</v>
      </c>
      <c r="D343" s="41">
        <v>16</v>
      </c>
      <c r="E343" s="41">
        <v>38</v>
      </c>
      <c r="F343" s="41">
        <v>54</v>
      </c>
    </row>
    <row r="344" spans="1:6" ht="13">
      <c r="A344" s="34" t="s">
        <v>177</v>
      </c>
      <c r="B344" s="41">
        <v>174</v>
      </c>
      <c r="C344" s="41">
        <v>12</v>
      </c>
      <c r="D344" s="41">
        <v>15</v>
      </c>
      <c r="E344" s="41">
        <v>27</v>
      </c>
      <c r="F344" s="41">
        <v>41</v>
      </c>
    </row>
    <row r="345" spans="1:6" ht="13">
      <c r="A345" s="34" t="s">
        <v>153</v>
      </c>
      <c r="B345" s="41">
        <v>218</v>
      </c>
      <c r="C345" s="41">
        <v>17</v>
      </c>
      <c r="D345" s="41">
        <v>14</v>
      </c>
      <c r="E345" s="41">
        <v>30</v>
      </c>
      <c r="F345" s="41">
        <v>45</v>
      </c>
    </row>
    <row r="346" spans="1:6" ht="13">
      <c r="A346" s="34" t="s">
        <v>155</v>
      </c>
      <c r="B346" s="41">
        <v>187</v>
      </c>
      <c r="C346" s="41">
        <v>3</v>
      </c>
      <c r="D346" s="41">
        <v>16</v>
      </c>
      <c r="E346" s="41">
        <v>36</v>
      </c>
      <c r="F346" s="41">
        <v>53</v>
      </c>
    </row>
    <row r="347" spans="1:6" ht="13">
      <c r="A347" s="34" t="s">
        <v>157</v>
      </c>
      <c r="B347" s="41">
        <v>205</v>
      </c>
      <c r="C347" s="41">
        <v>7</v>
      </c>
      <c r="D347" s="41">
        <v>16</v>
      </c>
      <c r="E347" s="41">
        <v>28</v>
      </c>
      <c r="F347" s="41">
        <v>42</v>
      </c>
    </row>
    <row r="348" spans="1:6" ht="13">
      <c r="A348" s="34" t="s">
        <v>159</v>
      </c>
      <c r="B348" s="41">
        <v>204</v>
      </c>
      <c r="C348" s="41">
        <v>2</v>
      </c>
      <c r="D348" s="41">
        <v>17</v>
      </c>
      <c r="E348" s="41">
        <v>29</v>
      </c>
      <c r="F348" s="41">
        <v>44</v>
      </c>
    </row>
    <row r="349" spans="1:6" ht="13">
      <c r="A349" s="34" t="s">
        <v>161</v>
      </c>
      <c r="B349" s="41">
        <v>189</v>
      </c>
      <c r="C349" s="41">
        <v>10</v>
      </c>
      <c r="D349" s="41">
        <v>12</v>
      </c>
      <c r="E349" s="41">
        <v>30</v>
      </c>
      <c r="F349" s="41">
        <v>44</v>
      </c>
    </row>
    <row r="350" spans="1:6" ht="13">
      <c r="A350" s="34" t="s">
        <v>163</v>
      </c>
      <c r="B350" s="41">
        <v>184</v>
      </c>
      <c r="C350" s="41">
        <v>10</v>
      </c>
      <c r="D350" s="41">
        <v>14</v>
      </c>
      <c r="E350" s="41">
        <v>25</v>
      </c>
      <c r="F350" s="41">
        <v>32</v>
      </c>
    </row>
    <row r="351" spans="1:6" ht="13">
      <c r="A351" s="34" t="s">
        <v>165</v>
      </c>
      <c r="B351" s="41">
        <v>151</v>
      </c>
      <c r="C351" s="41">
        <v>6</v>
      </c>
      <c r="D351" s="41">
        <v>13</v>
      </c>
      <c r="E351" s="41">
        <v>24</v>
      </c>
      <c r="F351" s="41">
        <v>36</v>
      </c>
    </row>
    <row r="352" spans="1:6" ht="13">
      <c r="A352" s="34" t="s">
        <v>169</v>
      </c>
      <c r="B352" s="41">
        <v>109</v>
      </c>
      <c r="C352" s="41">
        <v>3</v>
      </c>
      <c r="D352" s="41">
        <v>9</v>
      </c>
      <c r="E352" s="41">
        <v>22</v>
      </c>
      <c r="F352" s="41">
        <v>31</v>
      </c>
    </row>
    <row r="353" spans="1:6" ht="13">
      <c r="A353" s="44" t="s">
        <v>148</v>
      </c>
      <c r="B353" s="45">
        <v>185</v>
      </c>
      <c r="C353" s="45">
        <v>8</v>
      </c>
      <c r="D353" s="45">
        <v>14</v>
      </c>
      <c r="E353" s="45">
        <v>30</v>
      </c>
      <c r="F353" s="45">
        <v>44</v>
      </c>
    </row>
    <row r="354" spans="1:6" ht="13">
      <c r="A354" s="39" t="s">
        <v>142</v>
      </c>
      <c r="B354" s="40"/>
      <c r="C354" s="40"/>
      <c r="D354" s="40"/>
      <c r="E354" s="40"/>
      <c r="F354" s="40"/>
    </row>
    <row r="355" spans="1:6" ht="13">
      <c r="A355" s="34" t="s">
        <v>149</v>
      </c>
      <c r="B355" s="41">
        <v>212</v>
      </c>
      <c r="C355" s="41">
        <v>8</v>
      </c>
      <c r="D355" s="41">
        <v>15</v>
      </c>
      <c r="E355" s="41">
        <v>37</v>
      </c>
      <c r="F355" s="41">
        <v>62</v>
      </c>
    </row>
    <row r="356" spans="1:6" ht="13">
      <c r="A356" s="34" t="s">
        <v>151</v>
      </c>
      <c r="B356" s="41">
        <v>170</v>
      </c>
      <c r="C356" s="41">
        <v>20</v>
      </c>
      <c r="D356" s="41">
        <v>13</v>
      </c>
      <c r="E356" s="41">
        <v>30</v>
      </c>
      <c r="F356" s="41">
        <v>49</v>
      </c>
    </row>
    <row r="357" spans="1:6" ht="13">
      <c r="A357" s="34" t="s">
        <v>189</v>
      </c>
      <c r="B357" s="41">
        <v>212</v>
      </c>
      <c r="C357" s="41">
        <v>10</v>
      </c>
      <c r="D357" s="41">
        <v>17</v>
      </c>
      <c r="E357" s="41">
        <v>37</v>
      </c>
      <c r="F357" s="41">
        <v>58</v>
      </c>
    </row>
    <row r="358" spans="1:6" ht="13">
      <c r="A358" s="34" t="s">
        <v>175</v>
      </c>
      <c r="B358" s="41">
        <v>176</v>
      </c>
      <c r="C358" s="41">
        <v>2</v>
      </c>
      <c r="D358" s="41">
        <v>16</v>
      </c>
      <c r="E358" s="41">
        <v>33</v>
      </c>
      <c r="F358" s="41">
        <v>55</v>
      </c>
    </row>
    <row r="359" spans="1:6" ht="13">
      <c r="A359" s="34" t="s">
        <v>177</v>
      </c>
      <c r="B359" s="41">
        <v>172</v>
      </c>
      <c r="C359" s="41">
        <v>12</v>
      </c>
      <c r="D359" s="41">
        <v>14</v>
      </c>
      <c r="E359" s="41">
        <v>30</v>
      </c>
      <c r="F359" s="41">
        <v>49</v>
      </c>
    </row>
    <row r="360" spans="1:6" ht="13">
      <c r="A360" s="34" t="s">
        <v>153</v>
      </c>
      <c r="B360" s="41">
        <v>186</v>
      </c>
      <c r="C360" s="41">
        <v>9</v>
      </c>
      <c r="D360" s="41">
        <v>12</v>
      </c>
      <c r="E360" s="41">
        <v>25</v>
      </c>
      <c r="F360" s="41">
        <v>37</v>
      </c>
    </row>
    <row r="361" spans="1:6" ht="13">
      <c r="A361" s="34" t="s">
        <v>155</v>
      </c>
      <c r="B361" s="41">
        <v>115</v>
      </c>
      <c r="C361" s="41">
        <v>1</v>
      </c>
      <c r="D361" s="41">
        <v>17</v>
      </c>
      <c r="E361" s="41">
        <v>31</v>
      </c>
      <c r="F361" s="41">
        <v>52</v>
      </c>
    </row>
    <row r="362" spans="1:6" ht="13">
      <c r="A362" s="34" t="s">
        <v>157</v>
      </c>
      <c r="B362" s="41">
        <v>171</v>
      </c>
      <c r="C362" s="41">
        <v>9</v>
      </c>
      <c r="D362" s="41">
        <v>15</v>
      </c>
      <c r="E362" s="41">
        <v>27</v>
      </c>
      <c r="F362" s="41">
        <v>43</v>
      </c>
    </row>
    <row r="363" spans="1:6" ht="13">
      <c r="A363" s="34" t="s">
        <v>159</v>
      </c>
      <c r="B363" s="41">
        <v>168</v>
      </c>
      <c r="C363" s="41">
        <v>1</v>
      </c>
      <c r="D363" s="41">
        <v>15</v>
      </c>
      <c r="E363" s="41">
        <v>28</v>
      </c>
      <c r="F363" s="41">
        <v>45</v>
      </c>
    </row>
    <row r="364" spans="1:6" ht="13">
      <c r="A364" s="34" t="s">
        <v>161</v>
      </c>
      <c r="B364" s="41">
        <v>185</v>
      </c>
      <c r="C364" s="41">
        <v>6</v>
      </c>
      <c r="D364" s="41">
        <v>13</v>
      </c>
      <c r="E364" s="41">
        <v>29</v>
      </c>
      <c r="F364" s="41">
        <v>46</v>
      </c>
    </row>
    <row r="365" spans="1:6" ht="13">
      <c r="A365" s="34" t="s">
        <v>163</v>
      </c>
      <c r="B365" s="41">
        <v>155</v>
      </c>
      <c r="C365" s="41">
        <v>12</v>
      </c>
      <c r="D365" s="41">
        <v>14</v>
      </c>
      <c r="E365" s="41">
        <v>25</v>
      </c>
      <c r="F365" s="41">
        <v>36</v>
      </c>
    </row>
    <row r="366" spans="1:6" ht="13">
      <c r="A366" s="34" t="s">
        <v>165</v>
      </c>
      <c r="B366" s="41">
        <v>149</v>
      </c>
      <c r="C366" s="41">
        <v>12</v>
      </c>
      <c r="D366" s="41">
        <v>13</v>
      </c>
      <c r="E366" s="41">
        <v>26</v>
      </c>
      <c r="F366" s="41">
        <v>42</v>
      </c>
    </row>
    <row r="367" spans="1:6" ht="13">
      <c r="A367" s="44" t="s">
        <v>148</v>
      </c>
      <c r="B367" s="45">
        <v>173</v>
      </c>
      <c r="C367" s="45">
        <v>9</v>
      </c>
      <c r="D367" s="45">
        <v>15</v>
      </c>
      <c r="E367" s="45">
        <v>30</v>
      </c>
      <c r="F367" s="45">
        <v>48</v>
      </c>
    </row>
    <row r="368" spans="1:6" ht="13">
      <c r="A368" s="39" t="s">
        <v>143</v>
      </c>
      <c r="B368" s="40"/>
      <c r="C368" s="40"/>
      <c r="D368" s="40"/>
      <c r="E368" s="40"/>
      <c r="F368" s="40"/>
    </row>
    <row r="369" spans="1:6" ht="13">
      <c r="A369" s="34" t="s">
        <v>149</v>
      </c>
      <c r="B369" s="41">
        <v>233</v>
      </c>
      <c r="C369" s="41">
        <v>3</v>
      </c>
      <c r="D369" s="41">
        <v>18</v>
      </c>
      <c r="E369" s="41">
        <v>38</v>
      </c>
      <c r="F369" s="41">
        <v>55</v>
      </c>
    </row>
    <row r="370" spans="1:6" ht="13">
      <c r="A370" s="34" t="s">
        <v>151</v>
      </c>
      <c r="B370" s="41">
        <v>183</v>
      </c>
      <c r="C370" s="41">
        <v>13</v>
      </c>
      <c r="D370" s="41">
        <v>12</v>
      </c>
      <c r="E370" s="41">
        <v>30</v>
      </c>
      <c r="F370" s="41">
        <v>41</v>
      </c>
    </row>
    <row r="371" spans="1:6" ht="13">
      <c r="A371" s="34" t="s">
        <v>189</v>
      </c>
      <c r="B371" s="41">
        <v>194</v>
      </c>
      <c r="C371" s="41">
        <v>12</v>
      </c>
      <c r="D371" s="41">
        <v>17</v>
      </c>
      <c r="E371" s="41">
        <v>34</v>
      </c>
      <c r="F371" s="41">
        <v>48</v>
      </c>
    </row>
    <row r="372" spans="1:6" ht="13">
      <c r="A372" s="34" t="s">
        <v>175</v>
      </c>
      <c r="B372" s="41">
        <v>187</v>
      </c>
      <c r="C372" s="41">
        <v>4</v>
      </c>
      <c r="D372" s="41">
        <v>14</v>
      </c>
      <c r="E372" s="41">
        <v>35</v>
      </c>
      <c r="F372" s="41">
        <v>48</v>
      </c>
    </row>
    <row r="373" spans="1:6" ht="13">
      <c r="A373" s="34" t="s">
        <v>177</v>
      </c>
      <c r="B373" s="41">
        <v>172</v>
      </c>
      <c r="C373" s="41">
        <v>8</v>
      </c>
      <c r="D373" s="41">
        <v>14</v>
      </c>
      <c r="E373" s="41">
        <v>30</v>
      </c>
      <c r="F373" s="41">
        <v>43</v>
      </c>
    </row>
    <row r="374" spans="1:6" ht="13">
      <c r="A374" s="34" t="s">
        <v>153</v>
      </c>
      <c r="B374" s="41">
        <v>196</v>
      </c>
      <c r="C374" s="41">
        <v>5</v>
      </c>
      <c r="D374" s="41">
        <v>12</v>
      </c>
      <c r="E374" s="41">
        <v>27</v>
      </c>
      <c r="F374" s="41">
        <v>37</v>
      </c>
    </row>
    <row r="375" spans="1:6" ht="13">
      <c r="A375" s="34" t="s">
        <v>155</v>
      </c>
      <c r="B375" s="41">
        <v>197</v>
      </c>
      <c r="C375" s="41">
        <v>6</v>
      </c>
      <c r="D375" s="41">
        <v>18</v>
      </c>
      <c r="E375" s="41">
        <v>42</v>
      </c>
      <c r="F375" s="41">
        <v>58</v>
      </c>
    </row>
    <row r="376" spans="1:6" ht="13">
      <c r="A376" s="34" t="s">
        <v>157</v>
      </c>
      <c r="B376" s="41">
        <v>187</v>
      </c>
      <c r="C376" s="41">
        <v>9</v>
      </c>
      <c r="D376" s="41">
        <v>15</v>
      </c>
      <c r="E376" s="41">
        <v>27</v>
      </c>
      <c r="F376" s="41">
        <v>39</v>
      </c>
    </row>
    <row r="377" spans="1:6" ht="13">
      <c r="A377" s="34" t="s">
        <v>159</v>
      </c>
      <c r="B377" s="41">
        <v>208</v>
      </c>
      <c r="C377" s="41">
        <v>2</v>
      </c>
      <c r="D377" s="41">
        <v>17</v>
      </c>
      <c r="E377" s="41">
        <v>30</v>
      </c>
      <c r="F377" s="41">
        <v>45</v>
      </c>
    </row>
    <row r="378" spans="1:6" ht="13">
      <c r="A378" s="34" t="s">
        <v>161</v>
      </c>
      <c r="B378" s="41">
        <v>187</v>
      </c>
      <c r="C378" s="41">
        <v>8</v>
      </c>
      <c r="D378" s="41">
        <v>14</v>
      </c>
      <c r="E378" s="41">
        <v>30</v>
      </c>
      <c r="F378" s="41">
        <v>44</v>
      </c>
    </row>
    <row r="379" spans="1:6" ht="13">
      <c r="A379" s="34" t="s">
        <v>163</v>
      </c>
      <c r="B379" s="41">
        <v>180</v>
      </c>
      <c r="C379" s="41">
        <v>9</v>
      </c>
      <c r="D379" s="41">
        <v>16</v>
      </c>
      <c r="E379" s="41">
        <v>26</v>
      </c>
      <c r="F379" s="41">
        <v>37</v>
      </c>
    </row>
    <row r="380" spans="1:6" ht="13">
      <c r="A380" s="34" t="s">
        <v>165</v>
      </c>
      <c r="B380" s="41">
        <v>148</v>
      </c>
      <c r="C380" s="41">
        <v>10</v>
      </c>
      <c r="D380" s="41">
        <v>13</v>
      </c>
      <c r="E380" s="41">
        <v>26</v>
      </c>
      <c r="F380" s="41">
        <v>36</v>
      </c>
    </row>
    <row r="381" spans="1:6" ht="13">
      <c r="A381" s="44" t="s">
        <v>148</v>
      </c>
      <c r="B381" s="45">
        <v>189</v>
      </c>
      <c r="C381" s="45">
        <v>7</v>
      </c>
      <c r="D381" s="45">
        <v>15</v>
      </c>
      <c r="E381" s="45">
        <v>31</v>
      </c>
      <c r="F381" s="45">
        <v>44</v>
      </c>
    </row>
    <row r="382" spans="1:6" ht="13">
      <c r="A382" s="39" t="s">
        <v>139</v>
      </c>
      <c r="B382" s="40"/>
      <c r="C382" s="40"/>
      <c r="D382" s="40"/>
      <c r="E382" s="40"/>
      <c r="F382" s="40"/>
    </row>
    <row r="383" spans="1:6" ht="13">
      <c r="A383" s="34" t="s">
        <v>149</v>
      </c>
      <c r="B383" s="41">
        <v>236</v>
      </c>
      <c r="C383" s="41">
        <v>7</v>
      </c>
      <c r="D383" s="41">
        <v>16</v>
      </c>
      <c r="E383" s="41">
        <v>38</v>
      </c>
      <c r="F383" s="41">
        <v>63</v>
      </c>
    </row>
    <row r="384" spans="1:6" ht="13">
      <c r="A384" s="34" t="s">
        <v>190</v>
      </c>
      <c r="B384" s="41">
        <v>5</v>
      </c>
      <c r="C384" s="41">
        <v>0</v>
      </c>
      <c r="D384" s="41">
        <v>0</v>
      </c>
      <c r="E384" s="41">
        <v>0</v>
      </c>
      <c r="F384" s="41">
        <v>1</v>
      </c>
    </row>
    <row r="385" spans="1:6" ht="13">
      <c r="A385" s="34" t="s">
        <v>151</v>
      </c>
      <c r="B385" s="41">
        <v>174</v>
      </c>
      <c r="C385" s="41">
        <v>24</v>
      </c>
      <c r="D385" s="41">
        <v>12</v>
      </c>
      <c r="E385" s="41">
        <v>30</v>
      </c>
      <c r="F385" s="41">
        <v>50</v>
      </c>
    </row>
    <row r="386" spans="1:6" ht="13">
      <c r="A386" s="34" t="s">
        <v>189</v>
      </c>
      <c r="B386" s="41">
        <v>188</v>
      </c>
      <c r="C386" s="41">
        <v>10</v>
      </c>
      <c r="D386" s="41">
        <v>15</v>
      </c>
      <c r="E386" s="41">
        <v>32</v>
      </c>
      <c r="F386" s="41">
        <v>49</v>
      </c>
    </row>
    <row r="387" spans="1:6" ht="13">
      <c r="A387" s="34" t="s">
        <v>175</v>
      </c>
      <c r="B387" s="41">
        <v>176</v>
      </c>
      <c r="C387" s="41">
        <v>0</v>
      </c>
      <c r="D387" s="41">
        <v>14</v>
      </c>
      <c r="E387" s="41">
        <v>34</v>
      </c>
      <c r="F387" s="41">
        <v>56</v>
      </c>
    </row>
    <row r="388" spans="1:6" ht="13">
      <c r="A388" s="34" t="s">
        <v>177</v>
      </c>
      <c r="B388" s="41">
        <v>178</v>
      </c>
      <c r="C388" s="41">
        <v>16</v>
      </c>
      <c r="D388" s="41">
        <v>16</v>
      </c>
      <c r="E388" s="41">
        <v>29</v>
      </c>
      <c r="F388" s="41">
        <v>47</v>
      </c>
    </row>
    <row r="389" spans="1:6" ht="13">
      <c r="A389" s="34" t="s">
        <v>153</v>
      </c>
      <c r="B389" s="41">
        <v>5</v>
      </c>
      <c r="C389" s="41">
        <v>0</v>
      </c>
      <c r="D389" s="41">
        <v>0</v>
      </c>
      <c r="E389" s="41">
        <v>0</v>
      </c>
      <c r="F389" s="41">
        <v>1</v>
      </c>
    </row>
    <row r="390" spans="1:6" ht="13">
      <c r="A390" s="34" t="s">
        <v>155</v>
      </c>
      <c r="B390" s="41">
        <v>199</v>
      </c>
      <c r="C390" s="41">
        <v>4</v>
      </c>
      <c r="D390" s="41">
        <v>15</v>
      </c>
      <c r="E390" s="41">
        <v>33</v>
      </c>
      <c r="F390" s="41">
        <v>55</v>
      </c>
    </row>
    <row r="391" spans="1:6" ht="13">
      <c r="A391" s="34" t="s">
        <v>157</v>
      </c>
      <c r="B391" s="41">
        <v>176</v>
      </c>
      <c r="C391" s="41">
        <v>10</v>
      </c>
      <c r="D391" s="41">
        <v>13</v>
      </c>
      <c r="E391" s="41">
        <v>25</v>
      </c>
      <c r="F391" s="41">
        <v>40</v>
      </c>
    </row>
    <row r="392" spans="1:6" ht="13">
      <c r="A392" s="34" t="s">
        <v>159</v>
      </c>
      <c r="B392" s="41">
        <v>195</v>
      </c>
      <c r="C392" s="41">
        <v>2</v>
      </c>
      <c r="D392" s="41">
        <v>14</v>
      </c>
      <c r="E392" s="41">
        <v>27</v>
      </c>
      <c r="F392" s="41">
        <v>45</v>
      </c>
    </row>
    <row r="393" spans="1:6" ht="13">
      <c r="A393" s="34" t="s">
        <v>163</v>
      </c>
      <c r="B393" s="41">
        <v>186</v>
      </c>
      <c r="C393" s="41">
        <v>15</v>
      </c>
      <c r="D393" s="41">
        <v>15</v>
      </c>
      <c r="E393" s="41">
        <v>27</v>
      </c>
      <c r="F393" s="41">
        <v>43</v>
      </c>
    </row>
    <row r="394" spans="1:6" ht="13">
      <c r="A394" s="34" t="s">
        <v>165</v>
      </c>
      <c r="B394" s="41">
        <v>141</v>
      </c>
      <c r="C394" s="41">
        <v>10</v>
      </c>
      <c r="D394" s="41">
        <v>11</v>
      </c>
      <c r="E394" s="41">
        <v>23</v>
      </c>
      <c r="F394" s="41">
        <v>38</v>
      </c>
    </row>
    <row r="395" spans="1:6" ht="13">
      <c r="A395" s="44" t="s">
        <v>148</v>
      </c>
      <c r="B395" s="45">
        <f>AVERAGE(B383,B385,B386,B387,B388,B390:B394)</f>
        <v>184.9</v>
      </c>
      <c r="C395" s="45">
        <v>8</v>
      </c>
      <c r="D395" s="45">
        <v>12</v>
      </c>
      <c r="E395" s="45">
        <v>25</v>
      </c>
      <c r="F395" s="45">
        <v>41</v>
      </c>
    </row>
    <row r="396" spans="1:6" ht="13">
      <c r="A396" s="39" t="s">
        <v>136</v>
      </c>
      <c r="B396" s="40"/>
      <c r="C396" s="40"/>
      <c r="D396" s="40"/>
      <c r="E396" s="40"/>
      <c r="F396" s="40"/>
    </row>
    <row r="397" spans="1:6" ht="13">
      <c r="A397" s="34" t="s">
        <v>149</v>
      </c>
      <c r="B397" s="41">
        <v>178</v>
      </c>
      <c r="C397" s="41">
        <v>6</v>
      </c>
      <c r="D397" s="41">
        <v>15</v>
      </c>
      <c r="E397" s="41">
        <v>38</v>
      </c>
      <c r="F397" s="41">
        <v>61</v>
      </c>
    </row>
    <row r="398" spans="1:6" ht="13">
      <c r="A398" s="34" t="s">
        <v>151</v>
      </c>
      <c r="B398" s="41">
        <v>156</v>
      </c>
      <c r="C398" s="41">
        <v>23</v>
      </c>
      <c r="D398" s="41">
        <v>13</v>
      </c>
      <c r="E398" s="41">
        <v>34</v>
      </c>
      <c r="F398" s="41">
        <v>51</v>
      </c>
    </row>
    <row r="399" spans="1:6" ht="13">
      <c r="A399" s="34" t="s">
        <v>189</v>
      </c>
      <c r="B399" s="41">
        <v>158</v>
      </c>
      <c r="C399" s="41">
        <v>3</v>
      </c>
      <c r="D399" s="41">
        <v>17</v>
      </c>
      <c r="E399" s="41">
        <v>36</v>
      </c>
      <c r="F399" s="41">
        <v>57</v>
      </c>
    </row>
    <row r="400" spans="1:6" ht="13">
      <c r="A400" s="34" t="s">
        <v>175</v>
      </c>
      <c r="B400" s="41">
        <v>137</v>
      </c>
      <c r="C400" s="41">
        <v>3</v>
      </c>
      <c r="D400" s="41">
        <v>16</v>
      </c>
      <c r="E400" s="41">
        <v>38</v>
      </c>
      <c r="F400" s="41">
        <v>60</v>
      </c>
    </row>
    <row r="401" spans="1:6" ht="13">
      <c r="A401" s="34" t="s">
        <v>153</v>
      </c>
      <c r="B401" s="41">
        <v>129</v>
      </c>
      <c r="C401" s="41">
        <v>4</v>
      </c>
      <c r="D401" s="41">
        <v>12</v>
      </c>
      <c r="E401" s="41">
        <v>28</v>
      </c>
      <c r="F401" s="41">
        <v>44</v>
      </c>
    </row>
    <row r="402" spans="1:6" ht="13">
      <c r="A402" s="34" t="s">
        <v>155</v>
      </c>
      <c r="B402" s="41">
        <v>141</v>
      </c>
      <c r="C402" s="41">
        <v>4</v>
      </c>
      <c r="D402" s="41">
        <v>16</v>
      </c>
      <c r="E402" s="41">
        <v>35</v>
      </c>
      <c r="F402" s="41">
        <v>55</v>
      </c>
    </row>
    <row r="403" spans="1:6" ht="13">
      <c r="A403" s="34" t="s">
        <v>157</v>
      </c>
      <c r="B403" s="41">
        <v>134</v>
      </c>
      <c r="C403" s="41">
        <v>9</v>
      </c>
      <c r="D403" s="41">
        <v>14</v>
      </c>
      <c r="E403" s="41">
        <v>27</v>
      </c>
      <c r="F403" s="41">
        <v>43</v>
      </c>
    </row>
    <row r="404" spans="1:6" ht="13">
      <c r="A404" s="34" t="s">
        <v>159</v>
      </c>
      <c r="B404" s="41">
        <v>128</v>
      </c>
      <c r="C404" s="41">
        <v>0</v>
      </c>
      <c r="D404" s="41">
        <v>15</v>
      </c>
      <c r="E404" s="41">
        <v>27</v>
      </c>
      <c r="F404" s="41">
        <v>45</v>
      </c>
    </row>
    <row r="405" spans="1:6" ht="13">
      <c r="A405" s="34" t="s">
        <v>161</v>
      </c>
      <c r="B405" s="41">
        <v>146</v>
      </c>
      <c r="C405" s="41">
        <v>4</v>
      </c>
      <c r="D405" s="41">
        <v>12</v>
      </c>
      <c r="E405" s="41">
        <v>33</v>
      </c>
      <c r="F405" s="41">
        <v>52</v>
      </c>
    </row>
    <row r="406" spans="1:6" ht="13">
      <c r="A406" s="34" t="s">
        <v>163</v>
      </c>
      <c r="B406" s="41">
        <v>120</v>
      </c>
      <c r="C406" s="41">
        <v>5</v>
      </c>
      <c r="D406" s="41">
        <v>15</v>
      </c>
      <c r="E406" s="41">
        <v>27</v>
      </c>
      <c r="F406" s="41">
        <v>40</v>
      </c>
    </row>
    <row r="407" spans="1:6" ht="13">
      <c r="A407" s="34" t="s">
        <v>165</v>
      </c>
      <c r="B407" s="41">
        <v>116</v>
      </c>
      <c r="C407" s="41">
        <v>10</v>
      </c>
      <c r="D407" s="41">
        <v>11</v>
      </c>
      <c r="E407" s="41">
        <v>26</v>
      </c>
      <c r="F407" s="41">
        <v>42</v>
      </c>
    </row>
    <row r="408" spans="1:6" ht="13">
      <c r="A408" s="34" t="s">
        <v>169</v>
      </c>
      <c r="B408" s="41">
        <v>140</v>
      </c>
      <c r="C408" s="41">
        <v>1</v>
      </c>
      <c r="D408" s="41">
        <v>13</v>
      </c>
      <c r="E408" s="41">
        <v>31</v>
      </c>
      <c r="F408" s="41">
        <v>50</v>
      </c>
    </row>
    <row r="409" spans="1:6" ht="13">
      <c r="A409" s="44" t="s">
        <v>148</v>
      </c>
      <c r="B409" s="45">
        <v>140</v>
      </c>
      <c r="C409" s="45">
        <v>6</v>
      </c>
      <c r="D409" s="45">
        <v>14</v>
      </c>
      <c r="E409" s="45">
        <v>32</v>
      </c>
      <c r="F409" s="45">
        <v>50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1" max="1" width="15.5" customWidth="1"/>
    <col min="2" max="2" width="9.6640625" customWidth="1"/>
    <col min="3" max="3" width="16.1640625" customWidth="1"/>
    <col min="4" max="4" width="13.33203125" customWidth="1"/>
    <col min="8" max="8" width="14.83203125" customWidth="1"/>
    <col min="10" max="10" width="14" customWidth="1"/>
  </cols>
  <sheetData>
    <row r="1" spans="1:30" ht="15.75" customHeight="1">
      <c r="B1" s="1" t="s">
        <v>105</v>
      </c>
      <c r="C1" s="46" t="s">
        <v>26</v>
      </c>
      <c r="D1" s="46" t="s">
        <v>31</v>
      </c>
      <c r="E1" s="46" t="s">
        <v>43</v>
      </c>
      <c r="F1" s="46" t="s">
        <v>39</v>
      </c>
      <c r="G1" s="46" t="s">
        <v>45</v>
      </c>
      <c r="H1" s="47" t="s">
        <v>191</v>
      </c>
      <c r="I1" s="1" t="s">
        <v>192</v>
      </c>
      <c r="J1" s="48" t="s">
        <v>193</v>
      </c>
      <c r="K1" s="49" t="s">
        <v>194</v>
      </c>
      <c r="L1" s="50"/>
      <c r="M1" s="50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ht="15.75" customHeight="1">
      <c r="A2" s="34" t="s">
        <v>112</v>
      </c>
      <c r="B2" s="41">
        <v>2861</v>
      </c>
      <c r="C2" s="52" t="e">
        <f t="array" aca="1" ref="C2" ca="1">_xludf.xlookup(A2,ionna!A2:A31,ionna!B2:B31)</f>
        <v>#NAME?</v>
      </c>
      <c r="D2" s="41">
        <v>462</v>
      </c>
      <c r="E2" s="41" t="e">
        <f t="array" aca="1" ref="E2" ca="1">_xludf.xlookup(A2,marta!A2:A30,marta!B2:B30)</f>
        <v>#NAME?</v>
      </c>
      <c r="F2" s="46" t="e">
        <f t="array" aca="1" ref="F2" ca="1">_xludf.xlookup(A2,kayla!A2:A32,kayla!B2:B32)</f>
        <v>#NAME?</v>
      </c>
      <c r="G2" s="46" t="e">
        <f t="array" aca="1" ref="G2" ca="1">_xludf.xlookup(A2,lulu!A2:A32,lulu!B2:B32)</f>
        <v>#NAME?</v>
      </c>
      <c r="H2" s="47" t="e">
        <f t="shared" ref="H2:H32" ca="1" si="0">SUM(C2:G2)/B2</f>
        <v>#NAME?</v>
      </c>
      <c r="I2" s="50" t="s">
        <v>195</v>
      </c>
      <c r="J2" s="48">
        <f>90-58</f>
        <v>32</v>
      </c>
      <c r="K2" s="53">
        <f t="shared" ref="K2:K32" si="1">IF(J2&lt;0,0,1)</f>
        <v>1</v>
      </c>
      <c r="L2" s="50"/>
      <c r="M2" s="50"/>
      <c r="N2" s="51"/>
      <c r="O2" s="51"/>
      <c r="P2" s="54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spans="1:30" ht="15.75" customHeight="1">
      <c r="A3" s="34" t="s">
        <v>113</v>
      </c>
      <c r="B3" s="41">
        <v>3536</v>
      </c>
      <c r="C3" s="41">
        <v>449</v>
      </c>
      <c r="D3" s="41">
        <v>228</v>
      </c>
      <c r="E3" s="41" t="e">
        <f t="array" aca="1" ref="E3" ca="1">_xludf.xlookup(A3,marta!A3:A31,marta!B3:B31)</f>
        <v>#NAME?</v>
      </c>
      <c r="F3" s="46" t="e">
        <f t="array" aca="1" ref="F3" ca="1">_xludf.xlookup(A3,kayla!A3:A33,kayla!B3:B33)</f>
        <v>#NAME?</v>
      </c>
      <c r="G3" s="46" t="e">
        <f t="array" aca="1" ref="G3" ca="1">_xludf.xlookup(A3,lulu!A3:A33,lulu!B3:B33)</f>
        <v>#NAME?</v>
      </c>
      <c r="H3" s="47" t="e">
        <f t="shared" ca="1" si="0"/>
        <v>#NAME?</v>
      </c>
      <c r="I3" s="50" t="s">
        <v>196</v>
      </c>
      <c r="J3" s="48">
        <f>88-36</f>
        <v>52</v>
      </c>
      <c r="K3" s="53">
        <f t="shared" si="1"/>
        <v>1</v>
      </c>
      <c r="L3" s="50"/>
      <c r="M3" s="50"/>
      <c r="N3" s="51"/>
      <c r="O3" s="51"/>
      <c r="P3" s="54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0" ht="15.75" customHeight="1">
      <c r="A4" s="34" t="s">
        <v>114</v>
      </c>
      <c r="B4" s="41">
        <v>3314</v>
      </c>
      <c r="C4" s="41">
        <v>532</v>
      </c>
      <c r="D4" s="41">
        <v>289</v>
      </c>
      <c r="E4" s="41" t="e">
        <f t="array" aca="1" ref="E4" ca="1">_xludf.xlookup(A4,marta!A4:A32,marta!B4:B32)</f>
        <v>#NAME?</v>
      </c>
      <c r="F4" s="46" t="e">
        <f t="array" aca="1" ref="F4" ca="1">_xludf.xlookup(A4,kayla!A4:A34,kayla!B4:B34)</f>
        <v>#NAME?</v>
      </c>
      <c r="G4" s="46" t="e">
        <f t="array" aca="1" ref="G4" ca="1">_xludf.xlookup(A4,lulu!A4:A34,lulu!B4:B34)</f>
        <v>#NAME?</v>
      </c>
      <c r="H4" s="47" t="e">
        <f t="shared" ca="1" si="0"/>
        <v>#NAME?</v>
      </c>
      <c r="I4" s="50" t="s">
        <v>197</v>
      </c>
      <c r="J4" s="48">
        <f>82-53</f>
        <v>29</v>
      </c>
      <c r="K4" s="53">
        <f t="shared" si="1"/>
        <v>1</v>
      </c>
      <c r="L4" s="50"/>
      <c r="M4" s="50"/>
      <c r="N4" s="51"/>
      <c r="O4" s="51"/>
      <c r="P4" s="54"/>
      <c r="Q4" s="51"/>
      <c r="R4" s="54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0" ht="15.75" customHeight="1">
      <c r="A5" s="34" t="s">
        <v>115</v>
      </c>
      <c r="B5" s="41">
        <v>5704</v>
      </c>
      <c r="C5" s="41">
        <v>857</v>
      </c>
      <c r="D5" s="41">
        <v>332</v>
      </c>
      <c r="E5" s="41" t="e">
        <f t="array" aca="1" ref="E5" ca="1">_xludf.xlookup(A5,marta!A5:A33,marta!B5:B33)</f>
        <v>#NAME?</v>
      </c>
      <c r="F5" s="46" t="e">
        <f t="array" aca="1" ref="F5" ca="1">_xludf.xlookup(A5,kayla!A5:A35,kayla!B5:B34)</f>
        <v>#NAME?</v>
      </c>
      <c r="G5" s="46" t="e">
        <f t="array" aca="1" ref="G5" ca="1">_xludf.xlookup(A5,lulu!A5:A35,lulu!B5:B34)</f>
        <v>#NAME?</v>
      </c>
      <c r="H5" s="47" t="e">
        <f t="shared" ca="1" si="0"/>
        <v>#NAME?</v>
      </c>
      <c r="I5" s="50" t="s">
        <v>198</v>
      </c>
      <c r="J5" s="48">
        <f>86-65</f>
        <v>21</v>
      </c>
      <c r="K5" s="53">
        <f t="shared" si="1"/>
        <v>1</v>
      </c>
      <c r="L5" s="50"/>
      <c r="M5" s="50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</row>
    <row r="6" spans="1:30" ht="15.75" customHeight="1">
      <c r="A6" s="34" t="s">
        <v>116</v>
      </c>
      <c r="B6" s="41">
        <v>3680</v>
      </c>
      <c r="C6" s="41">
        <v>490</v>
      </c>
      <c r="D6" s="41">
        <v>338</v>
      </c>
      <c r="E6" s="41" t="e">
        <f t="array" aca="1" ref="E6" ca="1">_xludf.xlookup(A6,marta!A6:A34,marta!B6:B33)</f>
        <v>#NAME?</v>
      </c>
      <c r="F6" s="46" t="e">
        <f t="array" aca="1" ref="F6" ca="1">_xludf.xlookup(A6,kayla!A6:A36,kayla!B6:B36)</f>
        <v>#NAME?</v>
      </c>
      <c r="G6" s="46" t="e">
        <f t="array" aca="1" ref="G6" ca="1">_xludf.xlookup(A6,lulu!A6:A36,lulu!B6:B36)</f>
        <v>#NAME?</v>
      </c>
      <c r="H6" s="47" t="e">
        <f t="shared" ca="1" si="0"/>
        <v>#NAME?</v>
      </c>
      <c r="I6" s="50" t="s">
        <v>199</v>
      </c>
      <c r="J6" s="48">
        <f>86-63</f>
        <v>23</v>
      </c>
      <c r="K6" s="53">
        <f t="shared" si="1"/>
        <v>1</v>
      </c>
      <c r="L6" s="50"/>
      <c r="M6" s="50"/>
      <c r="N6" s="51"/>
      <c r="O6" s="51"/>
      <c r="P6" s="54"/>
      <c r="Q6" s="51"/>
      <c r="R6" s="54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5.75" customHeight="1">
      <c r="A7" s="34" t="s">
        <v>117</v>
      </c>
      <c r="B7" s="41">
        <v>3809</v>
      </c>
      <c r="C7" s="41">
        <v>730</v>
      </c>
      <c r="D7" s="41">
        <v>431</v>
      </c>
      <c r="E7" s="41" t="e">
        <f t="array" aca="1" ref="E7" ca="1">_xludf.xlookup(A7,marta!A7:A35,marta!B7:B35)</f>
        <v>#NAME?</v>
      </c>
      <c r="F7" s="46" t="e">
        <f t="array" aca="1" ref="F7" ca="1">_xludf.xlookup(A7,kayla!A7:A37,kayla!B7:B37)</f>
        <v>#NAME?</v>
      </c>
      <c r="G7" s="46" t="e">
        <f t="array" aca="1" ref="G7" ca="1">_xludf.xlookup(A7,lulu!A7:A37,lulu!B7:B37)</f>
        <v>#NAME?</v>
      </c>
      <c r="H7" s="47" t="e">
        <f t="shared" ca="1" si="0"/>
        <v>#NAME?</v>
      </c>
      <c r="I7" s="50" t="s">
        <v>200</v>
      </c>
      <c r="J7" s="48">
        <f>62-59</f>
        <v>3</v>
      </c>
      <c r="K7" s="53">
        <f t="shared" si="1"/>
        <v>1</v>
      </c>
      <c r="L7" s="50"/>
      <c r="M7" s="50"/>
      <c r="N7" s="51"/>
      <c r="O7" s="51"/>
      <c r="P7" s="54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</row>
    <row r="8" spans="1:30" ht="15.75" customHeight="1">
      <c r="A8" s="34" t="s">
        <v>118</v>
      </c>
      <c r="B8" s="41">
        <v>2754</v>
      </c>
      <c r="C8" s="41">
        <v>475</v>
      </c>
      <c r="D8" s="41">
        <v>395</v>
      </c>
      <c r="E8" s="41" t="e">
        <f t="array" aca="1" ref="E8" ca="1">_xludf.xlookup(A8,marta!A8:A36,marta!B8:B36)</f>
        <v>#NAME?</v>
      </c>
      <c r="F8" s="46" t="e">
        <f t="array" aca="1" ref="F8" ca="1">_xludf.xlookup(A8,kayla!A8:A38,kayla!B8:B38)</f>
        <v>#NAME?</v>
      </c>
      <c r="G8" s="46" t="e">
        <f t="array" aca="1" ref="G8" ca="1">_xludf.xlookup(A8,lulu!A8:A38,lulu!B8:B38)</f>
        <v>#NAME?</v>
      </c>
      <c r="H8" s="47" t="e">
        <f t="shared" ca="1" si="0"/>
        <v>#NAME?</v>
      </c>
      <c r="I8" s="50" t="s">
        <v>201</v>
      </c>
      <c r="J8" s="48">
        <f>72-78</f>
        <v>-6</v>
      </c>
      <c r="K8" s="53">
        <f t="shared" si="1"/>
        <v>0</v>
      </c>
      <c r="L8" s="50"/>
      <c r="M8" s="50"/>
      <c r="N8" s="51"/>
      <c r="O8" s="51"/>
      <c r="P8" s="54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1:30" ht="15.75" customHeight="1">
      <c r="A9" s="34" t="s">
        <v>119</v>
      </c>
      <c r="B9" s="41">
        <v>3378</v>
      </c>
      <c r="C9" s="41">
        <v>502</v>
      </c>
      <c r="D9" s="41">
        <v>493</v>
      </c>
      <c r="E9" s="41" t="e">
        <f t="array" aca="1" ref="E9" ca="1">_xludf.xlookup(A9,marta!A9:A37,marta!B9:B37)</f>
        <v>#NAME?</v>
      </c>
      <c r="F9" s="46" t="e">
        <f t="array" aca="1" ref="F9" ca="1">_xludf.xlookup(A9,kayla!A9:A39,kayla!B9:B39)</f>
        <v>#NAME?</v>
      </c>
      <c r="G9" s="46" t="e">
        <f t="array" aca="1" ref="G9" ca="1">_xludf.xlookup(A9,lulu!A9:A39,lulu!B9:B39)</f>
        <v>#NAME?</v>
      </c>
      <c r="H9" s="47" t="e">
        <f t="shared" ca="1" si="0"/>
        <v>#NAME?</v>
      </c>
      <c r="I9" s="50" t="s">
        <v>202</v>
      </c>
      <c r="J9" s="48">
        <f>74-62</f>
        <v>12</v>
      </c>
      <c r="K9" s="53">
        <f t="shared" si="1"/>
        <v>1</v>
      </c>
      <c r="L9" s="50"/>
      <c r="M9" s="50"/>
      <c r="N9" s="51"/>
      <c r="O9" s="51"/>
      <c r="P9" s="54"/>
      <c r="Q9" s="51"/>
      <c r="R9" s="54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spans="1:30" ht="15.75" customHeight="1">
      <c r="A10" s="34" t="s">
        <v>120</v>
      </c>
      <c r="B10" s="41">
        <v>3740</v>
      </c>
      <c r="C10" s="41">
        <v>735</v>
      </c>
      <c r="D10" s="41">
        <v>385</v>
      </c>
      <c r="E10" s="41" t="e">
        <f t="array" aca="1" ref="E10" ca="1">_xludf.xlookup(A10,marta!A10:A38,marta!B10:B38)</f>
        <v>#NAME?</v>
      </c>
      <c r="F10" s="46" t="e">
        <f t="array" aca="1" ref="F10" ca="1">_xludf.xlookup(A10,kayla!A10:A40,kayla!B10:B40)</f>
        <v>#NAME?</v>
      </c>
      <c r="G10" s="46" t="e">
        <f t="array" aca="1" ref="G10" ca="1">_xludf.xlookup(A10,lulu!A10:A40,lulu!B10:B40)</f>
        <v>#NAME?</v>
      </c>
      <c r="H10" s="47" t="e">
        <f t="shared" ca="1" si="0"/>
        <v>#NAME?</v>
      </c>
      <c r="I10" s="50" t="s">
        <v>203</v>
      </c>
      <c r="J10" s="48">
        <f>69-65</f>
        <v>4</v>
      </c>
      <c r="K10" s="53">
        <f t="shared" si="1"/>
        <v>1</v>
      </c>
      <c r="L10" s="50"/>
      <c r="M10" s="50"/>
      <c r="N10" s="51"/>
      <c r="O10" s="51"/>
      <c r="P10" s="54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</row>
    <row r="11" spans="1:30" ht="15.75" customHeight="1">
      <c r="A11" s="34" t="s">
        <v>121</v>
      </c>
      <c r="B11" s="41">
        <v>3710</v>
      </c>
      <c r="C11" s="41">
        <v>597</v>
      </c>
      <c r="D11" s="41">
        <v>366</v>
      </c>
      <c r="E11" s="41" t="e">
        <f t="array" aca="1" ref="E11" ca="1">_xludf.xlookup(A11,marta!A11:A39,marta!B11:B39)</f>
        <v>#NAME?</v>
      </c>
      <c r="F11" s="46" t="e">
        <f t="array" aca="1" ref="F11" ca="1">_xludf.xlookup(A11,kayla!A11:A41,kayla!B11:B41)</f>
        <v>#NAME?</v>
      </c>
      <c r="G11" s="46" t="e">
        <f t="array" aca="1" ref="G11" ca="1">_xludf.xlookup(A11,lulu!A11:A41,lulu!B11:B41)</f>
        <v>#NAME?</v>
      </c>
      <c r="H11" s="47" t="e">
        <f t="shared" ca="1" si="0"/>
        <v>#NAME?</v>
      </c>
      <c r="I11" s="50" t="s">
        <v>204</v>
      </c>
      <c r="J11" s="48">
        <f>74-66</f>
        <v>8</v>
      </c>
      <c r="K11" s="53">
        <f t="shared" si="1"/>
        <v>1</v>
      </c>
      <c r="L11" s="50"/>
      <c r="M11" s="50"/>
      <c r="N11" s="51"/>
      <c r="O11" s="51"/>
      <c r="P11" s="51"/>
      <c r="Q11" s="51"/>
      <c r="R11" s="54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</row>
    <row r="12" spans="1:30" ht="15.75" customHeight="1">
      <c r="A12" s="34" t="s">
        <v>122</v>
      </c>
      <c r="B12" s="41">
        <v>3829</v>
      </c>
      <c r="C12" s="41">
        <v>630</v>
      </c>
      <c r="D12" s="41">
        <v>438</v>
      </c>
      <c r="E12" s="41" t="e">
        <f t="array" aca="1" ref="E12" ca="1">_xludf.xlookup(A12,marta!A12:A40,marta!B12:B40)</f>
        <v>#NAME?</v>
      </c>
      <c r="F12" s="46" t="e">
        <f t="array" aca="1" ref="F12" ca="1">_xludf.xlookup(A12,kayla!A12:A42,kayla!B12:B42)</f>
        <v>#NAME?</v>
      </c>
      <c r="G12" s="46" t="e">
        <f t="array" aca="1" ref="G12" ca="1">_xludf.xlookup(A12,lulu!A12:A42,lulu!B12:B42)</f>
        <v>#NAME?</v>
      </c>
      <c r="H12" s="47" t="e">
        <f t="shared" ca="1" si="0"/>
        <v>#NAME?</v>
      </c>
      <c r="I12" s="50" t="s">
        <v>205</v>
      </c>
      <c r="J12" s="50">
        <f>83-63</f>
        <v>20</v>
      </c>
      <c r="K12" s="53">
        <f t="shared" si="1"/>
        <v>1</v>
      </c>
      <c r="L12" s="50"/>
      <c r="M12" s="50"/>
      <c r="N12" s="51"/>
      <c r="O12" s="51"/>
      <c r="P12" s="54"/>
      <c r="Q12" s="51"/>
      <c r="R12" s="54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</row>
    <row r="13" spans="1:30" ht="15.75" customHeight="1">
      <c r="A13" s="34" t="s">
        <v>124</v>
      </c>
      <c r="B13" s="41">
        <v>3427</v>
      </c>
      <c r="C13" s="41">
        <v>580</v>
      </c>
      <c r="D13" s="41">
        <v>363</v>
      </c>
      <c r="E13" s="41" t="e">
        <f t="array" aca="1" ref="E13" ca="1">_xludf.xlookup(A13,marta!A13:A41,marta!B13:B41)</f>
        <v>#NAME?</v>
      </c>
      <c r="F13" s="46" t="e">
        <f t="array" aca="1" ref="F13" ca="1">_xludf.xlookup(A13,kayla!A13:A43,kayla!B13:B43)</f>
        <v>#NAME?</v>
      </c>
      <c r="G13" s="46" t="e">
        <f t="array" aca="1" ref="G13" ca="1">_xludf.xlookup(A13,lulu!A13:A43,lulu!B13:B43)</f>
        <v>#NAME?</v>
      </c>
      <c r="H13" s="47" t="e">
        <f t="shared" ca="1" si="0"/>
        <v>#NAME?</v>
      </c>
      <c r="I13" s="50" t="s">
        <v>206</v>
      </c>
      <c r="J13" s="50">
        <f>69-53</f>
        <v>16</v>
      </c>
      <c r="K13" s="53">
        <f t="shared" si="1"/>
        <v>1</v>
      </c>
      <c r="L13" s="50"/>
      <c r="M13" s="50"/>
      <c r="N13" s="51"/>
      <c r="O13" s="51"/>
      <c r="P13" s="54"/>
      <c r="Q13" s="51"/>
      <c r="R13" s="54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</row>
    <row r="14" spans="1:30" ht="15.75" customHeight="1">
      <c r="A14" s="34" t="s">
        <v>125</v>
      </c>
      <c r="B14" s="41">
        <v>5886</v>
      </c>
      <c r="C14" s="41">
        <v>742</v>
      </c>
      <c r="D14" s="41">
        <v>464</v>
      </c>
      <c r="E14" s="41" t="e">
        <f t="array" aca="1" ref="E14" ca="1">_xludf.xlookup(A14,marta!A2:A30,marta!B2:B30)</f>
        <v>#NAME?</v>
      </c>
      <c r="F14" s="46" t="e">
        <f t="array" aca="1" ref="F14" ca="1">_xludf.xlookup(A14,kayla!A14:A44,kayla!B14:B44)</f>
        <v>#NAME?</v>
      </c>
      <c r="G14" s="46" t="e">
        <f t="array" aca="1" ref="G14" ca="1">_xludf.xlookup(A14,lulu!A14:A44,lulu!B14:B44)</f>
        <v>#NAME?</v>
      </c>
      <c r="H14" s="47" t="e">
        <f t="shared" ca="1" si="0"/>
        <v>#NAME?</v>
      </c>
      <c r="I14" s="50" t="s">
        <v>207</v>
      </c>
      <c r="J14" s="50">
        <f>89-63</f>
        <v>26</v>
      </c>
      <c r="K14" s="53">
        <f t="shared" si="1"/>
        <v>1</v>
      </c>
      <c r="L14" s="50"/>
      <c r="M14" s="50"/>
      <c r="N14" s="51"/>
      <c r="O14" s="51"/>
      <c r="P14" s="51"/>
      <c r="Q14" s="51"/>
      <c r="R14" s="54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spans="1:30" ht="15.75" customHeight="1">
      <c r="A15" s="34" t="s">
        <v>126</v>
      </c>
      <c r="B15" s="41">
        <v>3379</v>
      </c>
      <c r="C15" s="41">
        <v>643</v>
      </c>
      <c r="D15" s="41">
        <v>398</v>
      </c>
      <c r="E15" s="41" t="e">
        <f t="array" aca="1" ref="E15" ca="1">_xludf.xlookup(A15,marta!A3:A31,marta!B3:B31)</f>
        <v>#NAME?</v>
      </c>
      <c r="F15" s="46" t="e">
        <f t="array" aca="1" ref="F15" ca="1">_xludf.xlookup(A15,kayla!A15:A45,kayla!B15:B45)</f>
        <v>#NAME?</v>
      </c>
      <c r="G15" s="46" t="e">
        <f t="array" aca="1" ref="G15" ca="1">_xludf.xlookup(A15,lulu!A15:A45,lulu!B15:B45)</f>
        <v>#NAME?</v>
      </c>
      <c r="H15" s="47" t="e">
        <f t="shared" ca="1" si="0"/>
        <v>#NAME?</v>
      </c>
      <c r="I15" s="50" t="s">
        <v>208</v>
      </c>
      <c r="J15" s="50">
        <f>58-69</f>
        <v>-11</v>
      </c>
      <c r="K15" s="53">
        <f t="shared" si="1"/>
        <v>0</v>
      </c>
      <c r="L15" s="50"/>
      <c r="M15" s="50"/>
      <c r="N15" s="51"/>
      <c r="O15" s="51"/>
      <c r="P15" s="54"/>
      <c r="Q15" s="51"/>
      <c r="R15" s="54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 spans="1:30" ht="15.75" customHeight="1">
      <c r="A16" s="34" t="s">
        <v>127</v>
      </c>
      <c r="B16" s="41">
        <v>3347</v>
      </c>
      <c r="C16" s="41">
        <v>629</v>
      </c>
      <c r="D16" s="41">
        <v>226</v>
      </c>
      <c r="E16" s="41" t="e">
        <f t="array" aca="1" ref="E16" ca="1">_xludf.xlookup(A16,marta!A4:A32,marta!B4:B32)</f>
        <v>#NAME?</v>
      </c>
      <c r="F16" s="46" t="e">
        <f t="array" aca="1" ref="F16" ca="1">_xludf.xlookup(A16,kayla!A16:A46,kayla!B16:B46)</f>
        <v>#NAME?</v>
      </c>
      <c r="G16" s="46" t="e">
        <f t="array" aca="1" ref="G16" ca="1">_xludf.xlookup(A16,lulu!A16:A46,lulu!B16:B46)</f>
        <v>#NAME?</v>
      </c>
      <c r="H16" s="47" t="e">
        <f t="shared" ca="1" si="0"/>
        <v>#NAME?</v>
      </c>
      <c r="I16" s="50" t="s">
        <v>209</v>
      </c>
      <c r="J16" s="50">
        <f>81-66</f>
        <v>15</v>
      </c>
      <c r="K16" s="53">
        <f t="shared" si="1"/>
        <v>1</v>
      </c>
      <c r="L16" s="50"/>
      <c r="M16" s="50"/>
      <c r="N16" s="51"/>
      <c r="O16" s="51"/>
      <c r="P16" s="54"/>
      <c r="Q16" s="51"/>
      <c r="R16" s="54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spans="1:30" ht="15.75" customHeight="1">
      <c r="A17" s="34" t="s">
        <v>128</v>
      </c>
      <c r="B17" s="41">
        <v>3924</v>
      </c>
      <c r="C17" s="41">
        <v>690</v>
      </c>
      <c r="D17" s="41">
        <v>427</v>
      </c>
      <c r="E17" s="41" t="e">
        <f t="array" aca="1" ref="E17" ca="1">_xludf.xlookup(A17,marta!A5:A33,marta!B5:B33)</f>
        <v>#NAME?</v>
      </c>
      <c r="F17" s="46" t="e">
        <f t="array" aca="1" ref="F17" ca="1">_xludf.xlookup(A17,kayla!A17:A47,kayla!B17:B47)</f>
        <v>#NAME?</v>
      </c>
      <c r="G17" s="46" t="e">
        <f t="array" aca="1" ref="G17" ca="1">_xludf.xlookup(A17,lulu!A17:A47,lulu!B17:B47)</f>
        <v>#NAME?</v>
      </c>
      <c r="H17" s="47" t="e">
        <f t="shared" ca="1" si="0"/>
        <v>#NAME?</v>
      </c>
      <c r="I17" s="50" t="s">
        <v>210</v>
      </c>
      <c r="J17" s="50">
        <f>78-71</f>
        <v>7</v>
      </c>
      <c r="K17" s="53">
        <f t="shared" si="1"/>
        <v>1</v>
      </c>
      <c r="L17" s="50"/>
      <c r="M17" s="50"/>
      <c r="N17" s="51"/>
      <c r="O17" s="51"/>
      <c r="P17" s="54"/>
      <c r="Q17" s="51"/>
      <c r="R17" s="54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</row>
    <row r="18" spans="1:30" ht="15.75" customHeight="1">
      <c r="A18" s="34" t="s">
        <v>129</v>
      </c>
      <c r="B18" s="41">
        <v>4648</v>
      </c>
      <c r="C18" s="41">
        <v>754</v>
      </c>
      <c r="D18" s="41">
        <v>370</v>
      </c>
      <c r="E18" s="41" t="e">
        <f t="array" aca="1" ref="E18" ca="1">_xludf.xlookup(A18,marta!A6:A34,marta!B6:B33)</f>
        <v>#NAME?</v>
      </c>
      <c r="F18" s="46" t="e">
        <f t="array" aca="1" ref="F18" ca="1">_xludf.xlookup(A18,kayla!A18:A48,kayla!B18:B48)</f>
        <v>#NAME?</v>
      </c>
      <c r="G18" s="46" t="e">
        <f t="array" aca="1" ref="G18" ca="1">_xludf.xlookup(A18,lulu!A18:A48,lulu!B18:B48)</f>
        <v>#NAME?</v>
      </c>
      <c r="H18" s="47" t="e">
        <f t="shared" ca="1" si="0"/>
        <v>#NAME?</v>
      </c>
      <c r="I18" s="50" t="s">
        <v>211</v>
      </c>
      <c r="J18" s="50">
        <f>82-70</f>
        <v>12</v>
      </c>
      <c r="K18" s="53">
        <f t="shared" si="1"/>
        <v>1</v>
      </c>
      <c r="L18" s="50"/>
      <c r="M18" s="50"/>
      <c r="N18" s="51"/>
      <c r="O18" s="51"/>
      <c r="P18" s="54"/>
      <c r="Q18" s="51"/>
      <c r="R18" s="54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</row>
    <row r="19" spans="1:30" ht="15.75" customHeight="1">
      <c r="A19" s="34" t="s">
        <v>130</v>
      </c>
      <c r="B19" s="41">
        <v>3530</v>
      </c>
      <c r="C19" s="41">
        <v>589</v>
      </c>
      <c r="D19" s="41">
        <v>288</v>
      </c>
      <c r="E19" s="41" t="e">
        <f t="array" aca="1" ref="E19" ca="1">_xludf.xlookup(A19,marta!A7:A35,marta!B7:B35)</f>
        <v>#NAME?</v>
      </c>
      <c r="F19" s="46" t="e">
        <f t="array" aca="1" ref="F19" ca="1">_xludf.xlookup(A19,kayla!A19:A49,kayla!B19:B49)</f>
        <v>#NAME?</v>
      </c>
      <c r="G19" s="46" t="e">
        <f t="array" aca="1" ref="G19" ca="1">_xludf.xlookup(A19,lulu!A19:A49,lulu!B19:B49)</f>
        <v>#NAME?</v>
      </c>
      <c r="H19" s="47" t="e">
        <f t="shared" ca="1" si="0"/>
        <v>#NAME?</v>
      </c>
      <c r="I19" s="50" t="s">
        <v>212</v>
      </c>
      <c r="J19" s="50">
        <f>38-72</f>
        <v>-34</v>
      </c>
      <c r="K19" s="53">
        <f t="shared" si="1"/>
        <v>0</v>
      </c>
      <c r="L19" s="50"/>
      <c r="M19" s="50"/>
      <c r="N19" s="51"/>
      <c r="O19" s="51"/>
      <c r="P19" s="54"/>
      <c r="Q19" s="51"/>
      <c r="R19" s="54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 spans="1:30" ht="15.75" customHeight="1">
      <c r="A20" s="34" t="s">
        <v>131</v>
      </c>
      <c r="B20" s="41">
        <v>3215</v>
      </c>
      <c r="C20" s="41">
        <v>789</v>
      </c>
      <c r="D20" s="41">
        <v>378</v>
      </c>
      <c r="E20" s="41" t="e">
        <f t="array" aca="1" ref="E20" ca="1">_xludf.xlookup(A20,marta!A8:A36,marta!B8:B36)</f>
        <v>#NAME?</v>
      </c>
      <c r="F20" s="46" t="e">
        <f t="array" aca="1" ref="F20" ca="1">_xludf.xlookup(A20,kayla!A20:A50,kayla!B20:B50)</f>
        <v>#NAME?</v>
      </c>
      <c r="G20" s="46" t="e">
        <f t="array" aca="1" ref="G20" ca="1">_xludf.xlookup(A20,lulu!A20:A50,lulu!B20:B50)</f>
        <v>#NAME?</v>
      </c>
      <c r="H20" s="47" t="e">
        <f t="shared" ca="1" si="0"/>
        <v>#NAME?</v>
      </c>
      <c r="I20" s="50" t="s">
        <v>213</v>
      </c>
      <c r="J20" s="50">
        <f>67-55</f>
        <v>12</v>
      </c>
      <c r="K20" s="53">
        <f t="shared" si="1"/>
        <v>1</v>
      </c>
      <c r="L20" s="50"/>
      <c r="M20" s="50"/>
      <c r="N20" s="51"/>
      <c r="O20" s="51"/>
      <c r="P20" s="54"/>
      <c r="Q20" s="51"/>
      <c r="R20" s="54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spans="1:30" ht="15.75" customHeight="1">
      <c r="A21" s="34" t="s">
        <v>122</v>
      </c>
      <c r="B21" s="41">
        <v>4242</v>
      </c>
      <c r="C21" s="41">
        <v>771</v>
      </c>
      <c r="D21" s="41">
        <v>396</v>
      </c>
      <c r="E21" s="41" t="e">
        <f t="array" aca="1" ref="E21" ca="1">_xludf.xlookup(A21,marta!A9:A37,marta!B9:B37)</f>
        <v>#NAME?</v>
      </c>
      <c r="F21" s="46" t="e">
        <f t="array" aca="1" ref="F21" ca="1">_xludf.xlookup(A21,kayla!A21:A51,kayla!B21:B51)</f>
        <v>#NAME?</v>
      </c>
      <c r="G21" s="46" t="e">
        <f t="array" aca="1" ref="G21" ca="1">_xludf.xlookup(A21,lulu!A21:A51,lulu!B21:B51)</f>
        <v>#NAME?</v>
      </c>
      <c r="H21" s="47" t="e">
        <f t="shared" ca="1" si="0"/>
        <v>#NAME?</v>
      </c>
      <c r="I21" s="50" t="s">
        <v>214</v>
      </c>
      <c r="J21" s="50">
        <f>75-72</f>
        <v>3</v>
      </c>
      <c r="K21" s="53">
        <f t="shared" si="1"/>
        <v>1</v>
      </c>
      <c r="L21" s="50"/>
      <c r="M21" s="50"/>
      <c r="N21" s="51"/>
      <c r="O21" s="51"/>
      <c r="P21" s="54"/>
      <c r="Q21" s="51"/>
      <c r="R21" s="54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spans="1:30" ht="15.75" customHeight="1">
      <c r="A22" s="34" t="s">
        <v>132</v>
      </c>
      <c r="B22" s="41">
        <v>3283</v>
      </c>
      <c r="C22" s="41">
        <v>664</v>
      </c>
      <c r="D22" s="41">
        <v>313</v>
      </c>
      <c r="E22" s="41" t="e">
        <f t="array" aca="1" ref="E22" ca="1">_xludf.xlookup(A22,marta!A10:A38,marta!B10:B38)</f>
        <v>#NAME?</v>
      </c>
      <c r="F22" s="46" t="e">
        <f t="array" aca="1" ref="F22" ca="1">_xludf.xlookup(A22,kayla!A22:A52,kayla!B22:B52)</f>
        <v>#NAME?</v>
      </c>
      <c r="G22" s="46" t="e">
        <f t="array" aca="1" ref="G22" ca="1">_xludf.xlookup(A22,lulu!A22:A52,lulu!B22:B52)</f>
        <v>#NAME?</v>
      </c>
      <c r="H22" s="47" t="e">
        <f t="shared" ca="1" si="0"/>
        <v>#NAME?</v>
      </c>
      <c r="I22" s="50" t="s">
        <v>215</v>
      </c>
      <c r="J22" s="50">
        <f>52-65</f>
        <v>-13</v>
      </c>
      <c r="K22" s="53">
        <f t="shared" si="1"/>
        <v>0</v>
      </c>
      <c r="L22" s="50"/>
      <c r="M22" s="50"/>
      <c r="N22" s="51"/>
      <c r="O22" s="51"/>
      <c r="P22" s="54"/>
      <c r="Q22" s="51"/>
      <c r="R22" s="54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spans="1:30" ht="15.75" customHeight="1">
      <c r="A23" s="34" t="s">
        <v>134</v>
      </c>
      <c r="B23" s="41">
        <v>3467</v>
      </c>
      <c r="C23" s="41">
        <v>729</v>
      </c>
      <c r="D23" s="41">
        <v>534</v>
      </c>
      <c r="E23" s="41" t="e">
        <f t="array" aca="1" ref="E23" ca="1">_xludf.xlookup(A23,marta!A11:A39,marta!B11:B39)</f>
        <v>#NAME?</v>
      </c>
      <c r="F23" s="46" t="e">
        <f t="array" aca="1" ref="F23" ca="1">_xludf.xlookup(A23,kayla!A23:A53,kayla!B23:B53)</f>
        <v>#NAME?</v>
      </c>
      <c r="G23" s="46" t="e">
        <f t="array" aca="1" ref="G23" ca="1">_xludf.xlookup(A23,lulu!A23:A53,lulu!B23:B53)</f>
        <v>#NAME?</v>
      </c>
      <c r="H23" s="47" t="e">
        <f t="shared" ca="1" si="0"/>
        <v>#NAME?</v>
      </c>
      <c r="I23" s="50" t="s">
        <v>216</v>
      </c>
      <c r="J23" s="50">
        <f>63-70</f>
        <v>-7</v>
      </c>
      <c r="K23" s="53">
        <f t="shared" si="1"/>
        <v>0</v>
      </c>
      <c r="L23" s="50"/>
      <c r="M23" s="50"/>
      <c r="N23" s="51"/>
      <c r="O23" s="51"/>
      <c r="P23" s="54"/>
      <c r="Q23" s="51"/>
      <c r="R23" s="54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spans="1:30" ht="15.75" customHeight="1">
      <c r="A24" s="34" t="s">
        <v>136</v>
      </c>
      <c r="B24" s="41">
        <v>3685</v>
      </c>
      <c r="C24" s="41">
        <v>601</v>
      </c>
      <c r="D24" s="41">
        <v>404</v>
      </c>
      <c r="E24" s="41" t="e">
        <f t="array" aca="1" ref="E24" ca="1">_xludf.xlookup(A24,marta!A12:A40,marta!B12:B40)</f>
        <v>#NAME?</v>
      </c>
      <c r="F24" s="46" t="e">
        <f t="array" aca="1" ref="F24" ca="1">_xludf.xlookup(A24,kayla!A24:A54,kayla!B24:B54)</f>
        <v>#NAME?</v>
      </c>
      <c r="G24" s="46" t="e">
        <f t="array" aca="1" ref="G24" ca="1">_xludf.xlookup(A24,lulu!A24:A54,lulu!B24:B54)</f>
        <v>#NAME?</v>
      </c>
      <c r="H24" s="47" t="e">
        <f t="shared" ca="1" si="0"/>
        <v>#NAME?</v>
      </c>
      <c r="I24" s="50" t="s">
        <v>217</v>
      </c>
      <c r="J24" s="50">
        <f>52-91</f>
        <v>-39</v>
      </c>
      <c r="K24" s="53">
        <f t="shared" si="1"/>
        <v>0</v>
      </c>
      <c r="L24" s="50"/>
      <c r="M24" s="50"/>
      <c r="N24" s="51"/>
      <c r="O24" s="51"/>
      <c r="P24" s="54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spans="1:30" ht="15.75" customHeight="1">
      <c r="A25" s="34" t="s">
        <v>137</v>
      </c>
      <c r="B25" s="41">
        <v>4386</v>
      </c>
      <c r="C25" s="41">
        <v>579</v>
      </c>
      <c r="D25" s="41">
        <v>518</v>
      </c>
      <c r="E25" s="41" t="e">
        <f t="array" aca="1" ref="E25" ca="1">_xludf.xlookup(A25,marta!A13:A41,marta!B13:B41)</f>
        <v>#NAME?</v>
      </c>
      <c r="F25" s="46" t="e">
        <f t="array" aca="1" ref="F25" ca="1">_xludf.xlookup(A25,kayla!A25:A55,kayla!B25:B55)</f>
        <v>#NAME?</v>
      </c>
      <c r="G25" s="46" t="e">
        <f t="array" aca="1" ref="G25" ca="1">_xludf.xlookup(A25,lulu!A25:A55,lulu!B25:B55)</f>
        <v>#NAME?</v>
      </c>
      <c r="H25" s="47" t="e">
        <f t="shared" ca="1" si="0"/>
        <v>#NAME?</v>
      </c>
      <c r="I25" s="50" t="s">
        <v>218</v>
      </c>
      <c r="J25" s="50">
        <f>72-63</f>
        <v>9</v>
      </c>
      <c r="K25" s="53">
        <f t="shared" si="1"/>
        <v>1</v>
      </c>
      <c r="L25" s="50"/>
      <c r="M25" s="50"/>
      <c r="N25" s="51"/>
      <c r="O25" s="51"/>
      <c r="P25" s="54"/>
      <c r="Q25" s="51"/>
      <c r="R25" s="54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</row>
    <row r="26" spans="1:30" ht="15.75" customHeight="1">
      <c r="A26" s="34" t="s">
        <v>138</v>
      </c>
      <c r="B26" s="41">
        <v>4189</v>
      </c>
      <c r="C26" s="41">
        <v>942</v>
      </c>
      <c r="D26" s="41">
        <v>377</v>
      </c>
      <c r="E26" s="41" t="e">
        <f t="array" aca="1" ref="E26" ca="1">_xludf.xlookup(A26,marta!A14:A42,marta!B14:B42)</f>
        <v>#NAME?</v>
      </c>
      <c r="F26" s="46" t="e">
        <f t="array" aca="1" ref="F26" ca="1">_xludf.xlookup(A26,kayla!A26:A56,kayla!B26:B56)</f>
        <v>#NAME?</v>
      </c>
      <c r="G26" s="46" t="e">
        <f t="array" aca="1" ref="G26" ca="1">_xludf.xlookup(A26,lulu!A26:A56,lulu!B26:B56)</f>
        <v>#NAME?</v>
      </c>
      <c r="H26" s="47" t="e">
        <f t="shared" ca="1" si="0"/>
        <v>#NAME?</v>
      </c>
      <c r="I26" s="50" t="s">
        <v>219</v>
      </c>
      <c r="J26" s="50">
        <f>75-69</f>
        <v>6</v>
      </c>
      <c r="K26" s="53">
        <f t="shared" si="1"/>
        <v>1</v>
      </c>
      <c r="L26" s="50"/>
      <c r="M26" s="50"/>
      <c r="N26" s="51"/>
      <c r="O26" s="51"/>
      <c r="P26" s="54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  <row r="27" spans="1:30" ht="15.75" customHeight="1">
      <c r="A27" s="34" t="s">
        <v>139</v>
      </c>
      <c r="B27" s="41">
        <v>3013</v>
      </c>
      <c r="C27" s="41">
        <v>714</v>
      </c>
      <c r="D27" s="41">
        <v>382</v>
      </c>
      <c r="E27" s="41" t="e">
        <f t="array" aca="1" ref="E27" ca="1">_xludf.xlookup(A27,marta!A15:A43,marta!B15:B43)</f>
        <v>#NAME?</v>
      </c>
      <c r="F27" s="46" t="e">
        <f t="array" aca="1" ref="F27" ca="1">_xludf.xlookup(A27,kayla!A27:A57,kayla!B27:B57)</f>
        <v>#NAME?</v>
      </c>
      <c r="G27" s="46" t="e">
        <f t="array" aca="1" ref="G27" ca="1">_xludf.xlookup(A27,lulu!A27:A57,lulu!B27:B57)</f>
        <v>#NAME?</v>
      </c>
      <c r="H27" s="47" t="e">
        <f t="shared" ca="1" si="0"/>
        <v>#NAME?</v>
      </c>
      <c r="I27" s="50" t="s">
        <v>220</v>
      </c>
      <c r="J27" s="50">
        <f>76-70</f>
        <v>6</v>
      </c>
      <c r="K27" s="53">
        <f t="shared" si="1"/>
        <v>1</v>
      </c>
      <c r="L27" s="50"/>
      <c r="M27" s="50"/>
      <c r="N27" s="51"/>
      <c r="O27" s="51"/>
      <c r="P27" s="54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spans="1:30" ht="15.75" customHeight="1">
      <c r="A28" s="34" t="s">
        <v>140</v>
      </c>
      <c r="B28" s="41">
        <v>3582</v>
      </c>
      <c r="C28" s="41">
        <v>753</v>
      </c>
      <c r="D28" s="41">
        <v>228</v>
      </c>
      <c r="E28" s="41" t="e">
        <f t="array" aca="1" ref="E28" ca="1">_xludf.xlookup(A28,marta!A16:A44,marta!B16:B44)</f>
        <v>#NAME?</v>
      </c>
      <c r="F28" s="46" t="e">
        <f t="array" aca="1" ref="F28" ca="1">_xludf.xlookup(A28,kayla!A28:A58,kayla!B28:B58)</f>
        <v>#NAME?</v>
      </c>
      <c r="G28" s="46" t="e">
        <f t="array" aca="1" ref="G28" ca="1">_xludf.xlookup(A28,lulu!A28:A58,lulu!B28:B58)</f>
        <v>#NAME?</v>
      </c>
      <c r="H28" s="47" t="e">
        <f t="shared" ca="1" si="0"/>
        <v>#NAME?</v>
      </c>
      <c r="I28" s="50" t="s">
        <v>221</v>
      </c>
      <c r="J28" s="50">
        <f>84-87</f>
        <v>-3</v>
      </c>
      <c r="K28" s="53">
        <f t="shared" si="1"/>
        <v>0</v>
      </c>
      <c r="L28" s="50"/>
      <c r="M28" s="50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 spans="1:30" ht="15.75" customHeight="1">
      <c r="A29" s="34" t="s">
        <v>142</v>
      </c>
      <c r="B29" s="41">
        <v>3139</v>
      </c>
      <c r="C29" s="41">
        <v>621</v>
      </c>
      <c r="D29" s="41">
        <v>484</v>
      </c>
      <c r="E29" s="41" t="e">
        <f t="array" aca="1" ref="E29" ca="1">_xludf.xlookup(A29,marta!A17:A45,marta!B17:B45)</f>
        <v>#NAME?</v>
      </c>
      <c r="F29" s="46" t="e">
        <f t="array" aca="1" ref="F29" ca="1">_xludf.xlookup(A29,kayla!A29:A59,kayla!B29:B59)</f>
        <v>#NAME?</v>
      </c>
      <c r="G29" s="46" t="e">
        <f t="array" aca="1" ref="G29" ca="1">_xludf.xlookup(A29,lulu!A29:A59,lulu!B29:B59)</f>
        <v>#NAME?</v>
      </c>
      <c r="H29" s="47" t="e">
        <f t="shared" ca="1" si="0"/>
        <v>#NAME?</v>
      </c>
      <c r="I29" s="50" t="s">
        <v>222</v>
      </c>
      <c r="J29" s="50">
        <f>79-65</f>
        <v>14</v>
      </c>
      <c r="K29" s="53">
        <f t="shared" si="1"/>
        <v>1</v>
      </c>
      <c r="L29" s="50"/>
      <c r="M29" s="50"/>
      <c r="N29" s="51"/>
      <c r="O29" s="51"/>
      <c r="P29" s="54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</row>
    <row r="30" spans="1:30" ht="15.75" customHeight="1">
      <c r="A30" s="34" t="s">
        <v>143</v>
      </c>
      <c r="B30" s="41">
        <v>3244</v>
      </c>
      <c r="C30" s="41">
        <v>583</v>
      </c>
      <c r="D30" s="41">
        <v>425</v>
      </c>
      <c r="E30" s="41" t="e">
        <f t="array" aca="1" ref="E30" ca="1">_xludf.xlookup(A30,marta!A18:A46,marta!B18:B46)</f>
        <v>#NAME?</v>
      </c>
      <c r="F30" s="46" t="e">
        <f t="array" aca="1" ref="F30" ca="1">_xludf.xlookup(A30,kayla!A30:A60,kayla!B30:B60)</f>
        <v>#NAME?</v>
      </c>
      <c r="G30" s="46" t="e">
        <f t="array" aca="1" ref="G30" ca="1">_xludf.xlookup(A30,lulu!A30:A60,lulu!B30:B60)</f>
        <v>#NAME?</v>
      </c>
      <c r="H30" s="47" t="e">
        <f t="shared" ca="1" si="0"/>
        <v>#NAME?</v>
      </c>
      <c r="I30" s="50" t="s">
        <v>223</v>
      </c>
      <c r="J30" s="50">
        <f>82-63</f>
        <v>19</v>
      </c>
      <c r="K30" s="53">
        <f t="shared" si="1"/>
        <v>1</v>
      </c>
      <c r="L30" s="50"/>
      <c r="M30" s="50"/>
      <c r="N30" s="51"/>
      <c r="O30" s="51"/>
      <c r="P30" s="54"/>
      <c r="Q30" s="51"/>
      <c r="R30" s="54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</row>
    <row r="31" spans="1:30" ht="15.75" customHeight="1">
      <c r="A31" s="34" t="s">
        <v>139</v>
      </c>
      <c r="B31" s="41">
        <v>3125</v>
      </c>
      <c r="C31" s="41">
        <v>657</v>
      </c>
      <c r="D31" s="41">
        <v>471</v>
      </c>
      <c r="E31" s="41" t="e">
        <f t="array" aca="1" ref="E31" ca="1">_xludf.xlookup(A31,marta!A19:A47,marta!B19:B47)</f>
        <v>#NAME?</v>
      </c>
      <c r="F31" s="46" t="e">
        <f t="array" aca="1" ref="F31" ca="1">_xludf.xlookup(A31,kayla!A31:A61,kayla!B31:B61)</f>
        <v>#NAME?</v>
      </c>
      <c r="G31" s="46" t="e">
        <f t="array" aca="1" ref="G31" ca="1">_xludf.xlookup(A31,lulu!A31:A61,lulu!B31:B61)</f>
        <v>#NAME?</v>
      </c>
      <c r="H31" s="47" t="e">
        <f t="shared" ca="1" si="0"/>
        <v>#NAME?</v>
      </c>
      <c r="I31" s="50" t="s">
        <v>224</v>
      </c>
      <c r="J31" s="50">
        <f>75-58</f>
        <v>17</v>
      </c>
      <c r="K31" s="53">
        <f t="shared" si="1"/>
        <v>1</v>
      </c>
      <c r="L31" s="50"/>
      <c r="M31" s="50"/>
      <c r="N31" s="51"/>
      <c r="O31" s="51"/>
      <c r="P31" s="54"/>
      <c r="Q31" s="51"/>
      <c r="R31" s="54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 spans="1:30" ht="15.75" customHeight="1">
      <c r="A32" s="34" t="s">
        <v>136</v>
      </c>
      <c r="B32" s="41">
        <v>3460</v>
      </c>
      <c r="C32" s="41">
        <v>772</v>
      </c>
      <c r="D32" s="41">
        <v>468</v>
      </c>
      <c r="E32" s="41" t="e">
        <f t="array" aca="1" ref="E32" ca="1">_xludf.xlookup(A32,marta!A20:A48,marta!B20:B48)</f>
        <v>#NAME?</v>
      </c>
      <c r="F32" s="46" t="e">
        <f t="array" aca="1" ref="F32" ca="1">_xludf.xlookup(A32,kayla!A32:A62,kayla!B32:B62)</f>
        <v>#NAME?</v>
      </c>
      <c r="G32" s="46" t="e">
        <f t="array" aca="1" ref="G32" ca="1">_xludf.xlookup(A32,lulu!A32:A62,lulu!B32:B62)</f>
        <v>#NAME?</v>
      </c>
      <c r="H32" s="47" t="e">
        <f t="shared" ca="1" si="0"/>
        <v>#NAME?</v>
      </c>
      <c r="I32" s="50" t="s">
        <v>225</v>
      </c>
      <c r="J32" s="50">
        <f>64-73</f>
        <v>-9</v>
      </c>
      <c r="K32" s="53">
        <f t="shared" si="1"/>
        <v>0</v>
      </c>
      <c r="L32" s="50"/>
      <c r="M32" s="50"/>
      <c r="N32" s="51"/>
      <c r="O32" s="51"/>
      <c r="P32" s="54"/>
      <c r="Q32" s="51"/>
      <c r="R32" s="54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 spans="1:30" ht="15.75" customHeight="1">
      <c r="A33" s="44"/>
      <c r="B33" s="45"/>
      <c r="C33" s="55"/>
      <c r="D33" s="55"/>
      <c r="E33" s="46"/>
      <c r="F33" s="46"/>
      <c r="G33" s="46"/>
      <c r="H33" s="47"/>
      <c r="J33" s="48"/>
      <c r="K33" s="49"/>
      <c r="L33" s="50"/>
      <c r="M33" s="50"/>
      <c r="N33" s="51"/>
      <c r="O33" s="51"/>
      <c r="P33" s="54"/>
      <c r="Q33" s="51"/>
      <c r="R33" s="54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 spans="1:30" ht="15.75" customHeight="1">
      <c r="A34" s="56" t="s">
        <v>226</v>
      </c>
      <c r="B34" s="45">
        <v>3693</v>
      </c>
      <c r="C34" s="55"/>
      <c r="D34" s="55"/>
      <c r="E34" s="46"/>
      <c r="F34" s="46"/>
      <c r="G34" s="46"/>
      <c r="H34" s="47"/>
      <c r="J34" s="48"/>
      <c r="K34" s="57"/>
      <c r="L34" s="58"/>
      <c r="M34" s="58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</row>
    <row r="35" spans="1:30" ht="15.75" customHeight="1">
      <c r="C35" s="46"/>
      <c r="D35" s="46"/>
      <c r="E35" s="46"/>
      <c r="F35" s="46"/>
      <c r="G35" s="46"/>
      <c r="H35" s="47"/>
      <c r="K35" s="46"/>
    </row>
    <row r="36" spans="1:30" ht="15.75" customHeight="1">
      <c r="C36" s="46"/>
      <c r="D36" s="46"/>
      <c r="E36" s="46"/>
      <c r="F36" s="46"/>
      <c r="G36" s="46"/>
      <c r="H36" s="47"/>
      <c r="K36" s="46"/>
    </row>
    <row r="37" spans="1:30" ht="15.75" customHeight="1">
      <c r="C37" s="46"/>
      <c r="D37" s="46"/>
      <c r="E37" s="46"/>
      <c r="F37" s="46"/>
      <c r="G37" s="46"/>
      <c r="H37" s="47"/>
      <c r="K37" s="46"/>
    </row>
    <row r="38" spans="1:30" ht="15.75" customHeight="1">
      <c r="C38" s="46"/>
      <c r="D38" s="46"/>
      <c r="E38" s="46"/>
      <c r="F38" s="46"/>
      <c r="G38" s="46"/>
      <c r="H38" s="47"/>
      <c r="K38" s="46"/>
    </row>
    <row r="39" spans="1:30" ht="15.75" customHeight="1">
      <c r="C39" s="46"/>
      <c r="D39" s="46"/>
      <c r="E39" s="46"/>
      <c r="F39" s="46"/>
      <c r="G39" s="46"/>
      <c r="H39" s="47"/>
      <c r="K39" s="46"/>
    </row>
    <row r="40" spans="1:30" ht="15.75" customHeight="1">
      <c r="C40" s="46"/>
      <c r="D40" s="46"/>
      <c r="E40" s="46"/>
      <c r="F40" s="46"/>
      <c r="G40" s="46"/>
      <c r="H40" s="47"/>
      <c r="K40" s="46"/>
    </row>
    <row r="41" spans="1:30" ht="15.75" customHeight="1">
      <c r="C41" s="46"/>
      <c r="D41" s="46"/>
      <c r="E41" s="46"/>
      <c r="F41" s="46"/>
      <c r="G41" s="46"/>
      <c r="H41" s="47"/>
      <c r="K41" s="46"/>
    </row>
    <row r="42" spans="1:30" ht="15.75" customHeight="1">
      <c r="C42" s="46"/>
      <c r="D42" s="46"/>
      <c r="E42" s="46"/>
      <c r="F42" s="46"/>
      <c r="G42" s="46"/>
      <c r="H42" s="47"/>
      <c r="K42" s="46"/>
    </row>
    <row r="43" spans="1:30" ht="15.75" customHeight="1">
      <c r="C43" s="46"/>
      <c r="D43" s="46"/>
      <c r="E43" s="46"/>
      <c r="F43" s="46"/>
      <c r="G43" s="46"/>
      <c r="H43" s="47"/>
      <c r="K43" s="46"/>
    </row>
    <row r="44" spans="1:30" ht="15.75" customHeight="1">
      <c r="C44" s="46"/>
      <c r="D44" s="46"/>
      <c r="E44" s="46"/>
      <c r="F44" s="46"/>
      <c r="G44" s="46"/>
      <c r="H44" s="47"/>
      <c r="K44" s="46"/>
    </row>
    <row r="45" spans="1:30" ht="15.75" customHeight="1">
      <c r="C45" s="46"/>
      <c r="D45" s="46"/>
      <c r="E45" s="46"/>
      <c r="F45" s="46"/>
      <c r="G45" s="46"/>
      <c r="H45" s="47"/>
      <c r="K45" s="46"/>
    </row>
    <row r="46" spans="1:30" ht="15.75" customHeight="1">
      <c r="C46" s="46"/>
      <c r="D46" s="46"/>
      <c r="E46" s="46"/>
      <c r="F46" s="46"/>
      <c r="G46" s="46"/>
      <c r="H46" s="47"/>
      <c r="K46" s="46"/>
    </row>
    <row r="47" spans="1:30" ht="15.75" customHeight="1">
      <c r="C47" s="46"/>
      <c r="D47" s="46"/>
      <c r="E47" s="46"/>
      <c r="F47" s="46"/>
      <c r="G47" s="46"/>
      <c r="H47" s="47"/>
      <c r="K47" s="46"/>
    </row>
    <row r="48" spans="1:30" ht="15.75" customHeight="1">
      <c r="C48" s="46"/>
      <c r="D48" s="46"/>
      <c r="E48" s="46"/>
      <c r="F48" s="46"/>
      <c r="G48" s="46"/>
      <c r="H48" s="47"/>
      <c r="K48" s="46"/>
    </row>
    <row r="49" spans="3:11" ht="15.75" customHeight="1">
      <c r="C49" s="46"/>
      <c r="D49" s="46"/>
      <c r="E49" s="46"/>
      <c r="F49" s="46"/>
      <c r="G49" s="46"/>
      <c r="H49" s="47"/>
      <c r="K49" s="46"/>
    </row>
    <row r="50" spans="3:11" ht="15.75" customHeight="1">
      <c r="C50" s="46"/>
      <c r="D50" s="46"/>
      <c r="E50" s="46"/>
      <c r="F50" s="46"/>
      <c r="G50" s="46"/>
      <c r="H50" s="47"/>
      <c r="K50" s="46"/>
    </row>
    <row r="51" spans="3:11" ht="13">
      <c r="C51" s="46"/>
      <c r="D51" s="46"/>
      <c r="E51" s="46"/>
      <c r="F51" s="46"/>
      <c r="G51" s="46"/>
      <c r="H51" s="47"/>
      <c r="K51" s="46"/>
    </row>
    <row r="52" spans="3:11" ht="13">
      <c r="C52" s="46"/>
      <c r="D52" s="46"/>
      <c r="E52" s="46"/>
      <c r="F52" s="46"/>
      <c r="G52" s="46"/>
      <c r="H52" s="47"/>
      <c r="K52" s="46"/>
    </row>
    <row r="53" spans="3:11" ht="13">
      <c r="C53" s="46"/>
      <c r="D53" s="46"/>
      <c r="E53" s="46"/>
      <c r="F53" s="46"/>
      <c r="G53" s="46"/>
      <c r="H53" s="47"/>
      <c r="K53" s="46"/>
    </row>
    <row r="54" spans="3:11" ht="13">
      <c r="C54" s="46"/>
      <c r="D54" s="46"/>
      <c r="E54" s="46"/>
      <c r="F54" s="46"/>
      <c r="G54" s="46"/>
      <c r="H54" s="47"/>
      <c r="K54" s="46"/>
    </row>
    <row r="55" spans="3:11" ht="13">
      <c r="C55" s="46"/>
      <c r="D55" s="46"/>
      <c r="E55" s="46"/>
      <c r="F55" s="46"/>
      <c r="G55" s="46"/>
      <c r="H55" s="47"/>
      <c r="K55" s="46"/>
    </row>
    <row r="56" spans="3:11" ht="13">
      <c r="C56" s="46"/>
      <c r="D56" s="46"/>
      <c r="E56" s="46"/>
      <c r="F56" s="46"/>
      <c r="G56" s="46"/>
      <c r="H56" s="47"/>
      <c r="K56" s="46"/>
    </row>
    <row r="57" spans="3:11" ht="13">
      <c r="C57" s="46"/>
      <c r="D57" s="46"/>
      <c r="E57" s="46"/>
      <c r="F57" s="46"/>
      <c r="G57" s="46"/>
      <c r="H57" s="47"/>
      <c r="K57" s="46"/>
    </row>
    <row r="58" spans="3:11" ht="13">
      <c r="C58" s="46"/>
      <c r="D58" s="46"/>
      <c r="E58" s="46"/>
      <c r="F58" s="46"/>
      <c r="G58" s="46"/>
      <c r="H58" s="47"/>
      <c r="K58" s="46"/>
    </row>
    <row r="59" spans="3:11" ht="13">
      <c r="C59" s="46"/>
      <c r="D59" s="46"/>
      <c r="E59" s="46"/>
      <c r="F59" s="46"/>
      <c r="G59" s="46"/>
      <c r="H59" s="47"/>
      <c r="K59" s="46"/>
    </row>
    <row r="60" spans="3:11" ht="13">
      <c r="C60" s="46"/>
      <c r="D60" s="46"/>
      <c r="E60" s="46"/>
      <c r="F60" s="46"/>
      <c r="G60" s="46"/>
      <c r="H60" s="47"/>
      <c r="K60" s="46"/>
    </row>
    <row r="61" spans="3:11" ht="13">
      <c r="C61" s="46"/>
      <c r="D61" s="46"/>
      <c r="E61" s="46"/>
      <c r="F61" s="46"/>
      <c r="G61" s="46"/>
      <c r="H61" s="47"/>
      <c r="K61" s="46"/>
    </row>
    <row r="62" spans="3:11" ht="13">
      <c r="C62" s="46"/>
      <c r="D62" s="46"/>
      <c r="E62" s="46"/>
      <c r="F62" s="46"/>
      <c r="G62" s="46"/>
      <c r="H62" s="47"/>
      <c r="K62" s="46"/>
    </row>
    <row r="63" spans="3:11" ht="13">
      <c r="C63" s="46"/>
      <c r="D63" s="46"/>
      <c r="E63" s="46"/>
      <c r="F63" s="46"/>
      <c r="G63" s="46"/>
      <c r="H63" s="47"/>
      <c r="K63" s="46"/>
    </row>
    <row r="64" spans="3:11" ht="13">
      <c r="C64" s="46"/>
      <c r="D64" s="46"/>
      <c r="E64" s="46"/>
      <c r="F64" s="46"/>
      <c r="G64" s="46"/>
      <c r="H64" s="47"/>
      <c r="K64" s="46"/>
    </row>
    <row r="65" spans="3:11" ht="13">
      <c r="C65" s="46"/>
      <c r="D65" s="46"/>
      <c r="E65" s="46"/>
      <c r="F65" s="46"/>
      <c r="G65" s="46"/>
      <c r="H65" s="47"/>
      <c r="K65" s="46"/>
    </row>
    <row r="66" spans="3:11" ht="13">
      <c r="C66" s="46"/>
      <c r="D66" s="46"/>
      <c r="E66" s="46"/>
      <c r="F66" s="46"/>
      <c r="G66" s="46"/>
      <c r="H66" s="47"/>
      <c r="K66" s="46"/>
    </row>
    <row r="67" spans="3:11" ht="13">
      <c r="C67" s="46"/>
      <c r="D67" s="46"/>
      <c r="E67" s="46"/>
      <c r="F67" s="46"/>
      <c r="G67" s="46"/>
      <c r="H67" s="47"/>
      <c r="K67" s="46"/>
    </row>
    <row r="68" spans="3:11" ht="13">
      <c r="C68" s="46"/>
      <c r="D68" s="46"/>
      <c r="E68" s="46"/>
      <c r="F68" s="46"/>
      <c r="G68" s="46"/>
      <c r="H68" s="47"/>
      <c r="K68" s="46"/>
    </row>
    <row r="69" spans="3:11" ht="13">
      <c r="C69" s="46"/>
      <c r="D69" s="46"/>
      <c r="E69" s="46"/>
      <c r="F69" s="46"/>
      <c r="G69" s="46"/>
      <c r="H69" s="47"/>
      <c r="K69" s="46"/>
    </row>
    <row r="70" spans="3:11" ht="13">
      <c r="C70" s="46"/>
      <c r="D70" s="46"/>
      <c r="E70" s="46"/>
      <c r="F70" s="46"/>
      <c r="G70" s="46"/>
      <c r="H70" s="47"/>
      <c r="K70" s="46"/>
    </row>
    <row r="71" spans="3:11" ht="13">
      <c r="C71" s="46"/>
      <c r="D71" s="46"/>
      <c r="E71" s="46"/>
      <c r="F71" s="46"/>
      <c r="G71" s="46"/>
      <c r="H71" s="47"/>
      <c r="K71" s="46"/>
    </row>
    <row r="72" spans="3:11" ht="13">
      <c r="C72" s="46"/>
      <c r="D72" s="46"/>
      <c r="E72" s="46"/>
      <c r="F72" s="46"/>
      <c r="G72" s="46"/>
      <c r="H72" s="47"/>
      <c r="K72" s="46"/>
    </row>
    <row r="73" spans="3:11" ht="13">
      <c r="C73" s="46"/>
      <c r="D73" s="46"/>
      <c r="E73" s="46"/>
      <c r="F73" s="46"/>
      <c r="G73" s="46"/>
      <c r="H73" s="47"/>
      <c r="K73" s="46"/>
    </row>
    <row r="74" spans="3:11" ht="13">
      <c r="C74" s="46"/>
      <c r="D74" s="46"/>
      <c r="E74" s="46"/>
      <c r="F74" s="46"/>
      <c r="G74" s="46"/>
      <c r="H74" s="47"/>
      <c r="K74" s="46"/>
    </row>
    <row r="75" spans="3:11" ht="13">
      <c r="C75" s="46"/>
      <c r="D75" s="46"/>
      <c r="E75" s="46"/>
      <c r="F75" s="46"/>
      <c r="G75" s="46"/>
      <c r="H75" s="47"/>
      <c r="K75" s="46"/>
    </row>
    <row r="76" spans="3:11" ht="13">
      <c r="C76" s="46"/>
      <c r="D76" s="46"/>
      <c r="E76" s="46"/>
      <c r="F76" s="46"/>
      <c r="G76" s="46"/>
      <c r="H76" s="47"/>
      <c r="K76" s="46"/>
    </row>
    <row r="77" spans="3:11" ht="13">
      <c r="C77" s="46"/>
      <c r="D77" s="46"/>
      <c r="E77" s="46"/>
      <c r="F77" s="46"/>
      <c r="G77" s="46"/>
      <c r="H77" s="47"/>
      <c r="K77" s="46"/>
    </row>
    <row r="78" spans="3:11" ht="13">
      <c r="C78" s="46"/>
      <c r="D78" s="46"/>
      <c r="E78" s="46"/>
      <c r="F78" s="46"/>
      <c r="G78" s="46"/>
      <c r="H78" s="47"/>
      <c r="K78" s="46"/>
    </row>
    <row r="79" spans="3:11" ht="13">
      <c r="C79" s="46"/>
      <c r="D79" s="46"/>
      <c r="E79" s="46"/>
      <c r="F79" s="46"/>
      <c r="G79" s="46"/>
      <c r="H79" s="47"/>
      <c r="K79" s="46"/>
    </row>
    <row r="80" spans="3:11" ht="13">
      <c r="C80" s="46"/>
      <c r="D80" s="46"/>
      <c r="E80" s="46"/>
      <c r="F80" s="46"/>
      <c r="G80" s="46"/>
      <c r="H80" s="47"/>
      <c r="K80" s="46"/>
    </row>
    <row r="81" spans="3:11" ht="13">
      <c r="C81" s="46"/>
      <c r="D81" s="46"/>
      <c r="E81" s="46"/>
      <c r="F81" s="46"/>
      <c r="G81" s="46"/>
      <c r="H81" s="47"/>
      <c r="K81" s="46"/>
    </row>
    <row r="82" spans="3:11" ht="13">
      <c r="C82" s="46"/>
      <c r="D82" s="46"/>
      <c r="E82" s="46"/>
      <c r="F82" s="46"/>
      <c r="G82" s="46"/>
      <c r="H82" s="47"/>
      <c r="K82" s="46"/>
    </row>
    <row r="83" spans="3:11" ht="13">
      <c r="C83" s="46"/>
      <c r="D83" s="46"/>
      <c r="E83" s="46"/>
      <c r="F83" s="46"/>
      <c r="G83" s="46"/>
      <c r="H83" s="47"/>
      <c r="K83" s="46"/>
    </row>
    <row r="84" spans="3:11" ht="13">
      <c r="C84" s="46"/>
      <c r="D84" s="46"/>
      <c r="E84" s="46"/>
      <c r="F84" s="46"/>
      <c r="G84" s="46"/>
      <c r="H84" s="47"/>
      <c r="K84" s="46"/>
    </row>
    <row r="85" spans="3:11" ht="13">
      <c r="C85" s="46"/>
      <c r="D85" s="46"/>
      <c r="E85" s="46"/>
      <c r="F85" s="46"/>
      <c r="G85" s="46"/>
      <c r="H85" s="47"/>
      <c r="K85" s="46"/>
    </row>
    <row r="86" spans="3:11" ht="13">
      <c r="C86" s="46"/>
      <c r="D86" s="46"/>
      <c r="E86" s="46"/>
      <c r="F86" s="46"/>
      <c r="G86" s="46"/>
      <c r="H86" s="47"/>
      <c r="K86" s="46"/>
    </row>
    <row r="87" spans="3:11" ht="13">
      <c r="C87" s="46"/>
      <c r="D87" s="46"/>
      <c r="E87" s="46"/>
      <c r="F87" s="46"/>
      <c r="G87" s="46"/>
      <c r="H87" s="47"/>
      <c r="K87" s="46"/>
    </row>
    <row r="88" spans="3:11" ht="13">
      <c r="C88" s="46"/>
      <c r="D88" s="46"/>
      <c r="E88" s="46"/>
      <c r="F88" s="46"/>
      <c r="G88" s="46"/>
      <c r="H88" s="47"/>
      <c r="K88" s="46"/>
    </row>
    <row r="89" spans="3:11" ht="13">
      <c r="C89" s="46"/>
      <c r="D89" s="46"/>
      <c r="E89" s="46"/>
      <c r="F89" s="46"/>
      <c r="G89" s="46"/>
      <c r="H89" s="47"/>
      <c r="K89" s="46"/>
    </row>
    <row r="90" spans="3:11" ht="13">
      <c r="C90" s="46"/>
      <c r="D90" s="46"/>
      <c r="E90" s="46"/>
      <c r="F90" s="46"/>
      <c r="G90" s="46"/>
      <c r="H90" s="47"/>
      <c r="K90" s="46"/>
    </row>
    <row r="91" spans="3:11" ht="13">
      <c r="C91" s="46"/>
      <c r="D91" s="46"/>
      <c r="E91" s="46"/>
      <c r="F91" s="46"/>
      <c r="G91" s="46"/>
      <c r="H91" s="47"/>
      <c r="K91" s="46"/>
    </row>
    <row r="92" spans="3:11" ht="13">
      <c r="C92" s="46"/>
      <c r="D92" s="46"/>
      <c r="E92" s="46"/>
      <c r="F92" s="46"/>
      <c r="G92" s="46"/>
      <c r="H92" s="47"/>
      <c r="K92" s="46"/>
    </row>
    <row r="93" spans="3:11" ht="13">
      <c r="C93" s="46"/>
      <c r="D93" s="46"/>
      <c r="E93" s="46"/>
      <c r="F93" s="46"/>
      <c r="G93" s="46"/>
      <c r="H93" s="47"/>
      <c r="K93" s="46"/>
    </row>
    <row r="94" spans="3:11" ht="13">
      <c r="C94" s="46"/>
      <c r="D94" s="46"/>
      <c r="E94" s="46"/>
      <c r="F94" s="46"/>
      <c r="G94" s="46"/>
      <c r="H94" s="47"/>
      <c r="K94" s="46"/>
    </row>
    <row r="95" spans="3:11" ht="13">
      <c r="C95" s="46"/>
      <c r="D95" s="46"/>
      <c r="E95" s="46"/>
      <c r="F95" s="46"/>
      <c r="G95" s="46"/>
      <c r="H95" s="47"/>
      <c r="K95" s="46"/>
    </row>
    <row r="96" spans="3:11" ht="13">
      <c r="C96" s="46"/>
      <c r="D96" s="46"/>
      <c r="E96" s="46"/>
      <c r="F96" s="46"/>
      <c r="G96" s="46"/>
      <c r="H96" s="47"/>
      <c r="K96" s="46"/>
    </row>
    <row r="97" spans="3:11" ht="13">
      <c r="C97" s="46"/>
      <c r="D97" s="46"/>
      <c r="E97" s="46"/>
      <c r="F97" s="46"/>
      <c r="G97" s="46"/>
      <c r="H97" s="47"/>
      <c r="K97" s="46"/>
    </row>
    <row r="98" spans="3:11" ht="13">
      <c r="C98" s="46"/>
      <c r="D98" s="46"/>
      <c r="E98" s="46"/>
      <c r="F98" s="46"/>
      <c r="G98" s="46"/>
      <c r="H98" s="47"/>
      <c r="K98" s="46"/>
    </row>
    <row r="99" spans="3:11" ht="13">
      <c r="C99" s="46"/>
      <c r="D99" s="46"/>
      <c r="E99" s="46"/>
      <c r="F99" s="46"/>
      <c r="G99" s="46"/>
      <c r="H99" s="47"/>
      <c r="K99" s="46"/>
    </row>
    <row r="100" spans="3:11" ht="13">
      <c r="C100" s="46"/>
      <c r="D100" s="46"/>
      <c r="E100" s="46"/>
      <c r="F100" s="46"/>
      <c r="G100" s="46"/>
      <c r="H100" s="47"/>
      <c r="K100" s="46"/>
    </row>
    <row r="101" spans="3:11" ht="13">
      <c r="C101" s="46"/>
      <c r="D101" s="46"/>
      <c r="E101" s="46"/>
      <c r="F101" s="46"/>
      <c r="G101" s="46"/>
      <c r="H101" s="47"/>
      <c r="K101" s="46"/>
    </row>
    <row r="102" spans="3:11" ht="13">
      <c r="C102" s="46"/>
      <c r="D102" s="46"/>
      <c r="E102" s="46"/>
      <c r="F102" s="46"/>
      <c r="G102" s="46"/>
      <c r="H102" s="47"/>
      <c r="K102" s="46"/>
    </row>
    <row r="103" spans="3:11" ht="13">
      <c r="C103" s="46"/>
      <c r="D103" s="46"/>
      <c r="E103" s="46"/>
      <c r="F103" s="46"/>
      <c r="G103" s="46"/>
      <c r="H103" s="47"/>
      <c r="K103" s="46"/>
    </row>
    <row r="104" spans="3:11" ht="13">
      <c r="C104" s="46"/>
      <c r="D104" s="46"/>
      <c r="E104" s="46"/>
      <c r="F104" s="46"/>
      <c r="G104" s="46"/>
      <c r="H104" s="47"/>
      <c r="K104" s="46"/>
    </row>
    <row r="105" spans="3:11" ht="13">
      <c r="C105" s="46"/>
      <c r="D105" s="46"/>
      <c r="E105" s="46"/>
      <c r="F105" s="46"/>
      <c r="G105" s="46"/>
      <c r="H105" s="47"/>
      <c r="K105" s="46"/>
    </row>
    <row r="106" spans="3:11" ht="13">
      <c r="C106" s="46"/>
      <c r="D106" s="46"/>
      <c r="E106" s="46"/>
      <c r="F106" s="46"/>
      <c r="G106" s="46"/>
      <c r="H106" s="47"/>
      <c r="K106" s="46"/>
    </row>
    <row r="107" spans="3:11" ht="13">
      <c r="C107" s="46"/>
      <c r="D107" s="46"/>
      <c r="E107" s="46"/>
      <c r="F107" s="46"/>
      <c r="G107" s="46"/>
      <c r="H107" s="47"/>
      <c r="K107" s="46"/>
    </row>
    <row r="108" spans="3:11" ht="13">
      <c r="C108" s="46"/>
      <c r="D108" s="46"/>
      <c r="E108" s="46"/>
      <c r="F108" s="46"/>
      <c r="G108" s="46"/>
      <c r="H108" s="47"/>
      <c r="K108" s="46"/>
    </row>
    <row r="109" spans="3:11" ht="13">
      <c r="C109" s="46"/>
      <c r="D109" s="46"/>
      <c r="E109" s="46"/>
      <c r="F109" s="46"/>
      <c r="G109" s="46"/>
      <c r="H109" s="47"/>
      <c r="K109" s="46"/>
    </row>
    <row r="110" spans="3:11" ht="13">
      <c r="C110" s="46"/>
      <c r="D110" s="46"/>
      <c r="E110" s="46"/>
      <c r="F110" s="46"/>
      <c r="G110" s="46"/>
      <c r="H110" s="47"/>
      <c r="K110" s="46"/>
    </row>
    <row r="111" spans="3:11" ht="13">
      <c r="C111" s="46"/>
      <c r="D111" s="46"/>
      <c r="E111" s="46"/>
      <c r="F111" s="46"/>
      <c r="G111" s="46"/>
      <c r="H111" s="47"/>
      <c r="K111" s="46"/>
    </row>
    <row r="112" spans="3:11" ht="13">
      <c r="C112" s="46"/>
      <c r="D112" s="46"/>
      <c r="E112" s="46"/>
      <c r="F112" s="46"/>
      <c r="G112" s="46"/>
      <c r="H112" s="47"/>
      <c r="K112" s="46"/>
    </row>
    <row r="113" spans="3:11" ht="13">
      <c r="C113" s="46"/>
      <c r="D113" s="46"/>
      <c r="E113" s="46"/>
      <c r="F113" s="46"/>
      <c r="G113" s="46"/>
      <c r="H113" s="47"/>
      <c r="K113" s="46"/>
    </row>
    <row r="114" spans="3:11" ht="13">
      <c r="C114" s="46"/>
      <c r="D114" s="46"/>
      <c r="E114" s="46"/>
      <c r="F114" s="46"/>
      <c r="G114" s="46"/>
      <c r="H114" s="47"/>
      <c r="K114" s="46"/>
    </row>
    <row r="115" spans="3:11" ht="13">
      <c r="C115" s="46"/>
      <c r="D115" s="46"/>
      <c r="E115" s="46"/>
      <c r="F115" s="46"/>
      <c r="G115" s="46"/>
      <c r="H115" s="47"/>
      <c r="K115" s="46"/>
    </row>
    <row r="116" spans="3:11" ht="13">
      <c r="C116" s="46"/>
      <c r="D116" s="46"/>
      <c r="E116" s="46"/>
      <c r="F116" s="46"/>
      <c r="G116" s="46"/>
      <c r="H116" s="47"/>
      <c r="K116" s="46"/>
    </row>
    <row r="117" spans="3:11" ht="13">
      <c r="C117" s="46"/>
      <c r="D117" s="46"/>
      <c r="E117" s="46"/>
      <c r="F117" s="46"/>
      <c r="G117" s="46"/>
      <c r="H117" s="47"/>
      <c r="K117" s="46"/>
    </row>
    <row r="118" spans="3:11" ht="13">
      <c r="C118" s="46"/>
      <c r="D118" s="46"/>
      <c r="E118" s="46"/>
      <c r="F118" s="46"/>
      <c r="G118" s="46"/>
      <c r="H118" s="47"/>
      <c r="K118" s="46"/>
    </row>
    <row r="119" spans="3:11" ht="13">
      <c r="C119" s="46"/>
      <c r="D119" s="46"/>
      <c r="E119" s="46"/>
      <c r="F119" s="46"/>
      <c r="G119" s="46"/>
      <c r="H119" s="47"/>
      <c r="K119" s="46"/>
    </row>
    <row r="120" spans="3:11" ht="13">
      <c r="C120" s="46"/>
      <c r="D120" s="46"/>
      <c r="E120" s="46"/>
      <c r="F120" s="46"/>
      <c r="G120" s="46"/>
      <c r="H120" s="47"/>
      <c r="K120" s="46"/>
    </row>
    <row r="121" spans="3:11" ht="13">
      <c r="C121" s="46"/>
      <c r="D121" s="46"/>
      <c r="E121" s="46"/>
      <c r="F121" s="46"/>
      <c r="G121" s="46"/>
      <c r="H121" s="47"/>
      <c r="K121" s="46"/>
    </row>
    <row r="122" spans="3:11" ht="13">
      <c r="C122" s="46"/>
      <c r="D122" s="46"/>
      <c r="E122" s="46"/>
      <c r="F122" s="46"/>
      <c r="G122" s="46"/>
      <c r="H122" s="47"/>
      <c r="K122" s="46"/>
    </row>
    <row r="123" spans="3:11" ht="13">
      <c r="C123" s="46"/>
      <c r="D123" s="46"/>
      <c r="E123" s="46"/>
      <c r="F123" s="46"/>
      <c r="G123" s="46"/>
      <c r="H123" s="47"/>
      <c r="K123" s="46"/>
    </row>
    <row r="124" spans="3:11" ht="13">
      <c r="C124" s="46"/>
      <c r="D124" s="46"/>
      <c r="E124" s="46"/>
      <c r="F124" s="46"/>
      <c r="G124" s="46"/>
      <c r="H124" s="47"/>
      <c r="K124" s="46"/>
    </row>
    <row r="125" spans="3:11" ht="13">
      <c r="C125" s="46"/>
      <c r="D125" s="46"/>
      <c r="E125" s="46"/>
      <c r="F125" s="46"/>
      <c r="G125" s="46"/>
      <c r="H125" s="47"/>
      <c r="K125" s="46"/>
    </row>
    <row r="126" spans="3:11" ht="13">
      <c r="C126" s="46"/>
      <c r="D126" s="46"/>
      <c r="E126" s="46"/>
      <c r="F126" s="46"/>
      <c r="G126" s="46"/>
      <c r="H126" s="47"/>
      <c r="K126" s="46"/>
    </row>
    <row r="127" spans="3:11" ht="13">
      <c r="C127" s="46"/>
      <c r="D127" s="46"/>
      <c r="E127" s="46"/>
      <c r="F127" s="46"/>
      <c r="G127" s="46"/>
      <c r="H127" s="47"/>
      <c r="K127" s="46"/>
    </row>
    <row r="128" spans="3:11" ht="13">
      <c r="C128" s="46"/>
      <c r="D128" s="46"/>
      <c r="E128" s="46"/>
      <c r="F128" s="46"/>
      <c r="G128" s="46"/>
      <c r="H128" s="47"/>
      <c r="K128" s="46"/>
    </row>
    <row r="129" spans="3:11" ht="13">
      <c r="C129" s="46"/>
      <c r="D129" s="46"/>
      <c r="E129" s="46"/>
      <c r="F129" s="46"/>
      <c r="G129" s="46"/>
      <c r="H129" s="47"/>
      <c r="K129" s="46"/>
    </row>
    <row r="130" spans="3:11" ht="13">
      <c r="C130" s="46"/>
      <c r="D130" s="46"/>
      <c r="E130" s="46"/>
      <c r="F130" s="46"/>
      <c r="G130" s="46"/>
      <c r="H130" s="47"/>
      <c r="K130" s="46"/>
    </row>
    <row r="131" spans="3:11" ht="13">
      <c r="C131" s="46"/>
      <c r="D131" s="46"/>
      <c r="E131" s="46"/>
      <c r="F131" s="46"/>
      <c r="G131" s="46"/>
      <c r="H131" s="47"/>
      <c r="K131" s="46"/>
    </row>
    <row r="132" spans="3:11" ht="13">
      <c r="C132" s="46"/>
      <c r="D132" s="46"/>
      <c r="E132" s="46"/>
      <c r="F132" s="46"/>
      <c r="G132" s="46"/>
      <c r="H132" s="47"/>
      <c r="K132" s="46"/>
    </row>
    <row r="133" spans="3:11" ht="13">
      <c r="C133" s="46"/>
      <c r="D133" s="46"/>
      <c r="E133" s="46"/>
      <c r="F133" s="46"/>
      <c r="G133" s="46"/>
      <c r="H133" s="47"/>
      <c r="K133" s="46"/>
    </row>
    <row r="134" spans="3:11" ht="13">
      <c r="C134" s="46"/>
      <c r="D134" s="46"/>
      <c r="E134" s="46"/>
      <c r="F134" s="46"/>
      <c r="G134" s="46"/>
      <c r="H134" s="47"/>
      <c r="K134" s="46"/>
    </row>
    <row r="135" spans="3:11" ht="13">
      <c r="C135" s="46"/>
      <c r="D135" s="46"/>
      <c r="E135" s="46"/>
      <c r="F135" s="46"/>
      <c r="G135" s="46"/>
      <c r="H135" s="47"/>
      <c r="K135" s="46"/>
    </row>
    <row r="136" spans="3:11" ht="13">
      <c r="C136" s="46"/>
      <c r="D136" s="46"/>
      <c r="E136" s="46"/>
      <c r="F136" s="46"/>
      <c r="G136" s="46"/>
      <c r="H136" s="47"/>
      <c r="K136" s="46"/>
    </row>
    <row r="137" spans="3:11" ht="13">
      <c r="C137" s="46"/>
      <c r="D137" s="46"/>
      <c r="E137" s="46"/>
      <c r="F137" s="46"/>
      <c r="G137" s="46"/>
      <c r="H137" s="47"/>
      <c r="K137" s="46"/>
    </row>
    <row r="138" spans="3:11" ht="13">
      <c r="C138" s="46"/>
      <c r="D138" s="46"/>
      <c r="E138" s="46"/>
      <c r="F138" s="46"/>
      <c r="G138" s="46"/>
      <c r="H138" s="47"/>
      <c r="K138" s="46"/>
    </row>
    <row r="139" spans="3:11" ht="13">
      <c r="C139" s="46"/>
      <c r="D139" s="46"/>
      <c r="E139" s="46"/>
      <c r="F139" s="46"/>
      <c r="G139" s="46"/>
      <c r="H139" s="47"/>
      <c r="K139" s="46"/>
    </row>
    <row r="140" spans="3:11" ht="13">
      <c r="C140" s="46"/>
      <c r="D140" s="46"/>
      <c r="E140" s="46"/>
      <c r="F140" s="46"/>
      <c r="G140" s="46"/>
      <c r="H140" s="47"/>
      <c r="K140" s="46"/>
    </row>
    <row r="141" spans="3:11" ht="13">
      <c r="C141" s="46"/>
      <c r="D141" s="46"/>
      <c r="E141" s="46"/>
      <c r="F141" s="46"/>
      <c r="G141" s="46"/>
      <c r="H141" s="47"/>
      <c r="K141" s="46"/>
    </row>
    <row r="142" spans="3:11" ht="13">
      <c r="C142" s="46"/>
      <c r="D142" s="46"/>
      <c r="E142" s="46"/>
      <c r="F142" s="46"/>
      <c r="G142" s="46"/>
      <c r="H142" s="47"/>
      <c r="K142" s="46"/>
    </row>
    <row r="143" spans="3:11" ht="13">
      <c r="C143" s="46"/>
      <c r="D143" s="46"/>
      <c r="E143" s="46"/>
      <c r="F143" s="46"/>
      <c r="G143" s="46"/>
      <c r="H143" s="47"/>
      <c r="K143" s="46"/>
    </row>
    <row r="144" spans="3:11" ht="13">
      <c r="C144" s="46"/>
      <c r="D144" s="46"/>
      <c r="E144" s="46"/>
      <c r="F144" s="46"/>
      <c r="G144" s="46"/>
      <c r="H144" s="47"/>
      <c r="K144" s="46"/>
    </row>
    <row r="145" spans="3:11" ht="13">
      <c r="C145" s="46"/>
      <c r="D145" s="46"/>
      <c r="E145" s="46"/>
      <c r="F145" s="46"/>
      <c r="G145" s="46"/>
      <c r="H145" s="47"/>
      <c r="K145" s="46"/>
    </row>
    <row r="146" spans="3:11" ht="13">
      <c r="C146" s="46"/>
      <c r="D146" s="46"/>
      <c r="E146" s="46"/>
      <c r="F146" s="46"/>
      <c r="G146" s="46"/>
      <c r="H146" s="47"/>
      <c r="K146" s="46"/>
    </row>
    <row r="147" spans="3:11" ht="13">
      <c r="C147" s="46"/>
      <c r="D147" s="46"/>
      <c r="E147" s="46"/>
      <c r="F147" s="46"/>
      <c r="G147" s="46"/>
      <c r="H147" s="47"/>
      <c r="K147" s="46"/>
    </row>
    <row r="148" spans="3:11" ht="13">
      <c r="C148" s="46"/>
      <c r="D148" s="46"/>
      <c r="E148" s="46"/>
      <c r="F148" s="46"/>
      <c r="G148" s="46"/>
      <c r="H148" s="47"/>
      <c r="K148" s="46"/>
    </row>
    <row r="149" spans="3:11" ht="13">
      <c r="C149" s="46"/>
      <c r="D149" s="46"/>
      <c r="E149" s="46"/>
      <c r="F149" s="46"/>
      <c r="G149" s="46"/>
      <c r="H149" s="47"/>
      <c r="K149" s="46"/>
    </row>
    <row r="150" spans="3:11" ht="13">
      <c r="C150" s="46"/>
      <c r="D150" s="46"/>
      <c r="E150" s="46"/>
      <c r="F150" s="46"/>
      <c r="G150" s="46"/>
      <c r="H150" s="47"/>
      <c r="K150" s="46"/>
    </row>
    <row r="151" spans="3:11" ht="13">
      <c r="C151" s="46"/>
      <c r="D151" s="46"/>
      <c r="E151" s="46"/>
      <c r="F151" s="46"/>
      <c r="G151" s="46"/>
      <c r="H151" s="47"/>
      <c r="K151" s="46"/>
    </row>
    <row r="152" spans="3:11" ht="13">
      <c r="C152" s="46"/>
      <c r="D152" s="46"/>
      <c r="E152" s="46"/>
      <c r="F152" s="46"/>
      <c r="G152" s="46"/>
      <c r="H152" s="47"/>
      <c r="K152" s="46"/>
    </row>
    <row r="153" spans="3:11" ht="13">
      <c r="C153" s="46"/>
      <c r="D153" s="46"/>
      <c r="E153" s="46"/>
      <c r="F153" s="46"/>
      <c r="G153" s="46"/>
      <c r="H153" s="47"/>
      <c r="K153" s="46"/>
    </row>
    <row r="154" spans="3:11" ht="13">
      <c r="C154" s="46"/>
      <c r="D154" s="46"/>
      <c r="E154" s="46"/>
      <c r="F154" s="46"/>
      <c r="G154" s="46"/>
      <c r="H154" s="47"/>
      <c r="K154" s="46"/>
    </row>
    <row r="155" spans="3:11" ht="13">
      <c r="C155" s="46"/>
      <c r="D155" s="46"/>
      <c r="E155" s="46"/>
      <c r="F155" s="46"/>
      <c r="G155" s="46"/>
      <c r="H155" s="47"/>
      <c r="K155" s="46"/>
    </row>
    <row r="156" spans="3:11" ht="13">
      <c r="C156" s="46"/>
      <c r="D156" s="46"/>
      <c r="E156" s="46"/>
      <c r="F156" s="46"/>
      <c r="G156" s="46"/>
      <c r="H156" s="47"/>
      <c r="K156" s="46"/>
    </row>
    <row r="157" spans="3:11" ht="13">
      <c r="C157" s="46"/>
      <c r="D157" s="46"/>
      <c r="E157" s="46"/>
      <c r="F157" s="46"/>
      <c r="G157" s="46"/>
      <c r="H157" s="47"/>
      <c r="K157" s="46"/>
    </row>
    <row r="158" spans="3:11" ht="13">
      <c r="C158" s="46"/>
      <c r="D158" s="46"/>
      <c r="E158" s="46"/>
      <c r="F158" s="46"/>
      <c r="G158" s="46"/>
      <c r="H158" s="47"/>
      <c r="K158" s="46"/>
    </row>
    <row r="159" spans="3:11" ht="13">
      <c r="C159" s="46"/>
      <c r="D159" s="46"/>
      <c r="E159" s="46"/>
      <c r="F159" s="46"/>
      <c r="G159" s="46"/>
      <c r="H159" s="47"/>
      <c r="K159" s="46"/>
    </row>
    <row r="160" spans="3:11" ht="13">
      <c r="C160" s="46"/>
      <c r="D160" s="46"/>
      <c r="E160" s="46"/>
      <c r="F160" s="46"/>
      <c r="G160" s="46"/>
      <c r="H160" s="47"/>
      <c r="K160" s="46"/>
    </row>
    <row r="161" spans="3:11" ht="13">
      <c r="C161" s="46"/>
      <c r="D161" s="46"/>
      <c r="E161" s="46"/>
      <c r="F161" s="46"/>
      <c r="G161" s="46"/>
      <c r="H161" s="47"/>
      <c r="K161" s="46"/>
    </row>
    <row r="162" spans="3:11" ht="13">
      <c r="C162" s="46"/>
      <c r="D162" s="46"/>
      <c r="E162" s="46"/>
      <c r="F162" s="46"/>
      <c r="G162" s="46"/>
      <c r="H162" s="47"/>
      <c r="K162" s="46"/>
    </row>
    <row r="163" spans="3:11" ht="13">
      <c r="C163" s="46"/>
      <c r="D163" s="46"/>
      <c r="E163" s="46"/>
      <c r="F163" s="46"/>
      <c r="G163" s="46"/>
      <c r="H163" s="47"/>
      <c r="K163" s="46"/>
    </row>
    <row r="164" spans="3:11" ht="13">
      <c r="C164" s="46"/>
      <c r="D164" s="46"/>
      <c r="E164" s="46"/>
      <c r="F164" s="46"/>
      <c r="G164" s="46"/>
      <c r="H164" s="47"/>
      <c r="K164" s="46"/>
    </row>
    <row r="165" spans="3:11" ht="13">
      <c r="C165" s="46"/>
      <c r="D165" s="46"/>
      <c r="E165" s="46"/>
      <c r="F165" s="46"/>
      <c r="G165" s="46"/>
      <c r="H165" s="47"/>
      <c r="K165" s="46"/>
    </row>
    <row r="166" spans="3:11" ht="13">
      <c r="C166" s="46"/>
      <c r="D166" s="46"/>
      <c r="E166" s="46"/>
      <c r="F166" s="46"/>
      <c r="G166" s="46"/>
      <c r="H166" s="47"/>
      <c r="K166" s="46"/>
    </row>
    <row r="167" spans="3:11" ht="13">
      <c r="C167" s="46"/>
      <c r="D167" s="46"/>
      <c r="E167" s="46"/>
      <c r="F167" s="46"/>
      <c r="G167" s="46"/>
      <c r="H167" s="47"/>
      <c r="K167" s="46"/>
    </row>
    <row r="168" spans="3:11" ht="13">
      <c r="C168" s="46"/>
      <c r="D168" s="46"/>
      <c r="E168" s="46"/>
      <c r="F168" s="46"/>
      <c r="G168" s="46"/>
      <c r="H168" s="47"/>
      <c r="K168" s="46"/>
    </row>
    <row r="169" spans="3:11" ht="13">
      <c r="C169" s="46"/>
      <c r="D169" s="46"/>
      <c r="E169" s="46"/>
      <c r="F169" s="46"/>
      <c r="G169" s="46"/>
      <c r="H169" s="47"/>
      <c r="K169" s="46"/>
    </row>
    <row r="170" spans="3:11" ht="13">
      <c r="C170" s="46"/>
      <c r="D170" s="46"/>
      <c r="E170" s="46"/>
      <c r="F170" s="46"/>
      <c r="G170" s="46"/>
      <c r="H170" s="47"/>
      <c r="K170" s="46"/>
    </row>
    <row r="171" spans="3:11" ht="13">
      <c r="C171" s="46"/>
      <c r="D171" s="46"/>
      <c r="E171" s="46"/>
      <c r="F171" s="46"/>
      <c r="G171" s="46"/>
      <c r="H171" s="47"/>
      <c r="K171" s="46"/>
    </row>
    <row r="172" spans="3:11" ht="13">
      <c r="C172" s="46"/>
      <c r="D172" s="46"/>
      <c r="E172" s="46"/>
      <c r="F172" s="46"/>
      <c r="G172" s="46"/>
      <c r="H172" s="47"/>
      <c r="K172" s="46"/>
    </row>
    <row r="173" spans="3:11" ht="13">
      <c r="C173" s="46"/>
      <c r="D173" s="46"/>
      <c r="E173" s="46"/>
      <c r="F173" s="46"/>
      <c r="G173" s="46"/>
      <c r="H173" s="47"/>
      <c r="K173" s="46"/>
    </row>
    <row r="174" spans="3:11" ht="13">
      <c r="C174" s="46"/>
      <c r="D174" s="46"/>
      <c r="E174" s="46"/>
      <c r="F174" s="46"/>
      <c r="G174" s="46"/>
      <c r="H174" s="47"/>
      <c r="K174" s="46"/>
    </row>
    <row r="175" spans="3:11" ht="13">
      <c r="C175" s="46"/>
      <c r="D175" s="46"/>
      <c r="E175" s="46"/>
      <c r="F175" s="46"/>
      <c r="G175" s="46"/>
      <c r="H175" s="47"/>
      <c r="K175" s="46"/>
    </row>
    <row r="176" spans="3:11" ht="13">
      <c r="C176" s="46"/>
      <c r="D176" s="46"/>
      <c r="E176" s="46"/>
      <c r="F176" s="46"/>
      <c r="G176" s="46"/>
      <c r="H176" s="47"/>
      <c r="K176" s="46"/>
    </row>
    <row r="177" spans="3:11" ht="13">
      <c r="C177" s="46"/>
      <c r="D177" s="46"/>
      <c r="E177" s="46"/>
      <c r="F177" s="46"/>
      <c r="G177" s="46"/>
      <c r="H177" s="47"/>
      <c r="K177" s="46"/>
    </row>
    <row r="178" spans="3:11" ht="13">
      <c r="C178" s="46"/>
      <c r="D178" s="46"/>
      <c r="E178" s="46"/>
      <c r="F178" s="46"/>
      <c r="G178" s="46"/>
      <c r="H178" s="47"/>
      <c r="K178" s="46"/>
    </row>
    <row r="179" spans="3:11" ht="13">
      <c r="C179" s="46"/>
      <c r="D179" s="46"/>
      <c r="E179" s="46"/>
      <c r="F179" s="46"/>
      <c r="G179" s="46"/>
      <c r="H179" s="47"/>
      <c r="K179" s="46"/>
    </row>
    <row r="180" spans="3:11" ht="13">
      <c r="C180" s="46"/>
      <c r="D180" s="46"/>
      <c r="E180" s="46"/>
      <c r="F180" s="46"/>
      <c r="G180" s="46"/>
      <c r="H180" s="47"/>
      <c r="K180" s="46"/>
    </row>
    <row r="181" spans="3:11" ht="13">
      <c r="C181" s="46"/>
      <c r="D181" s="46"/>
      <c r="E181" s="46"/>
      <c r="F181" s="46"/>
      <c r="G181" s="46"/>
      <c r="H181" s="47"/>
      <c r="K181" s="46"/>
    </row>
    <row r="182" spans="3:11" ht="13">
      <c r="C182" s="46"/>
      <c r="D182" s="46"/>
      <c r="E182" s="46"/>
      <c r="F182" s="46"/>
      <c r="G182" s="46"/>
      <c r="H182" s="47"/>
      <c r="K182" s="46"/>
    </row>
    <row r="183" spans="3:11" ht="13">
      <c r="C183" s="46"/>
      <c r="D183" s="46"/>
      <c r="E183" s="46"/>
      <c r="F183" s="46"/>
      <c r="G183" s="46"/>
      <c r="H183" s="47"/>
      <c r="K183" s="46"/>
    </row>
    <row r="184" spans="3:11" ht="13">
      <c r="C184" s="46"/>
      <c r="D184" s="46"/>
      <c r="E184" s="46"/>
      <c r="F184" s="46"/>
      <c r="G184" s="46"/>
      <c r="H184" s="47"/>
      <c r="K184" s="46"/>
    </row>
    <row r="185" spans="3:11" ht="13">
      <c r="C185" s="46"/>
      <c r="D185" s="46"/>
      <c r="E185" s="46"/>
      <c r="F185" s="46"/>
      <c r="G185" s="46"/>
      <c r="H185" s="47"/>
      <c r="K185" s="46"/>
    </row>
    <row r="186" spans="3:11" ht="13">
      <c r="C186" s="46"/>
      <c r="D186" s="46"/>
      <c r="E186" s="46"/>
      <c r="F186" s="46"/>
      <c r="G186" s="46"/>
      <c r="H186" s="47"/>
      <c r="K186" s="46"/>
    </row>
    <row r="187" spans="3:11" ht="13">
      <c r="C187" s="46"/>
      <c r="D187" s="46"/>
      <c r="E187" s="46"/>
      <c r="F187" s="46"/>
      <c r="G187" s="46"/>
      <c r="H187" s="47"/>
      <c r="K187" s="46"/>
    </row>
    <row r="188" spans="3:11" ht="13">
      <c r="C188" s="46"/>
      <c r="D188" s="46"/>
      <c r="E188" s="46"/>
      <c r="F188" s="46"/>
      <c r="G188" s="46"/>
      <c r="H188" s="47"/>
      <c r="K188" s="46"/>
    </row>
    <row r="189" spans="3:11" ht="13">
      <c r="C189" s="46"/>
      <c r="D189" s="46"/>
      <c r="E189" s="46"/>
      <c r="F189" s="46"/>
      <c r="G189" s="46"/>
      <c r="H189" s="47"/>
      <c r="K189" s="46"/>
    </row>
    <row r="190" spans="3:11" ht="13">
      <c r="C190" s="46"/>
      <c r="D190" s="46"/>
      <c r="E190" s="46"/>
      <c r="F190" s="46"/>
      <c r="G190" s="46"/>
      <c r="H190" s="47"/>
      <c r="K190" s="46"/>
    </row>
    <row r="191" spans="3:11" ht="13">
      <c r="C191" s="46"/>
      <c r="D191" s="46"/>
      <c r="E191" s="46"/>
      <c r="F191" s="46"/>
      <c r="G191" s="46"/>
      <c r="H191" s="47"/>
      <c r="K191" s="46"/>
    </row>
    <row r="192" spans="3:11" ht="13">
      <c r="C192" s="46"/>
      <c r="D192" s="46"/>
      <c r="E192" s="46"/>
      <c r="F192" s="46"/>
      <c r="G192" s="46"/>
      <c r="H192" s="47"/>
      <c r="K192" s="46"/>
    </row>
    <row r="193" spans="3:11" ht="13">
      <c r="C193" s="46"/>
      <c r="D193" s="46"/>
      <c r="E193" s="46"/>
      <c r="F193" s="46"/>
      <c r="G193" s="46"/>
      <c r="H193" s="47"/>
      <c r="K193" s="46"/>
    </row>
    <row r="194" spans="3:11" ht="13">
      <c r="C194" s="46"/>
      <c r="D194" s="46"/>
      <c r="E194" s="46"/>
      <c r="F194" s="46"/>
      <c r="G194" s="46"/>
      <c r="H194" s="47"/>
      <c r="K194" s="46"/>
    </row>
    <row r="195" spans="3:11" ht="13">
      <c r="C195" s="46"/>
      <c r="D195" s="46"/>
      <c r="E195" s="46"/>
      <c r="F195" s="46"/>
      <c r="G195" s="46"/>
      <c r="H195" s="47"/>
      <c r="K195" s="46"/>
    </row>
    <row r="196" spans="3:11" ht="13">
      <c r="C196" s="46"/>
      <c r="D196" s="46"/>
      <c r="E196" s="46"/>
      <c r="F196" s="46"/>
      <c r="G196" s="46"/>
      <c r="H196" s="47"/>
      <c r="K196" s="46"/>
    </row>
    <row r="197" spans="3:11" ht="13">
      <c r="C197" s="46"/>
      <c r="D197" s="46"/>
      <c r="E197" s="46"/>
      <c r="F197" s="46"/>
      <c r="G197" s="46"/>
      <c r="H197" s="47"/>
      <c r="K197" s="46"/>
    </row>
    <row r="198" spans="3:11" ht="13">
      <c r="C198" s="46"/>
      <c r="D198" s="46"/>
      <c r="E198" s="46"/>
      <c r="F198" s="46"/>
      <c r="G198" s="46"/>
      <c r="H198" s="47"/>
      <c r="K198" s="46"/>
    </row>
    <row r="199" spans="3:11" ht="13">
      <c r="C199" s="46"/>
      <c r="D199" s="46"/>
      <c r="E199" s="46"/>
      <c r="F199" s="46"/>
      <c r="G199" s="46"/>
      <c r="H199" s="47"/>
      <c r="K199" s="46"/>
    </row>
    <row r="200" spans="3:11" ht="13">
      <c r="C200" s="46"/>
      <c r="D200" s="46"/>
      <c r="E200" s="46"/>
      <c r="F200" s="46"/>
      <c r="G200" s="46"/>
      <c r="H200" s="47"/>
      <c r="K200" s="46"/>
    </row>
    <row r="201" spans="3:11" ht="13">
      <c r="C201" s="46"/>
      <c r="D201" s="46"/>
      <c r="E201" s="46"/>
      <c r="F201" s="46"/>
      <c r="G201" s="46"/>
      <c r="H201" s="47"/>
      <c r="K201" s="46"/>
    </row>
    <row r="202" spans="3:11" ht="13">
      <c r="C202" s="46"/>
      <c r="D202" s="46"/>
      <c r="E202" s="46"/>
      <c r="F202" s="46"/>
      <c r="G202" s="46"/>
      <c r="H202" s="47"/>
      <c r="K202" s="46"/>
    </row>
    <row r="203" spans="3:11" ht="13">
      <c r="C203" s="46"/>
      <c r="D203" s="46"/>
      <c r="E203" s="46"/>
      <c r="F203" s="46"/>
      <c r="G203" s="46"/>
      <c r="H203" s="47"/>
      <c r="K203" s="46"/>
    </row>
    <row r="204" spans="3:11" ht="13">
      <c r="C204" s="46"/>
      <c r="D204" s="46"/>
      <c r="E204" s="46"/>
      <c r="F204" s="46"/>
      <c r="G204" s="46"/>
      <c r="H204" s="47"/>
      <c r="K204" s="46"/>
    </row>
    <row r="205" spans="3:11" ht="13">
      <c r="C205" s="46"/>
      <c r="D205" s="46"/>
      <c r="E205" s="46"/>
      <c r="F205" s="46"/>
      <c r="G205" s="46"/>
      <c r="H205" s="47"/>
      <c r="K205" s="46"/>
    </row>
    <row r="206" spans="3:11" ht="13">
      <c r="C206" s="46"/>
      <c r="D206" s="46"/>
      <c r="E206" s="46"/>
      <c r="F206" s="46"/>
      <c r="G206" s="46"/>
      <c r="H206" s="47"/>
      <c r="K206" s="46"/>
    </row>
    <row r="207" spans="3:11" ht="13">
      <c r="C207" s="46"/>
      <c r="D207" s="46"/>
      <c r="E207" s="46"/>
      <c r="F207" s="46"/>
      <c r="G207" s="46"/>
      <c r="H207" s="47"/>
      <c r="K207" s="46"/>
    </row>
    <row r="208" spans="3:11" ht="13">
      <c r="C208" s="46"/>
      <c r="D208" s="46"/>
      <c r="E208" s="46"/>
      <c r="F208" s="46"/>
      <c r="G208" s="46"/>
      <c r="H208" s="47"/>
      <c r="K208" s="46"/>
    </row>
    <row r="209" spans="3:11" ht="13">
      <c r="C209" s="46"/>
      <c r="D209" s="46"/>
      <c r="E209" s="46"/>
      <c r="F209" s="46"/>
      <c r="G209" s="46"/>
      <c r="H209" s="47"/>
      <c r="K209" s="46"/>
    </row>
    <row r="210" spans="3:11" ht="13">
      <c r="C210" s="46"/>
      <c r="D210" s="46"/>
      <c r="E210" s="46"/>
      <c r="F210" s="46"/>
      <c r="G210" s="46"/>
      <c r="H210" s="47"/>
      <c r="K210" s="46"/>
    </row>
    <row r="211" spans="3:11" ht="13">
      <c r="C211" s="46"/>
      <c r="D211" s="46"/>
      <c r="E211" s="46"/>
      <c r="F211" s="46"/>
      <c r="G211" s="46"/>
      <c r="H211" s="47"/>
      <c r="K211" s="46"/>
    </row>
    <row r="212" spans="3:11" ht="13">
      <c r="C212" s="46"/>
      <c r="D212" s="46"/>
      <c r="E212" s="46"/>
      <c r="F212" s="46"/>
      <c r="G212" s="46"/>
      <c r="H212" s="47"/>
      <c r="K212" s="46"/>
    </row>
    <row r="213" spans="3:11" ht="13">
      <c r="C213" s="46"/>
      <c r="D213" s="46"/>
      <c r="E213" s="46"/>
      <c r="F213" s="46"/>
      <c r="G213" s="46"/>
      <c r="H213" s="47"/>
      <c r="K213" s="46"/>
    </row>
    <row r="214" spans="3:11" ht="13">
      <c r="C214" s="46"/>
      <c r="D214" s="46"/>
      <c r="E214" s="46"/>
      <c r="F214" s="46"/>
      <c r="G214" s="46"/>
      <c r="H214" s="47"/>
      <c r="K214" s="46"/>
    </row>
    <row r="215" spans="3:11" ht="13">
      <c r="C215" s="46"/>
      <c r="D215" s="46"/>
      <c r="E215" s="46"/>
      <c r="F215" s="46"/>
      <c r="G215" s="46"/>
      <c r="H215" s="47"/>
      <c r="K215" s="46"/>
    </row>
    <row r="216" spans="3:11" ht="13">
      <c r="C216" s="46"/>
      <c r="D216" s="46"/>
      <c r="E216" s="46"/>
      <c r="F216" s="46"/>
      <c r="G216" s="46"/>
      <c r="H216" s="47"/>
      <c r="K216" s="46"/>
    </row>
    <row r="217" spans="3:11" ht="13">
      <c r="C217" s="46"/>
      <c r="D217" s="46"/>
      <c r="E217" s="46"/>
      <c r="F217" s="46"/>
      <c r="G217" s="46"/>
      <c r="H217" s="47"/>
      <c r="K217" s="46"/>
    </row>
    <row r="218" spans="3:11" ht="13">
      <c r="C218" s="46"/>
      <c r="D218" s="46"/>
      <c r="E218" s="46"/>
      <c r="F218" s="46"/>
      <c r="G218" s="46"/>
      <c r="H218" s="47"/>
      <c r="K218" s="46"/>
    </row>
    <row r="219" spans="3:11" ht="13">
      <c r="C219" s="46"/>
      <c r="D219" s="46"/>
      <c r="E219" s="46"/>
      <c r="F219" s="46"/>
      <c r="G219" s="46"/>
      <c r="H219" s="47"/>
      <c r="K219" s="46"/>
    </row>
    <row r="220" spans="3:11" ht="13">
      <c r="C220" s="46"/>
      <c r="D220" s="46"/>
      <c r="E220" s="46"/>
      <c r="F220" s="46"/>
      <c r="G220" s="46"/>
      <c r="H220" s="47"/>
      <c r="K220" s="46"/>
    </row>
    <row r="221" spans="3:11" ht="13">
      <c r="C221" s="46"/>
      <c r="D221" s="46"/>
      <c r="E221" s="46"/>
      <c r="F221" s="46"/>
      <c r="G221" s="46"/>
      <c r="H221" s="47"/>
      <c r="K221" s="46"/>
    </row>
    <row r="222" spans="3:11" ht="13">
      <c r="C222" s="46"/>
      <c r="D222" s="46"/>
      <c r="E222" s="46"/>
      <c r="F222" s="46"/>
      <c r="G222" s="46"/>
      <c r="H222" s="47"/>
      <c r="K222" s="46"/>
    </row>
    <row r="223" spans="3:11" ht="13">
      <c r="C223" s="46"/>
      <c r="D223" s="46"/>
      <c r="E223" s="46"/>
      <c r="F223" s="46"/>
      <c r="G223" s="46"/>
      <c r="H223" s="47"/>
      <c r="K223" s="46"/>
    </row>
    <row r="224" spans="3:11" ht="13">
      <c r="C224" s="46"/>
      <c r="D224" s="46"/>
      <c r="E224" s="46"/>
      <c r="F224" s="46"/>
      <c r="G224" s="46"/>
      <c r="H224" s="47"/>
      <c r="K224" s="46"/>
    </row>
    <row r="225" spans="3:11" ht="13">
      <c r="C225" s="46"/>
      <c r="D225" s="46"/>
      <c r="E225" s="46"/>
      <c r="F225" s="46"/>
      <c r="G225" s="46"/>
      <c r="H225" s="47"/>
      <c r="K225" s="46"/>
    </row>
    <row r="226" spans="3:11" ht="13">
      <c r="C226" s="46"/>
      <c r="D226" s="46"/>
      <c r="E226" s="46"/>
      <c r="F226" s="46"/>
      <c r="G226" s="46"/>
      <c r="H226" s="47"/>
      <c r="K226" s="46"/>
    </row>
    <row r="227" spans="3:11" ht="13">
      <c r="C227" s="46"/>
      <c r="D227" s="46"/>
      <c r="E227" s="46"/>
      <c r="F227" s="46"/>
      <c r="G227" s="46"/>
      <c r="H227" s="47"/>
      <c r="K227" s="46"/>
    </row>
    <row r="228" spans="3:11" ht="13">
      <c r="C228" s="46"/>
      <c r="D228" s="46"/>
      <c r="E228" s="46"/>
      <c r="F228" s="46"/>
      <c r="G228" s="46"/>
      <c r="H228" s="47"/>
      <c r="K228" s="46"/>
    </row>
    <row r="229" spans="3:11" ht="13">
      <c r="C229" s="46"/>
      <c r="D229" s="46"/>
      <c r="E229" s="46"/>
      <c r="F229" s="46"/>
      <c r="G229" s="46"/>
      <c r="H229" s="47"/>
      <c r="K229" s="46"/>
    </row>
    <row r="230" spans="3:11" ht="13">
      <c r="C230" s="46"/>
      <c r="D230" s="46"/>
      <c r="E230" s="46"/>
      <c r="F230" s="46"/>
      <c r="G230" s="46"/>
      <c r="H230" s="47"/>
      <c r="K230" s="46"/>
    </row>
    <row r="231" spans="3:11" ht="13">
      <c r="C231" s="46"/>
      <c r="D231" s="46"/>
      <c r="E231" s="46"/>
      <c r="F231" s="46"/>
      <c r="G231" s="46"/>
      <c r="H231" s="47"/>
      <c r="K231" s="46"/>
    </row>
    <row r="232" spans="3:11" ht="13">
      <c r="C232" s="46"/>
      <c r="D232" s="46"/>
      <c r="E232" s="46"/>
      <c r="F232" s="46"/>
      <c r="G232" s="46"/>
      <c r="H232" s="47"/>
      <c r="K232" s="46"/>
    </row>
    <row r="233" spans="3:11" ht="13">
      <c r="C233" s="46"/>
      <c r="D233" s="46"/>
      <c r="E233" s="46"/>
      <c r="F233" s="46"/>
      <c r="G233" s="46"/>
      <c r="H233" s="47"/>
      <c r="K233" s="46"/>
    </row>
    <row r="234" spans="3:11" ht="13">
      <c r="C234" s="46"/>
      <c r="D234" s="46"/>
      <c r="E234" s="46"/>
      <c r="F234" s="46"/>
      <c r="G234" s="46"/>
      <c r="H234" s="47"/>
      <c r="K234" s="46"/>
    </row>
    <row r="235" spans="3:11" ht="13">
      <c r="C235" s="46"/>
      <c r="D235" s="46"/>
      <c r="E235" s="46"/>
      <c r="F235" s="46"/>
      <c r="G235" s="46"/>
      <c r="H235" s="47"/>
      <c r="K235" s="46"/>
    </row>
    <row r="236" spans="3:11" ht="13">
      <c r="C236" s="46"/>
      <c r="D236" s="46"/>
      <c r="E236" s="46"/>
      <c r="F236" s="46"/>
      <c r="G236" s="46"/>
      <c r="H236" s="47"/>
      <c r="K236" s="46"/>
    </row>
    <row r="237" spans="3:11" ht="13">
      <c r="C237" s="46"/>
      <c r="D237" s="46"/>
      <c r="E237" s="46"/>
      <c r="F237" s="46"/>
      <c r="G237" s="46"/>
      <c r="H237" s="47"/>
      <c r="K237" s="46"/>
    </row>
    <row r="238" spans="3:11" ht="13">
      <c r="C238" s="46"/>
      <c r="D238" s="46"/>
      <c r="E238" s="46"/>
      <c r="F238" s="46"/>
      <c r="G238" s="46"/>
      <c r="H238" s="47"/>
      <c r="K238" s="46"/>
    </row>
    <row r="239" spans="3:11" ht="13">
      <c r="C239" s="46"/>
      <c r="D239" s="46"/>
      <c r="E239" s="46"/>
      <c r="F239" s="46"/>
      <c r="G239" s="46"/>
      <c r="H239" s="47"/>
      <c r="K239" s="46"/>
    </row>
    <row r="240" spans="3:11" ht="13">
      <c r="C240" s="46"/>
      <c r="D240" s="46"/>
      <c r="E240" s="46"/>
      <c r="F240" s="46"/>
      <c r="G240" s="46"/>
      <c r="H240" s="47"/>
      <c r="K240" s="46"/>
    </row>
    <row r="241" spans="3:11" ht="13">
      <c r="C241" s="46"/>
      <c r="D241" s="46"/>
      <c r="E241" s="46"/>
      <c r="F241" s="46"/>
      <c r="G241" s="46"/>
      <c r="H241" s="47"/>
      <c r="K241" s="46"/>
    </row>
    <row r="242" spans="3:11" ht="13">
      <c r="C242" s="46"/>
      <c r="D242" s="46"/>
      <c r="E242" s="46"/>
      <c r="F242" s="46"/>
      <c r="G242" s="46"/>
      <c r="H242" s="47"/>
      <c r="K242" s="46"/>
    </row>
    <row r="243" spans="3:11" ht="13">
      <c r="C243" s="46"/>
      <c r="D243" s="46"/>
      <c r="E243" s="46"/>
      <c r="F243" s="46"/>
      <c r="G243" s="46"/>
      <c r="H243" s="47"/>
      <c r="K243" s="46"/>
    </row>
    <row r="244" spans="3:11" ht="13">
      <c r="C244" s="46"/>
      <c r="D244" s="46"/>
      <c r="E244" s="46"/>
      <c r="F244" s="46"/>
      <c r="G244" s="46"/>
      <c r="H244" s="47"/>
      <c r="K244" s="46"/>
    </row>
    <row r="245" spans="3:11" ht="13">
      <c r="C245" s="46"/>
      <c r="D245" s="46"/>
      <c r="E245" s="46"/>
      <c r="F245" s="46"/>
      <c r="G245" s="46"/>
      <c r="H245" s="47"/>
      <c r="K245" s="46"/>
    </row>
    <row r="246" spans="3:11" ht="13">
      <c r="C246" s="46"/>
      <c r="D246" s="46"/>
      <c r="E246" s="46"/>
      <c r="F246" s="46"/>
      <c r="G246" s="46"/>
      <c r="H246" s="47"/>
      <c r="K246" s="46"/>
    </row>
    <row r="247" spans="3:11" ht="13">
      <c r="C247" s="46"/>
      <c r="D247" s="46"/>
      <c r="E247" s="46"/>
      <c r="F247" s="46"/>
      <c r="G247" s="46"/>
      <c r="H247" s="47"/>
      <c r="K247" s="46"/>
    </row>
    <row r="248" spans="3:11" ht="13">
      <c r="C248" s="46"/>
      <c r="D248" s="46"/>
      <c r="E248" s="46"/>
      <c r="F248" s="46"/>
      <c r="G248" s="46"/>
      <c r="H248" s="47"/>
      <c r="K248" s="46"/>
    </row>
    <row r="249" spans="3:11" ht="13">
      <c r="C249" s="46"/>
      <c r="D249" s="46"/>
      <c r="E249" s="46"/>
      <c r="F249" s="46"/>
      <c r="G249" s="46"/>
      <c r="H249" s="47"/>
      <c r="K249" s="46"/>
    </row>
    <row r="250" spans="3:11" ht="13">
      <c r="C250" s="46"/>
      <c r="D250" s="46"/>
      <c r="E250" s="46"/>
      <c r="F250" s="46"/>
      <c r="G250" s="46"/>
      <c r="H250" s="47"/>
      <c r="K250" s="46"/>
    </row>
    <row r="251" spans="3:11" ht="13">
      <c r="C251" s="46"/>
      <c r="D251" s="46"/>
      <c r="E251" s="46"/>
      <c r="F251" s="46"/>
      <c r="G251" s="46"/>
      <c r="H251" s="47"/>
      <c r="K251" s="46"/>
    </row>
    <row r="252" spans="3:11" ht="13">
      <c r="C252" s="46"/>
      <c r="D252" s="46"/>
      <c r="E252" s="46"/>
      <c r="F252" s="46"/>
      <c r="G252" s="46"/>
      <c r="H252" s="47"/>
      <c r="K252" s="46"/>
    </row>
    <row r="253" spans="3:11" ht="13">
      <c r="C253" s="46"/>
      <c r="D253" s="46"/>
      <c r="E253" s="46"/>
      <c r="F253" s="46"/>
      <c r="G253" s="46"/>
      <c r="H253" s="47"/>
      <c r="K253" s="46"/>
    </row>
    <row r="254" spans="3:11" ht="13">
      <c r="C254" s="46"/>
      <c r="D254" s="46"/>
      <c r="E254" s="46"/>
      <c r="F254" s="46"/>
      <c r="G254" s="46"/>
      <c r="H254" s="47"/>
      <c r="K254" s="46"/>
    </row>
    <row r="255" spans="3:11" ht="13">
      <c r="C255" s="46"/>
      <c r="D255" s="46"/>
      <c r="E255" s="46"/>
      <c r="F255" s="46"/>
      <c r="G255" s="46"/>
      <c r="H255" s="47"/>
      <c r="K255" s="46"/>
    </row>
    <row r="256" spans="3:11" ht="13">
      <c r="C256" s="46"/>
      <c r="D256" s="46"/>
      <c r="E256" s="46"/>
      <c r="F256" s="46"/>
      <c r="G256" s="46"/>
      <c r="H256" s="47"/>
      <c r="K256" s="46"/>
    </row>
    <row r="257" spans="3:11" ht="13">
      <c r="C257" s="46"/>
      <c r="D257" s="46"/>
      <c r="E257" s="46"/>
      <c r="F257" s="46"/>
      <c r="G257" s="46"/>
      <c r="H257" s="47"/>
      <c r="K257" s="46"/>
    </row>
    <row r="258" spans="3:11" ht="13">
      <c r="C258" s="46"/>
      <c r="D258" s="46"/>
      <c r="E258" s="46"/>
      <c r="F258" s="46"/>
      <c r="G258" s="46"/>
      <c r="H258" s="47"/>
      <c r="K258" s="46"/>
    </row>
    <row r="259" spans="3:11" ht="13">
      <c r="C259" s="46"/>
      <c r="D259" s="46"/>
      <c r="E259" s="46"/>
      <c r="F259" s="46"/>
      <c r="G259" s="46"/>
      <c r="H259" s="47"/>
      <c r="K259" s="46"/>
    </row>
    <row r="260" spans="3:11" ht="13">
      <c r="C260" s="46"/>
      <c r="D260" s="46"/>
      <c r="E260" s="46"/>
      <c r="F260" s="46"/>
      <c r="G260" s="46"/>
      <c r="H260" s="47"/>
      <c r="K260" s="46"/>
    </row>
    <row r="261" spans="3:11" ht="13">
      <c r="C261" s="46"/>
      <c r="D261" s="46"/>
      <c r="E261" s="46"/>
      <c r="F261" s="46"/>
      <c r="G261" s="46"/>
      <c r="H261" s="47"/>
      <c r="K261" s="46"/>
    </row>
    <row r="262" spans="3:11" ht="13">
      <c r="C262" s="46"/>
      <c r="D262" s="46"/>
      <c r="E262" s="46"/>
      <c r="F262" s="46"/>
      <c r="G262" s="46"/>
      <c r="H262" s="47"/>
      <c r="K262" s="46"/>
    </row>
    <row r="263" spans="3:11" ht="13">
      <c r="C263" s="46"/>
      <c r="D263" s="46"/>
      <c r="E263" s="46"/>
      <c r="F263" s="46"/>
      <c r="G263" s="46"/>
      <c r="H263" s="47"/>
      <c r="K263" s="46"/>
    </row>
    <row r="264" spans="3:11" ht="13">
      <c r="C264" s="46"/>
      <c r="D264" s="46"/>
      <c r="E264" s="46"/>
      <c r="F264" s="46"/>
      <c r="G264" s="46"/>
      <c r="H264" s="47"/>
      <c r="K264" s="46"/>
    </row>
    <row r="265" spans="3:11" ht="13">
      <c r="C265" s="46"/>
      <c r="D265" s="46"/>
      <c r="E265" s="46"/>
      <c r="F265" s="46"/>
      <c r="G265" s="46"/>
      <c r="H265" s="47"/>
      <c r="K265" s="46"/>
    </row>
    <row r="266" spans="3:11" ht="13">
      <c r="C266" s="46"/>
      <c r="D266" s="46"/>
      <c r="E266" s="46"/>
      <c r="F266" s="46"/>
      <c r="G266" s="46"/>
      <c r="H266" s="47"/>
      <c r="K266" s="46"/>
    </row>
    <row r="267" spans="3:11" ht="13">
      <c r="C267" s="46"/>
      <c r="D267" s="46"/>
      <c r="E267" s="46"/>
      <c r="F267" s="46"/>
      <c r="G267" s="46"/>
      <c r="H267" s="47"/>
      <c r="K267" s="46"/>
    </row>
    <row r="268" spans="3:11" ht="13">
      <c r="C268" s="46"/>
      <c r="D268" s="46"/>
      <c r="E268" s="46"/>
      <c r="F268" s="46"/>
      <c r="G268" s="46"/>
      <c r="H268" s="47"/>
      <c r="K268" s="46"/>
    </row>
    <row r="269" spans="3:11" ht="13">
      <c r="C269" s="46"/>
      <c r="D269" s="46"/>
      <c r="E269" s="46"/>
      <c r="F269" s="46"/>
      <c r="G269" s="46"/>
      <c r="H269" s="47"/>
      <c r="K269" s="46"/>
    </row>
    <row r="270" spans="3:11" ht="13">
      <c r="C270" s="46"/>
      <c r="D270" s="46"/>
      <c r="E270" s="46"/>
      <c r="F270" s="46"/>
      <c r="G270" s="46"/>
      <c r="H270" s="47"/>
      <c r="K270" s="46"/>
    </row>
    <row r="271" spans="3:11" ht="13">
      <c r="C271" s="46"/>
      <c r="D271" s="46"/>
      <c r="E271" s="46"/>
      <c r="F271" s="46"/>
      <c r="G271" s="46"/>
      <c r="H271" s="47"/>
      <c r="K271" s="46"/>
    </row>
    <row r="272" spans="3:11" ht="13">
      <c r="C272" s="46"/>
      <c r="D272" s="46"/>
      <c r="E272" s="46"/>
      <c r="F272" s="46"/>
      <c r="G272" s="46"/>
      <c r="H272" s="47"/>
      <c r="K272" s="46"/>
    </row>
    <row r="273" spans="3:11" ht="13">
      <c r="C273" s="46"/>
      <c r="D273" s="46"/>
      <c r="E273" s="46"/>
      <c r="F273" s="46"/>
      <c r="G273" s="46"/>
      <c r="H273" s="47"/>
      <c r="K273" s="46"/>
    </row>
    <row r="274" spans="3:11" ht="13">
      <c r="C274" s="46"/>
      <c r="D274" s="46"/>
      <c r="E274" s="46"/>
      <c r="F274" s="46"/>
      <c r="G274" s="46"/>
      <c r="H274" s="47"/>
      <c r="K274" s="46"/>
    </row>
    <row r="275" spans="3:11" ht="13">
      <c r="C275" s="46"/>
      <c r="D275" s="46"/>
      <c r="E275" s="46"/>
      <c r="F275" s="46"/>
      <c r="G275" s="46"/>
      <c r="H275" s="47"/>
      <c r="K275" s="46"/>
    </row>
    <row r="276" spans="3:11" ht="13">
      <c r="C276" s="46"/>
      <c r="D276" s="46"/>
      <c r="E276" s="46"/>
      <c r="F276" s="46"/>
      <c r="G276" s="46"/>
      <c r="H276" s="47"/>
      <c r="K276" s="46"/>
    </row>
    <row r="277" spans="3:11" ht="13">
      <c r="C277" s="46"/>
      <c r="D277" s="46"/>
      <c r="E277" s="46"/>
      <c r="F277" s="46"/>
      <c r="G277" s="46"/>
      <c r="H277" s="47"/>
      <c r="K277" s="46"/>
    </row>
    <row r="278" spans="3:11" ht="13">
      <c r="C278" s="46"/>
      <c r="D278" s="46"/>
      <c r="E278" s="46"/>
      <c r="F278" s="46"/>
      <c r="G278" s="46"/>
      <c r="H278" s="47"/>
      <c r="K278" s="46"/>
    </row>
    <row r="279" spans="3:11" ht="13">
      <c r="C279" s="46"/>
      <c r="D279" s="46"/>
      <c r="E279" s="46"/>
      <c r="F279" s="46"/>
      <c r="G279" s="46"/>
      <c r="H279" s="47"/>
      <c r="K279" s="46"/>
    </row>
    <row r="280" spans="3:11" ht="13">
      <c r="C280" s="46"/>
      <c r="D280" s="46"/>
      <c r="E280" s="46"/>
      <c r="F280" s="46"/>
      <c r="G280" s="46"/>
      <c r="H280" s="47"/>
      <c r="K280" s="46"/>
    </row>
    <row r="281" spans="3:11" ht="13">
      <c r="C281" s="46"/>
      <c r="D281" s="46"/>
      <c r="E281" s="46"/>
      <c r="F281" s="46"/>
      <c r="G281" s="46"/>
      <c r="H281" s="47"/>
      <c r="K281" s="46"/>
    </row>
    <row r="282" spans="3:11" ht="13">
      <c r="C282" s="46"/>
      <c r="D282" s="46"/>
      <c r="E282" s="46"/>
      <c r="F282" s="46"/>
      <c r="G282" s="46"/>
      <c r="H282" s="47"/>
      <c r="K282" s="46"/>
    </row>
    <row r="283" spans="3:11" ht="13">
      <c r="C283" s="46"/>
      <c r="D283" s="46"/>
      <c r="E283" s="46"/>
      <c r="F283" s="46"/>
      <c r="G283" s="46"/>
      <c r="H283" s="47"/>
      <c r="K283" s="46"/>
    </row>
    <row r="284" spans="3:11" ht="13">
      <c r="C284" s="46"/>
      <c r="D284" s="46"/>
      <c r="E284" s="46"/>
      <c r="F284" s="46"/>
      <c r="G284" s="46"/>
      <c r="H284" s="47"/>
      <c r="K284" s="46"/>
    </row>
    <row r="285" spans="3:11" ht="13">
      <c r="C285" s="46"/>
      <c r="D285" s="46"/>
      <c r="E285" s="46"/>
      <c r="F285" s="46"/>
      <c r="G285" s="46"/>
      <c r="H285" s="47"/>
      <c r="K285" s="46"/>
    </row>
    <row r="286" spans="3:11" ht="13">
      <c r="C286" s="46"/>
      <c r="D286" s="46"/>
      <c r="E286" s="46"/>
      <c r="F286" s="46"/>
      <c r="G286" s="46"/>
      <c r="H286" s="47"/>
      <c r="K286" s="46"/>
    </row>
    <row r="287" spans="3:11" ht="13">
      <c r="C287" s="46"/>
      <c r="D287" s="46"/>
      <c r="E287" s="46"/>
      <c r="F287" s="46"/>
      <c r="G287" s="46"/>
      <c r="H287" s="47"/>
      <c r="K287" s="46"/>
    </row>
    <row r="288" spans="3:11" ht="13">
      <c r="C288" s="46"/>
      <c r="D288" s="46"/>
      <c r="E288" s="46"/>
      <c r="F288" s="46"/>
      <c r="G288" s="46"/>
      <c r="H288" s="47"/>
      <c r="K288" s="46"/>
    </row>
    <row r="289" spans="3:11" ht="13">
      <c r="C289" s="46"/>
      <c r="D289" s="46"/>
      <c r="E289" s="46"/>
      <c r="F289" s="46"/>
      <c r="G289" s="46"/>
      <c r="H289" s="47"/>
      <c r="K289" s="46"/>
    </row>
    <row r="290" spans="3:11" ht="13">
      <c r="C290" s="46"/>
      <c r="D290" s="46"/>
      <c r="E290" s="46"/>
      <c r="F290" s="46"/>
      <c r="G290" s="46"/>
      <c r="H290" s="47"/>
      <c r="K290" s="46"/>
    </row>
    <row r="291" spans="3:11" ht="13">
      <c r="C291" s="46"/>
      <c r="D291" s="46"/>
      <c r="E291" s="46"/>
      <c r="F291" s="46"/>
      <c r="G291" s="46"/>
      <c r="H291" s="47"/>
      <c r="K291" s="46"/>
    </row>
    <row r="292" spans="3:11" ht="13">
      <c r="C292" s="46"/>
      <c r="D292" s="46"/>
      <c r="E292" s="46"/>
      <c r="F292" s="46"/>
      <c r="G292" s="46"/>
      <c r="H292" s="47"/>
      <c r="K292" s="46"/>
    </row>
    <row r="293" spans="3:11" ht="13">
      <c r="C293" s="46"/>
      <c r="D293" s="46"/>
      <c r="E293" s="46"/>
      <c r="F293" s="46"/>
      <c r="G293" s="46"/>
      <c r="H293" s="47"/>
      <c r="K293" s="46"/>
    </row>
    <row r="294" spans="3:11" ht="13">
      <c r="C294" s="46"/>
      <c r="D294" s="46"/>
      <c r="E294" s="46"/>
      <c r="F294" s="46"/>
      <c r="G294" s="46"/>
      <c r="H294" s="47"/>
      <c r="K294" s="46"/>
    </row>
    <row r="295" spans="3:11" ht="13">
      <c r="C295" s="46"/>
      <c r="D295" s="46"/>
      <c r="E295" s="46"/>
      <c r="F295" s="46"/>
      <c r="G295" s="46"/>
      <c r="H295" s="47"/>
      <c r="K295" s="46"/>
    </row>
    <row r="296" spans="3:11" ht="13">
      <c r="C296" s="46"/>
      <c r="D296" s="46"/>
      <c r="E296" s="46"/>
      <c r="F296" s="46"/>
      <c r="G296" s="46"/>
      <c r="H296" s="47"/>
      <c r="K296" s="46"/>
    </row>
    <row r="297" spans="3:11" ht="13">
      <c r="C297" s="46"/>
      <c r="D297" s="46"/>
      <c r="E297" s="46"/>
      <c r="F297" s="46"/>
      <c r="G297" s="46"/>
      <c r="H297" s="47"/>
      <c r="K297" s="46"/>
    </row>
    <row r="298" spans="3:11" ht="13">
      <c r="C298" s="46"/>
      <c r="D298" s="46"/>
      <c r="E298" s="46"/>
      <c r="F298" s="46"/>
      <c r="G298" s="46"/>
      <c r="H298" s="47"/>
      <c r="K298" s="46"/>
    </row>
    <row r="299" spans="3:11" ht="13">
      <c r="C299" s="46"/>
      <c r="D299" s="46"/>
      <c r="E299" s="46"/>
      <c r="F299" s="46"/>
      <c r="G299" s="46"/>
      <c r="H299" s="47"/>
      <c r="K299" s="46"/>
    </row>
    <row r="300" spans="3:11" ht="13">
      <c r="C300" s="46"/>
      <c r="D300" s="46"/>
      <c r="E300" s="46"/>
      <c r="F300" s="46"/>
      <c r="G300" s="46"/>
      <c r="H300" s="47"/>
      <c r="K300" s="46"/>
    </row>
    <row r="301" spans="3:11" ht="13">
      <c r="C301" s="46"/>
      <c r="D301" s="46"/>
      <c r="E301" s="46"/>
      <c r="F301" s="46"/>
      <c r="G301" s="46"/>
      <c r="H301" s="47"/>
      <c r="K301" s="46"/>
    </row>
    <row r="302" spans="3:11" ht="13">
      <c r="C302" s="46"/>
      <c r="D302" s="46"/>
      <c r="E302" s="46"/>
      <c r="F302" s="46"/>
      <c r="G302" s="46"/>
      <c r="H302" s="47"/>
      <c r="K302" s="46"/>
    </row>
    <row r="303" spans="3:11" ht="13">
      <c r="C303" s="46"/>
      <c r="D303" s="46"/>
      <c r="E303" s="46"/>
      <c r="F303" s="46"/>
      <c r="G303" s="46"/>
      <c r="H303" s="47"/>
      <c r="K303" s="46"/>
    </row>
    <row r="304" spans="3:11" ht="13">
      <c r="C304" s="46"/>
      <c r="D304" s="46"/>
      <c r="E304" s="46"/>
      <c r="F304" s="46"/>
      <c r="G304" s="46"/>
      <c r="H304" s="47"/>
      <c r="K304" s="46"/>
    </row>
    <row r="305" spans="3:11" ht="13">
      <c r="C305" s="46"/>
      <c r="D305" s="46"/>
      <c r="E305" s="46"/>
      <c r="F305" s="46"/>
      <c r="G305" s="46"/>
      <c r="H305" s="47"/>
      <c r="K305" s="46"/>
    </row>
    <row r="306" spans="3:11" ht="13">
      <c r="C306" s="46"/>
      <c r="D306" s="46"/>
      <c r="E306" s="46"/>
      <c r="F306" s="46"/>
      <c r="G306" s="46"/>
      <c r="H306" s="47"/>
      <c r="K306" s="46"/>
    </row>
    <row r="307" spans="3:11" ht="13">
      <c r="C307" s="46"/>
      <c r="D307" s="46"/>
      <c r="E307" s="46"/>
      <c r="F307" s="46"/>
      <c r="G307" s="46"/>
      <c r="H307" s="47"/>
      <c r="K307" s="46"/>
    </row>
    <row r="308" spans="3:11" ht="13">
      <c r="C308" s="46"/>
      <c r="D308" s="46"/>
      <c r="E308" s="46"/>
      <c r="F308" s="46"/>
      <c r="G308" s="46"/>
      <c r="H308" s="47"/>
      <c r="K308" s="46"/>
    </row>
    <row r="309" spans="3:11" ht="13">
      <c r="C309" s="46"/>
      <c r="D309" s="46"/>
      <c r="E309" s="46"/>
      <c r="F309" s="46"/>
      <c r="G309" s="46"/>
      <c r="H309" s="47"/>
      <c r="K309" s="46"/>
    </row>
    <row r="310" spans="3:11" ht="13">
      <c r="C310" s="46"/>
      <c r="D310" s="46"/>
      <c r="E310" s="46"/>
      <c r="F310" s="46"/>
      <c r="G310" s="46"/>
      <c r="H310" s="47"/>
      <c r="K310" s="46"/>
    </row>
    <row r="311" spans="3:11" ht="13">
      <c r="C311" s="46"/>
      <c r="D311" s="46"/>
      <c r="E311" s="46"/>
      <c r="F311" s="46"/>
      <c r="G311" s="46"/>
      <c r="H311" s="47"/>
      <c r="K311" s="46"/>
    </row>
    <row r="312" spans="3:11" ht="13">
      <c r="C312" s="46"/>
      <c r="D312" s="46"/>
      <c r="E312" s="46"/>
      <c r="F312" s="46"/>
      <c r="G312" s="46"/>
      <c r="H312" s="47"/>
      <c r="K312" s="46"/>
    </row>
    <row r="313" spans="3:11" ht="13">
      <c r="C313" s="46"/>
      <c r="D313" s="46"/>
      <c r="E313" s="46"/>
      <c r="F313" s="46"/>
      <c r="G313" s="46"/>
      <c r="H313" s="47"/>
      <c r="K313" s="46"/>
    </row>
    <row r="314" spans="3:11" ht="13">
      <c r="C314" s="46"/>
      <c r="D314" s="46"/>
      <c r="E314" s="46"/>
      <c r="F314" s="46"/>
      <c r="G314" s="46"/>
      <c r="H314" s="47"/>
      <c r="K314" s="46"/>
    </row>
    <row r="315" spans="3:11" ht="13">
      <c r="C315" s="46"/>
      <c r="D315" s="46"/>
      <c r="E315" s="46"/>
      <c r="F315" s="46"/>
      <c r="G315" s="46"/>
      <c r="H315" s="47"/>
      <c r="K315" s="46"/>
    </row>
    <row r="316" spans="3:11" ht="13">
      <c r="C316" s="46"/>
      <c r="D316" s="46"/>
      <c r="E316" s="46"/>
      <c r="F316" s="46"/>
      <c r="G316" s="46"/>
      <c r="H316" s="47"/>
      <c r="K316" s="46"/>
    </row>
    <row r="317" spans="3:11" ht="13">
      <c r="C317" s="46"/>
      <c r="D317" s="46"/>
      <c r="E317" s="46"/>
      <c r="F317" s="46"/>
      <c r="G317" s="46"/>
      <c r="H317" s="47"/>
      <c r="K317" s="46"/>
    </row>
    <row r="318" spans="3:11" ht="13">
      <c r="C318" s="46"/>
      <c r="D318" s="46"/>
      <c r="E318" s="46"/>
      <c r="F318" s="46"/>
      <c r="G318" s="46"/>
      <c r="H318" s="47"/>
      <c r="K318" s="46"/>
    </row>
    <row r="319" spans="3:11" ht="13">
      <c r="C319" s="46"/>
      <c r="D319" s="46"/>
      <c r="E319" s="46"/>
      <c r="F319" s="46"/>
      <c r="G319" s="46"/>
      <c r="H319" s="47"/>
      <c r="K319" s="46"/>
    </row>
    <row r="320" spans="3:11" ht="13">
      <c r="C320" s="46"/>
      <c r="D320" s="46"/>
      <c r="E320" s="46"/>
      <c r="F320" s="46"/>
      <c r="G320" s="46"/>
      <c r="H320" s="47"/>
      <c r="K320" s="46"/>
    </row>
    <row r="321" spans="3:11" ht="13">
      <c r="C321" s="46"/>
      <c r="D321" s="46"/>
      <c r="E321" s="46"/>
      <c r="F321" s="46"/>
      <c r="G321" s="46"/>
      <c r="H321" s="47"/>
      <c r="K321" s="46"/>
    </row>
    <row r="322" spans="3:11" ht="13">
      <c r="C322" s="46"/>
      <c r="D322" s="46"/>
      <c r="E322" s="46"/>
      <c r="F322" s="46"/>
      <c r="G322" s="46"/>
      <c r="H322" s="47"/>
      <c r="K322" s="46"/>
    </row>
    <row r="323" spans="3:11" ht="13">
      <c r="C323" s="46"/>
      <c r="D323" s="46"/>
      <c r="E323" s="46"/>
      <c r="F323" s="46"/>
      <c r="G323" s="46"/>
      <c r="H323" s="47"/>
      <c r="K323" s="46"/>
    </row>
    <row r="324" spans="3:11" ht="13">
      <c r="C324" s="46"/>
      <c r="D324" s="46"/>
      <c r="E324" s="46"/>
      <c r="F324" s="46"/>
      <c r="G324" s="46"/>
      <c r="H324" s="47"/>
      <c r="K324" s="46"/>
    </row>
    <row r="325" spans="3:11" ht="13">
      <c r="C325" s="46"/>
      <c r="D325" s="46"/>
      <c r="E325" s="46"/>
      <c r="F325" s="46"/>
      <c r="G325" s="46"/>
      <c r="H325" s="47"/>
      <c r="K325" s="46"/>
    </row>
    <row r="326" spans="3:11" ht="13">
      <c r="C326" s="46"/>
      <c r="D326" s="46"/>
      <c r="E326" s="46"/>
      <c r="F326" s="46"/>
      <c r="G326" s="46"/>
      <c r="H326" s="47"/>
      <c r="K326" s="46"/>
    </row>
    <row r="327" spans="3:11" ht="13">
      <c r="C327" s="46"/>
      <c r="D327" s="46"/>
      <c r="E327" s="46"/>
      <c r="F327" s="46"/>
      <c r="G327" s="46"/>
      <c r="H327" s="47"/>
      <c r="K327" s="46"/>
    </row>
    <row r="328" spans="3:11" ht="13">
      <c r="C328" s="46"/>
      <c r="D328" s="46"/>
      <c r="E328" s="46"/>
      <c r="F328" s="46"/>
      <c r="G328" s="46"/>
      <c r="H328" s="47"/>
      <c r="K328" s="46"/>
    </row>
    <row r="329" spans="3:11" ht="13">
      <c r="C329" s="46"/>
      <c r="D329" s="46"/>
      <c r="E329" s="46"/>
      <c r="F329" s="46"/>
      <c r="G329" s="46"/>
      <c r="H329" s="47"/>
      <c r="K329" s="46"/>
    </row>
    <row r="330" spans="3:11" ht="13">
      <c r="C330" s="46"/>
      <c r="D330" s="46"/>
      <c r="E330" s="46"/>
      <c r="F330" s="46"/>
      <c r="G330" s="46"/>
      <c r="H330" s="47"/>
      <c r="K330" s="46"/>
    </row>
    <row r="331" spans="3:11" ht="13">
      <c r="C331" s="46"/>
      <c r="D331" s="46"/>
      <c r="E331" s="46"/>
      <c r="F331" s="46"/>
      <c r="G331" s="46"/>
      <c r="H331" s="47"/>
      <c r="K331" s="46"/>
    </row>
    <row r="332" spans="3:11" ht="13">
      <c r="C332" s="46"/>
      <c r="D332" s="46"/>
      <c r="E332" s="46"/>
      <c r="F332" s="46"/>
      <c r="G332" s="46"/>
      <c r="H332" s="47"/>
      <c r="K332" s="46"/>
    </row>
    <row r="333" spans="3:11" ht="13">
      <c r="C333" s="46"/>
      <c r="D333" s="46"/>
      <c r="E333" s="46"/>
      <c r="F333" s="46"/>
      <c r="G333" s="46"/>
      <c r="H333" s="47"/>
      <c r="K333" s="46"/>
    </row>
    <row r="334" spans="3:11" ht="13">
      <c r="C334" s="46"/>
      <c r="D334" s="46"/>
      <c r="E334" s="46"/>
      <c r="F334" s="46"/>
      <c r="G334" s="46"/>
      <c r="H334" s="47"/>
      <c r="K334" s="46"/>
    </row>
    <row r="335" spans="3:11" ht="13">
      <c r="C335" s="46"/>
      <c r="D335" s="46"/>
      <c r="E335" s="46"/>
      <c r="F335" s="46"/>
      <c r="G335" s="46"/>
      <c r="H335" s="47"/>
      <c r="K335" s="46"/>
    </row>
    <row r="336" spans="3:11" ht="13">
      <c r="C336" s="46"/>
      <c r="D336" s="46"/>
      <c r="E336" s="46"/>
      <c r="F336" s="46"/>
      <c r="G336" s="46"/>
      <c r="H336" s="47"/>
      <c r="K336" s="46"/>
    </row>
    <row r="337" spans="3:11" ht="13">
      <c r="C337" s="46"/>
      <c r="D337" s="46"/>
      <c r="E337" s="46"/>
      <c r="F337" s="46"/>
      <c r="G337" s="46"/>
      <c r="H337" s="47"/>
      <c r="K337" s="46"/>
    </row>
    <row r="338" spans="3:11" ht="13">
      <c r="C338" s="46"/>
      <c r="D338" s="46"/>
      <c r="E338" s="46"/>
      <c r="F338" s="46"/>
      <c r="G338" s="46"/>
      <c r="H338" s="47"/>
      <c r="K338" s="46"/>
    </row>
    <row r="339" spans="3:11" ht="13">
      <c r="C339" s="46"/>
      <c r="D339" s="46"/>
      <c r="E339" s="46"/>
      <c r="F339" s="46"/>
      <c r="G339" s="46"/>
      <c r="H339" s="47"/>
      <c r="K339" s="46"/>
    </row>
    <row r="340" spans="3:11" ht="13">
      <c r="C340" s="46"/>
      <c r="D340" s="46"/>
      <c r="E340" s="46"/>
      <c r="F340" s="46"/>
      <c r="G340" s="46"/>
      <c r="H340" s="47"/>
      <c r="K340" s="46"/>
    </row>
    <row r="341" spans="3:11" ht="13">
      <c r="C341" s="46"/>
      <c r="D341" s="46"/>
      <c r="E341" s="46"/>
      <c r="F341" s="46"/>
      <c r="G341" s="46"/>
      <c r="H341" s="47"/>
      <c r="K341" s="46"/>
    </row>
    <row r="342" spans="3:11" ht="13">
      <c r="C342" s="46"/>
      <c r="D342" s="46"/>
      <c r="E342" s="46"/>
      <c r="F342" s="46"/>
      <c r="G342" s="46"/>
      <c r="H342" s="47"/>
      <c r="K342" s="46"/>
    </row>
    <row r="343" spans="3:11" ht="13">
      <c r="C343" s="46"/>
      <c r="D343" s="46"/>
      <c r="E343" s="46"/>
      <c r="F343" s="46"/>
      <c r="G343" s="46"/>
      <c r="H343" s="47"/>
      <c r="K343" s="46"/>
    </row>
    <row r="344" spans="3:11" ht="13">
      <c r="C344" s="46"/>
      <c r="D344" s="46"/>
      <c r="E344" s="46"/>
      <c r="F344" s="46"/>
      <c r="G344" s="46"/>
      <c r="H344" s="47"/>
      <c r="K344" s="46"/>
    </row>
    <row r="345" spans="3:11" ht="13">
      <c r="C345" s="46"/>
      <c r="D345" s="46"/>
      <c r="E345" s="46"/>
      <c r="F345" s="46"/>
      <c r="G345" s="46"/>
      <c r="H345" s="47"/>
      <c r="K345" s="46"/>
    </row>
    <row r="346" spans="3:11" ht="13">
      <c r="C346" s="46"/>
      <c r="D346" s="46"/>
      <c r="E346" s="46"/>
      <c r="F346" s="46"/>
      <c r="G346" s="46"/>
      <c r="H346" s="47"/>
      <c r="K346" s="46"/>
    </row>
    <row r="347" spans="3:11" ht="13">
      <c r="C347" s="46"/>
      <c r="D347" s="46"/>
      <c r="E347" s="46"/>
      <c r="F347" s="46"/>
      <c r="G347" s="46"/>
      <c r="H347" s="47"/>
      <c r="K347" s="46"/>
    </row>
    <row r="348" spans="3:11" ht="13">
      <c r="C348" s="46"/>
      <c r="D348" s="46"/>
      <c r="E348" s="46"/>
      <c r="F348" s="46"/>
      <c r="G348" s="46"/>
      <c r="H348" s="47"/>
      <c r="K348" s="46"/>
    </row>
    <row r="349" spans="3:11" ht="13">
      <c r="C349" s="46"/>
      <c r="D349" s="46"/>
      <c r="E349" s="46"/>
      <c r="F349" s="46"/>
      <c r="G349" s="46"/>
      <c r="H349" s="47"/>
      <c r="K349" s="46"/>
    </row>
    <row r="350" spans="3:11" ht="13">
      <c r="C350" s="46"/>
      <c r="D350" s="46"/>
      <c r="E350" s="46"/>
      <c r="F350" s="46"/>
      <c r="G350" s="46"/>
      <c r="H350" s="47"/>
      <c r="K350" s="46"/>
    </row>
    <row r="351" spans="3:11" ht="13">
      <c r="C351" s="46"/>
      <c r="D351" s="46"/>
      <c r="E351" s="46"/>
      <c r="F351" s="46"/>
      <c r="G351" s="46"/>
      <c r="H351" s="47"/>
      <c r="K351" s="46"/>
    </row>
    <row r="352" spans="3:11" ht="13">
      <c r="C352" s="46"/>
      <c r="D352" s="46"/>
      <c r="E352" s="46"/>
      <c r="F352" s="46"/>
      <c r="G352" s="46"/>
      <c r="H352" s="47"/>
      <c r="K352" s="46"/>
    </row>
    <row r="353" spans="3:11" ht="13">
      <c r="C353" s="46"/>
      <c r="D353" s="46"/>
      <c r="E353" s="46"/>
      <c r="F353" s="46"/>
      <c r="G353" s="46"/>
      <c r="H353" s="47"/>
      <c r="K353" s="46"/>
    </row>
    <row r="354" spans="3:11" ht="13">
      <c r="C354" s="46"/>
      <c r="D354" s="46"/>
      <c r="E354" s="46"/>
      <c r="F354" s="46"/>
      <c r="G354" s="46"/>
      <c r="H354" s="47"/>
      <c r="K354" s="46"/>
    </row>
    <row r="355" spans="3:11" ht="13">
      <c r="C355" s="46"/>
      <c r="D355" s="46"/>
      <c r="E355" s="46"/>
      <c r="F355" s="46"/>
      <c r="G355" s="46"/>
      <c r="H355" s="47"/>
      <c r="K355" s="46"/>
    </row>
    <row r="356" spans="3:11" ht="13">
      <c r="C356" s="46"/>
      <c r="D356" s="46"/>
      <c r="E356" s="46"/>
      <c r="F356" s="46"/>
      <c r="G356" s="46"/>
      <c r="H356" s="47"/>
      <c r="K356" s="46"/>
    </row>
    <row r="357" spans="3:11" ht="13">
      <c r="C357" s="46"/>
      <c r="D357" s="46"/>
      <c r="E357" s="46"/>
      <c r="F357" s="46"/>
      <c r="G357" s="46"/>
      <c r="H357" s="47"/>
      <c r="K357" s="46"/>
    </row>
    <row r="358" spans="3:11" ht="13">
      <c r="C358" s="46"/>
      <c r="D358" s="46"/>
      <c r="E358" s="46"/>
      <c r="F358" s="46"/>
      <c r="G358" s="46"/>
      <c r="H358" s="47"/>
      <c r="K358" s="46"/>
    </row>
    <row r="359" spans="3:11" ht="13">
      <c r="C359" s="46"/>
      <c r="D359" s="46"/>
      <c r="E359" s="46"/>
      <c r="F359" s="46"/>
      <c r="G359" s="46"/>
      <c r="H359" s="47"/>
      <c r="K359" s="46"/>
    </row>
    <row r="360" spans="3:11" ht="13">
      <c r="C360" s="46"/>
      <c r="D360" s="46"/>
      <c r="E360" s="46"/>
      <c r="F360" s="46"/>
      <c r="G360" s="46"/>
      <c r="H360" s="47"/>
      <c r="K360" s="46"/>
    </row>
    <row r="361" spans="3:11" ht="13">
      <c r="C361" s="46"/>
      <c r="D361" s="46"/>
      <c r="E361" s="46"/>
      <c r="F361" s="46"/>
      <c r="G361" s="46"/>
      <c r="H361" s="47"/>
      <c r="K361" s="46"/>
    </row>
    <row r="362" spans="3:11" ht="13">
      <c r="C362" s="46"/>
      <c r="D362" s="46"/>
      <c r="E362" s="46"/>
      <c r="F362" s="46"/>
      <c r="G362" s="46"/>
      <c r="H362" s="47"/>
      <c r="K362" s="46"/>
    </row>
    <row r="363" spans="3:11" ht="13">
      <c r="C363" s="46"/>
      <c r="D363" s="46"/>
      <c r="E363" s="46"/>
      <c r="F363" s="46"/>
      <c r="G363" s="46"/>
      <c r="H363" s="47"/>
      <c r="K363" s="46"/>
    </row>
    <row r="364" spans="3:11" ht="13">
      <c r="C364" s="46"/>
      <c r="D364" s="46"/>
      <c r="E364" s="46"/>
      <c r="F364" s="46"/>
      <c r="G364" s="46"/>
      <c r="H364" s="47"/>
      <c r="K364" s="46"/>
    </row>
    <row r="365" spans="3:11" ht="13">
      <c r="C365" s="46"/>
      <c r="D365" s="46"/>
      <c r="E365" s="46"/>
      <c r="F365" s="46"/>
      <c r="G365" s="46"/>
      <c r="H365" s="47"/>
      <c r="K365" s="46"/>
    </row>
    <row r="366" spans="3:11" ht="13">
      <c r="C366" s="46"/>
      <c r="D366" s="46"/>
      <c r="E366" s="46"/>
      <c r="F366" s="46"/>
      <c r="G366" s="46"/>
      <c r="H366" s="47"/>
      <c r="K366" s="46"/>
    </row>
    <row r="367" spans="3:11" ht="13">
      <c r="C367" s="46"/>
      <c r="D367" s="46"/>
      <c r="E367" s="46"/>
      <c r="F367" s="46"/>
      <c r="G367" s="46"/>
      <c r="H367" s="47"/>
      <c r="K367" s="46"/>
    </row>
    <row r="368" spans="3:11" ht="13">
      <c r="C368" s="46"/>
      <c r="D368" s="46"/>
      <c r="E368" s="46"/>
      <c r="F368" s="46"/>
      <c r="G368" s="46"/>
      <c r="H368" s="47"/>
      <c r="K368" s="46"/>
    </row>
    <row r="369" spans="3:11" ht="13">
      <c r="C369" s="46"/>
      <c r="D369" s="46"/>
      <c r="E369" s="46"/>
      <c r="F369" s="46"/>
      <c r="G369" s="46"/>
      <c r="H369" s="47"/>
      <c r="K369" s="46"/>
    </row>
    <row r="370" spans="3:11" ht="13">
      <c r="C370" s="46"/>
      <c r="D370" s="46"/>
      <c r="E370" s="46"/>
      <c r="F370" s="46"/>
      <c r="G370" s="46"/>
      <c r="H370" s="47"/>
      <c r="K370" s="46"/>
    </row>
    <row r="371" spans="3:11" ht="13">
      <c r="C371" s="46"/>
      <c r="D371" s="46"/>
      <c r="E371" s="46"/>
      <c r="F371" s="46"/>
      <c r="G371" s="46"/>
      <c r="H371" s="47"/>
      <c r="K371" s="46"/>
    </row>
    <row r="372" spans="3:11" ht="13">
      <c r="C372" s="46"/>
      <c r="D372" s="46"/>
      <c r="E372" s="46"/>
      <c r="F372" s="46"/>
      <c r="G372" s="46"/>
      <c r="H372" s="47"/>
      <c r="K372" s="46"/>
    </row>
    <row r="373" spans="3:11" ht="13">
      <c r="C373" s="46"/>
      <c r="D373" s="46"/>
      <c r="E373" s="46"/>
      <c r="F373" s="46"/>
      <c r="G373" s="46"/>
      <c r="H373" s="47"/>
      <c r="K373" s="46"/>
    </row>
    <row r="374" spans="3:11" ht="13">
      <c r="C374" s="46"/>
      <c r="D374" s="46"/>
      <c r="E374" s="46"/>
      <c r="F374" s="46"/>
      <c r="G374" s="46"/>
      <c r="H374" s="47"/>
      <c r="K374" s="46"/>
    </row>
    <row r="375" spans="3:11" ht="13">
      <c r="C375" s="46"/>
      <c r="D375" s="46"/>
      <c r="E375" s="46"/>
      <c r="F375" s="46"/>
      <c r="G375" s="46"/>
      <c r="H375" s="47"/>
      <c r="K375" s="46"/>
    </row>
    <row r="376" spans="3:11" ht="13">
      <c r="C376" s="46"/>
      <c r="D376" s="46"/>
      <c r="E376" s="46"/>
      <c r="F376" s="46"/>
      <c r="G376" s="46"/>
      <c r="H376" s="47"/>
      <c r="K376" s="46"/>
    </row>
    <row r="377" spans="3:11" ht="13">
      <c r="C377" s="46"/>
      <c r="D377" s="46"/>
      <c r="E377" s="46"/>
      <c r="F377" s="46"/>
      <c r="G377" s="46"/>
      <c r="H377" s="47"/>
      <c r="K377" s="46"/>
    </row>
    <row r="378" spans="3:11" ht="13">
      <c r="C378" s="46"/>
      <c r="D378" s="46"/>
      <c r="E378" s="46"/>
      <c r="F378" s="46"/>
      <c r="G378" s="46"/>
      <c r="H378" s="47"/>
      <c r="K378" s="46"/>
    </row>
    <row r="379" spans="3:11" ht="13">
      <c r="C379" s="46"/>
      <c r="D379" s="46"/>
      <c r="E379" s="46"/>
      <c r="F379" s="46"/>
      <c r="G379" s="46"/>
      <c r="H379" s="47"/>
      <c r="K379" s="46"/>
    </row>
    <row r="380" spans="3:11" ht="13">
      <c r="C380" s="46"/>
      <c r="D380" s="46"/>
      <c r="E380" s="46"/>
      <c r="F380" s="46"/>
      <c r="G380" s="46"/>
      <c r="H380" s="47"/>
      <c r="K380" s="46"/>
    </row>
    <row r="381" spans="3:11" ht="13">
      <c r="C381" s="46"/>
      <c r="D381" s="46"/>
      <c r="E381" s="46"/>
      <c r="F381" s="46"/>
      <c r="G381" s="46"/>
      <c r="H381" s="47"/>
      <c r="K381" s="46"/>
    </row>
    <row r="382" spans="3:11" ht="13">
      <c r="C382" s="46"/>
      <c r="D382" s="46"/>
      <c r="E382" s="46"/>
      <c r="F382" s="46"/>
      <c r="G382" s="46"/>
      <c r="H382" s="47"/>
      <c r="K382" s="46"/>
    </row>
    <row r="383" spans="3:11" ht="13">
      <c r="C383" s="46"/>
      <c r="D383" s="46"/>
      <c r="E383" s="46"/>
      <c r="F383" s="46"/>
      <c r="G383" s="46"/>
      <c r="H383" s="47"/>
      <c r="K383" s="46"/>
    </row>
    <row r="384" spans="3:11" ht="13">
      <c r="C384" s="46"/>
      <c r="D384" s="46"/>
      <c r="E384" s="46"/>
      <c r="F384" s="46"/>
      <c r="G384" s="46"/>
      <c r="H384" s="47"/>
      <c r="K384" s="46"/>
    </row>
    <row r="385" spans="3:11" ht="13">
      <c r="C385" s="46"/>
      <c r="D385" s="46"/>
      <c r="E385" s="46"/>
      <c r="F385" s="46"/>
      <c r="G385" s="46"/>
      <c r="H385" s="47"/>
      <c r="K385" s="46"/>
    </row>
    <row r="386" spans="3:11" ht="13">
      <c r="C386" s="46"/>
      <c r="D386" s="46"/>
      <c r="E386" s="46"/>
      <c r="F386" s="46"/>
      <c r="G386" s="46"/>
      <c r="H386" s="47"/>
      <c r="K386" s="46"/>
    </row>
    <row r="387" spans="3:11" ht="13">
      <c r="C387" s="46"/>
      <c r="D387" s="46"/>
      <c r="E387" s="46"/>
      <c r="F387" s="46"/>
      <c r="G387" s="46"/>
      <c r="H387" s="47"/>
      <c r="K387" s="46"/>
    </row>
    <row r="388" spans="3:11" ht="13">
      <c r="C388" s="46"/>
      <c r="D388" s="46"/>
      <c r="E388" s="46"/>
      <c r="F388" s="46"/>
      <c r="G388" s="46"/>
      <c r="H388" s="47"/>
      <c r="K388" s="46"/>
    </row>
    <row r="389" spans="3:11" ht="13">
      <c r="C389" s="46"/>
      <c r="D389" s="46"/>
      <c r="E389" s="46"/>
      <c r="F389" s="46"/>
      <c r="G389" s="46"/>
      <c r="H389" s="47"/>
      <c r="K389" s="46"/>
    </row>
    <row r="390" spans="3:11" ht="13">
      <c r="C390" s="46"/>
      <c r="D390" s="46"/>
      <c r="E390" s="46"/>
      <c r="F390" s="46"/>
      <c r="G390" s="46"/>
      <c r="H390" s="47"/>
      <c r="K390" s="46"/>
    </row>
    <row r="391" spans="3:11" ht="13">
      <c r="C391" s="46"/>
      <c r="D391" s="46"/>
      <c r="E391" s="46"/>
      <c r="F391" s="46"/>
      <c r="G391" s="46"/>
      <c r="H391" s="47"/>
      <c r="K391" s="46"/>
    </row>
    <row r="392" spans="3:11" ht="13">
      <c r="C392" s="46"/>
      <c r="D392" s="46"/>
      <c r="E392" s="46"/>
      <c r="F392" s="46"/>
      <c r="G392" s="46"/>
      <c r="H392" s="47"/>
      <c r="K392" s="46"/>
    </row>
    <row r="393" spans="3:11" ht="13">
      <c r="C393" s="46"/>
      <c r="D393" s="46"/>
      <c r="E393" s="46"/>
      <c r="F393" s="46"/>
      <c r="G393" s="46"/>
      <c r="H393" s="47"/>
      <c r="K393" s="46"/>
    </row>
    <row r="394" spans="3:11" ht="13">
      <c r="C394" s="46"/>
      <c r="D394" s="46"/>
      <c r="E394" s="46"/>
      <c r="F394" s="46"/>
      <c r="G394" s="46"/>
      <c r="H394" s="47"/>
      <c r="K394" s="46"/>
    </row>
    <row r="395" spans="3:11" ht="13">
      <c r="C395" s="46"/>
      <c r="D395" s="46"/>
      <c r="E395" s="46"/>
      <c r="F395" s="46"/>
      <c r="G395" s="46"/>
      <c r="H395" s="47"/>
      <c r="K395" s="46"/>
    </row>
    <row r="396" spans="3:11" ht="13">
      <c r="C396" s="46"/>
      <c r="D396" s="46"/>
      <c r="E396" s="46"/>
      <c r="F396" s="46"/>
      <c r="G396" s="46"/>
      <c r="H396" s="47"/>
      <c r="K396" s="46"/>
    </row>
    <row r="397" spans="3:11" ht="13">
      <c r="C397" s="46"/>
      <c r="D397" s="46"/>
      <c r="E397" s="46"/>
      <c r="F397" s="46"/>
      <c r="G397" s="46"/>
      <c r="H397" s="47"/>
      <c r="K397" s="46"/>
    </row>
    <row r="398" spans="3:11" ht="13">
      <c r="C398" s="46"/>
      <c r="D398" s="46"/>
      <c r="E398" s="46"/>
      <c r="F398" s="46"/>
      <c r="G398" s="46"/>
      <c r="H398" s="47"/>
      <c r="K398" s="46"/>
    </row>
    <row r="399" spans="3:11" ht="13">
      <c r="C399" s="46"/>
      <c r="D399" s="46"/>
      <c r="E399" s="46"/>
      <c r="F399" s="46"/>
      <c r="G399" s="46"/>
      <c r="H399" s="47"/>
      <c r="K399" s="46"/>
    </row>
    <row r="400" spans="3:11" ht="13">
      <c r="C400" s="46"/>
      <c r="D400" s="46"/>
      <c r="E400" s="46"/>
      <c r="F400" s="46"/>
      <c r="G400" s="46"/>
      <c r="H400" s="47"/>
      <c r="K400" s="46"/>
    </row>
    <row r="401" spans="3:11" ht="13">
      <c r="C401" s="46"/>
      <c r="D401" s="46"/>
      <c r="E401" s="46"/>
      <c r="F401" s="46"/>
      <c r="G401" s="46"/>
      <c r="H401" s="47"/>
      <c r="K401" s="46"/>
    </row>
    <row r="402" spans="3:11" ht="13">
      <c r="C402" s="46"/>
      <c r="D402" s="46"/>
      <c r="E402" s="46"/>
      <c r="F402" s="46"/>
      <c r="G402" s="46"/>
      <c r="H402" s="47"/>
      <c r="K402" s="46"/>
    </row>
    <row r="403" spans="3:11" ht="13">
      <c r="C403" s="46"/>
      <c r="D403" s="46"/>
      <c r="E403" s="46"/>
      <c r="F403" s="46"/>
      <c r="G403" s="46"/>
      <c r="H403" s="47"/>
      <c r="K403" s="46"/>
    </row>
    <row r="404" spans="3:11" ht="13">
      <c r="C404" s="46"/>
      <c r="D404" s="46"/>
      <c r="E404" s="46"/>
      <c r="F404" s="46"/>
      <c r="G404" s="46"/>
      <c r="H404" s="47"/>
      <c r="K404" s="46"/>
    </row>
    <row r="405" spans="3:11" ht="13">
      <c r="C405" s="46"/>
      <c r="D405" s="46"/>
      <c r="E405" s="46"/>
      <c r="F405" s="46"/>
      <c r="G405" s="46"/>
      <c r="H405" s="47"/>
      <c r="K405" s="46"/>
    </row>
    <row r="406" spans="3:11" ht="13">
      <c r="C406" s="46"/>
      <c r="D406" s="46"/>
      <c r="E406" s="46"/>
      <c r="F406" s="46"/>
      <c r="G406" s="46"/>
      <c r="H406" s="47"/>
      <c r="K406" s="46"/>
    </row>
    <row r="407" spans="3:11" ht="13">
      <c r="C407" s="46"/>
      <c r="D407" s="46"/>
      <c r="E407" s="46"/>
      <c r="F407" s="46"/>
      <c r="G407" s="46"/>
      <c r="H407" s="47"/>
      <c r="K407" s="46"/>
    </row>
    <row r="408" spans="3:11" ht="13">
      <c r="C408" s="46"/>
      <c r="D408" s="46"/>
      <c r="E408" s="46"/>
      <c r="F408" s="46"/>
      <c r="G408" s="46"/>
      <c r="H408" s="47"/>
      <c r="K408" s="46"/>
    </row>
    <row r="409" spans="3:11" ht="13">
      <c r="C409" s="46"/>
      <c r="D409" s="46"/>
      <c r="E409" s="46"/>
      <c r="F409" s="46"/>
      <c r="G409" s="46"/>
      <c r="H409" s="47"/>
      <c r="K409" s="46"/>
    </row>
    <row r="410" spans="3:11" ht="13">
      <c r="C410" s="46"/>
      <c r="D410" s="46"/>
      <c r="E410" s="46"/>
      <c r="F410" s="46"/>
      <c r="G410" s="46"/>
      <c r="H410" s="47"/>
      <c r="K410" s="46"/>
    </row>
    <row r="411" spans="3:11" ht="13">
      <c r="C411" s="46"/>
      <c r="D411" s="46"/>
      <c r="E411" s="46"/>
      <c r="F411" s="46"/>
      <c r="G411" s="46"/>
      <c r="H411" s="47"/>
      <c r="K411" s="46"/>
    </row>
    <row r="412" spans="3:11" ht="13">
      <c r="C412" s="46"/>
      <c r="D412" s="46"/>
      <c r="E412" s="46"/>
      <c r="F412" s="46"/>
      <c r="G412" s="46"/>
      <c r="H412" s="47"/>
      <c r="K412" s="46"/>
    </row>
    <row r="413" spans="3:11" ht="13">
      <c r="C413" s="46"/>
      <c r="D413" s="46"/>
      <c r="E413" s="46"/>
      <c r="F413" s="46"/>
      <c r="G413" s="46"/>
      <c r="H413" s="47"/>
      <c r="K413" s="46"/>
    </row>
    <row r="414" spans="3:11" ht="13">
      <c r="C414" s="46"/>
      <c r="D414" s="46"/>
      <c r="E414" s="46"/>
      <c r="F414" s="46"/>
      <c r="G414" s="46"/>
      <c r="H414" s="47"/>
      <c r="K414" s="46"/>
    </row>
    <row r="415" spans="3:11" ht="13">
      <c r="C415" s="46"/>
      <c r="D415" s="46"/>
      <c r="E415" s="46"/>
      <c r="F415" s="46"/>
      <c r="G415" s="46"/>
      <c r="H415" s="47"/>
      <c r="K415" s="46"/>
    </row>
    <row r="416" spans="3:11" ht="13">
      <c r="C416" s="46"/>
      <c r="D416" s="46"/>
      <c r="E416" s="46"/>
      <c r="F416" s="46"/>
      <c r="G416" s="46"/>
      <c r="H416" s="47"/>
      <c r="K416" s="46"/>
    </row>
    <row r="417" spans="3:11" ht="13">
      <c r="C417" s="46"/>
      <c r="D417" s="46"/>
      <c r="E417" s="46"/>
      <c r="F417" s="46"/>
      <c r="G417" s="46"/>
      <c r="H417" s="47"/>
      <c r="K417" s="46"/>
    </row>
    <row r="418" spans="3:11" ht="13">
      <c r="C418" s="46"/>
      <c r="D418" s="46"/>
      <c r="E418" s="46"/>
      <c r="F418" s="46"/>
      <c r="G418" s="46"/>
      <c r="H418" s="47"/>
      <c r="K418" s="46"/>
    </row>
    <row r="419" spans="3:11" ht="13">
      <c r="C419" s="46"/>
      <c r="D419" s="46"/>
      <c r="E419" s="46"/>
      <c r="F419" s="46"/>
      <c r="G419" s="46"/>
      <c r="H419" s="47"/>
      <c r="K419" s="46"/>
    </row>
    <row r="420" spans="3:11" ht="13">
      <c r="C420" s="46"/>
      <c r="D420" s="46"/>
      <c r="E420" s="46"/>
      <c r="F420" s="46"/>
      <c r="G420" s="46"/>
      <c r="H420" s="47"/>
      <c r="K420" s="46"/>
    </row>
    <row r="421" spans="3:11" ht="13">
      <c r="C421" s="46"/>
      <c r="D421" s="46"/>
      <c r="E421" s="46"/>
      <c r="F421" s="46"/>
      <c r="G421" s="46"/>
      <c r="H421" s="47"/>
      <c r="K421" s="46"/>
    </row>
    <row r="422" spans="3:11" ht="13">
      <c r="C422" s="46"/>
      <c r="D422" s="46"/>
      <c r="E422" s="46"/>
      <c r="F422" s="46"/>
      <c r="G422" s="46"/>
      <c r="H422" s="47"/>
      <c r="K422" s="46"/>
    </row>
    <row r="423" spans="3:11" ht="13">
      <c r="C423" s="46"/>
      <c r="D423" s="46"/>
      <c r="E423" s="46"/>
      <c r="F423" s="46"/>
      <c r="G423" s="46"/>
      <c r="H423" s="47"/>
      <c r="K423" s="46"/>
    </row>
    <row r="424" spans="3:11" ht="13">
      <c r="C424" s="46"/>
      <c r="D424" s="46"/>
      <c r="E424" s="46"/>
      <c r="F424" s="46"/>
      <c r="G424" s="46"/>
      <c r="H424" s="47"/>
      <c r="K424" s="46"/>
    </row>
    <row r="425" spans="3:11" ht="13">
      <c r="C425" s="46"/>
      <c r="D425" s="46"/>
      <c r="E425" s="46"/>
      <c r="F425" s="46"/>
      <c r="G425" s="46"/>
      <c r="H425" s="47"/>
      <c r="K425" s="46"/>
    </row>
    <row r="426" spans="3:11" ht="13">
      <c r="C426" s="46"/>
      <c r="D426" s="46"/>
      <c r="E426" s="46"/>
      <c r="F426" s="46"/>
      <c r="G426" s="46"/>
      <c r="H426" s="47"/>
      <c r="K426" s="46"/>
    </row>
    <row r="427" spans="3:11" ht="13">
      <c r="C427" s="46"/>
      <c r="D427" s="46"/>
      <c r="E427" s="46"/>
      <c r="F427" s="46"/>
      <c r="G427" s="46"/>
      <c r="H427" s="47"/>
      <c r="K427" s="46"/>
    </row>
    <row r="428" spans="3:11" ht="13">
      <c r="C428" s="46"/>
      <c r="D428" s="46"/>
      <c r="E428" s="46"/>
      <c r="F428" s="46"/>
      <c r="G428" s="46"/>
      <c r="H428" s="47"/>
      <c r="K428" s="46"/>
    </row>
    <row r="429" spans="3:11" ht="13">
      <c r="C429" s="46"/>
      <c r="D429" s="46"/>
      <c r="E429" s="46"/>
      <c r="F429" s="46"/>
      <c r="G429" s="46"/>
      <c r="H429" s="47"/>
      <c r="K429" s="46"/>
    </row>
    <row r="430" spans="3:11" ht="13">
      <c r="C430" s="46"/>
      <c r="D430" s="46"/>
      <c r="E430" s="46"/>
      <c r="F430" s="46"/>
      <c r="G430" s="46"/>
      <c r="H430" s="47"/>
      <c r="K430" s="46"/>
    </row>
    <row r="431" spans="3:11" ht="13">
      <c r="C431" s="46"/>
      <c r="D431" s="46"/>
      <c r="E431" s="46"/>
      <c r="F431" s="46"/>
      <c r="G431" s="46"/>
      <c r="H431" s="47"/>
      <c r="K431" s="46"/>
    </row>
    <row r="432" spans="3:11" ht="13">
      <c r="C432" s="46"/>
      <c r="D432" s="46"/>
      <c r="E432" s="46"/>
      <c r="F432" s="46"/>
      <c r="G432" s="46"/>
      <c r="H432" s="47"/>
      <c r="K432" s="46"/>
    </row>
    <row r="433" spans="3:11" ht="13">
      <c r="C433" s="46"/>
      <c r="D433" s="46"/>
      <c r="E433" s="46"/>
      <c r="F433" s="46"/>
      <c r="G433" s="46"/>
      <c r="H433" s="47"/>
      <c r="K433" s="46"/>
    </row>
    <row r="434" spans="3:11" ht="13">
      <c r="C434" s="46"/>
      <c r="D434" s="46"/>
      <c r="E434" s="46"/>
      <c r="F434" s="46"/>
      <c r="G434" s="46"/>
      <c r="H434" s="47"/>
      <c r="K434" s="46"/>
    </row>
    <row r="435" spans="3:11" ht="13">
      <c r="C435" s="46"/>
      <c r="D435" s="46"/>
      <c r="E435" s="46"/>
      <c r="F435" s="46"/>
      <c r="G435" s="46"/>
      <c r="H435" s="47"/>
      <c r="K435" s="46"/>
    </row>
    <row r="436" spans="3:11" ht="13">
      <c r="C436" s="46"/>
      <c r="D436" s="46"/>
      <c r="E436" s="46"/>
      <c r="F436" s="46"/>
      <c r="G436" s="46"/>
      <c r="H436" s="47"/>
      <c r="K436" s="46"/>
    </row>
    <row r="437" spans="3:11" ht="13">
      <c r="C437" s="46"/>
      <c r="D437" s="46"/>
      <c r="E437" s="46"/>
      <c r="F437" s="46"/>
      <c r="G437" s="46"/>
      <c r="H437" s="47"/>
      <c r="K437" s="46"/>
    </row>
    <row r="438" spans="3:11" ht="13">
      <c r="C438" s="46"/>
      <c r="D438" s="46"/>
      <c r="E438" s="46"/>
      <c r="F438" s="46"/>
      <c r="G438" s="46"/>
      <c r="H438" s="47"/>
      <c r="K438" s="46"/>
    </row>
    <row r="439" spans="3:11" ht="13">
      <c r="C439" s="46"/>
      <c r="D439" s="46"/>
      <c r="E439" s="46"/>
      <c r="F439" s="46"/>
      <c r="G439" s="46"/>
      <c r="H439" s="47"/>
      <c r="K439" s="46"/>
    </row>
    <row r="440" spans="3:11" ht="13">
      <c r="C440" s="46"/>
      <c r="D440" s="46"/>
      <c r="E440" s="46"/>
      <c r="F440" s="46"/>
      <c r="G440" s="46"/>
      <c r="H440" s="47"/>
      <c r="K440" s="46"/>
    </row>
    <row r="441" spans="3:11" ht="13">
      <c r="C441" s="46"/>
      <c r="D441" s="46"/>
      <c r="E441" s="46"/>
      <c r="F441" s="46"/>
      <c r="G441" s="46"/>
      <c r="H441" s="47"/>
      <c r="K441" s="46"/>
    </row>
    <row r="442" spans="3:11" ht="13">
      <c r="C442" s="46"/>
      <c r="D442" s="46"/>
      <c r="E442" s="46"/>
      <c r="F442" s="46"/>
      <c r="G442" s="46"/>
      <c r="H442" s="47"/>
      <c r="K442" s="46"/>
    </row>
    <row r="443" spans="3:11" ht="13">
      <c r="C443" s="46"/>
      <c r="D443" s="46"/>
      <c r="E443" s="46"/>
      <c r="F443" s="46"/>
      <c r="G443" s="46"/>
      <c r="H443" s="47"/>
      <c r="K443" s="46"/>
    </row>
    <row r="444" spans="3:11" ht="13">
      <c r="C444" s="46"/>
      <c r="D444" s="46"/>
      <c r="E444" s="46"/>
      <c r="F444" s="46"/>
      <c r="G444" s="46"/>
      <c r="H444" s="47"/>
      <c r="K444" s="46"/>
    </row>
    <row r="445" spans="3:11" ht="13">
      <c r="C445" s="46"/>
      <c r="D445" s="46"/>
      <c r="E445" s="46"/>
      <c r="F445" s="46"/>
      <c r="G445" s="46"/>
      <c r="H445" s="47"/>
      <c r="K445" s="46"/>
    </row>
    <row r="446" spans="3:11" ht="13">
      <c r="C446" s="46"/>
      <c r="D446" s="46"/>
      <c r="E446" s="46"/>
      <c r="F446" s="46"/>
      <c r="G446" s="46"/>
      <c r="H446" s="47"/>
      <c r="K446" s="46"/>
    </row>
    <row r="447" spans="3:11" ht="13">
      <c r="C447" s="46"/>
      <c r="D447" s="46"/>
      <c r="E447" s="46"/>
      <c r="F447" s="46"/>
      <c r="G447" s="46"/>
      <c r="H447" s="47"/>
      <c r="K447" s="46"/>
    </row>
    <row r="448" spans="3:11" ht="13">
      <c r="C448" s="46"/>
      <c r="D448" s="46"/>
      <c r="E448" s="46"/>
      <c r="F448" s="46"/>
      <c r="G448" s="46"/>
      <c r="H448" s="47"/>
      <c r="K448" s="46"/>
    </row>
    <row r="449" spans="3:11" ht="13">
      <c r="C449" s="46"/>
      <c r="D449" s="46"/>
      <c r="E449" s="46"/>
      <c r="F449" s="46"/>
      <c r="G449" s="46"/>
      <c r="H449" s="47"/>
      <c r="K449" s="46"/>
    </row>
    <row r="450" spans="3:11" ht="13">
      <c r="C450" s="46"/>
      <c r="D450" s="46"/>
      <c r="E450" s="46"/>
      <c r="F450" s="46"/>
      <c r="G450" s="46"/>
      <c r="H450" s="47"/>
      <c r="K450" s="46"/>
    </row>
    <row r="451" spans="3:11" ht="13">
      <c r="C451" s="46"/>
      <c r="D451" s="46"/>
      <c r="E451" s="46"/>
      <c r="F451" s="46"/>
      <c r="G451" s="46"/>
      <c r="H451" s="47"/>
      <c r="K451" s="46"/>
    </row>
    <row r="452" spans="3:11" ht="13">
      <c r="C452" s="46"/>
      <c r="D452" s="46"/>
      <c r="E452" s="46"/>
      <c r="F452" s="46"/>
      <c r="G452" s="46"/>
      <c r="H452" s="47"/>
      <c r="K452" s="46"/>
    </row>
    <row r="453" spans="3:11" ht="13">
      <c r="C453" s="46"/>
      <c r="D453" s="46"/>
      <c r="E453" s="46"/>
      <c r="F453" s="46"/>
      <c r="G453" s="46"/>
      <c r="H453" s="47"/>
      <c r="K453" s="46"/>
    </row>
    <row r="454" spans="3:11" ht="13">
      <c r="C454" s="46"/>
      <c r="D454" s="46"/>
      <c r="E454" s="46"/>
      <c r="F454" s="46"/>
      <c r="G454" s="46"/>
      <c r="H454" s="47"/>
      <c r="K454" s="46"/>
    </row>
    <row r="455" spans="3:11" ht="13">
      <c r="C455" s="46"/>
      <c r="D455" s="46"/>
      <c r="E455" s="46"/>
      <c r="F455" s="46"/>
      <c r="G455" s="46"/>
      <c r="H455" s="47"/>
      <c r="K455" s="46"/>
    </row>
    <row r="456" spans="3:11" ht="13">
      <c r="C456" s="46"/>
      <c r="D456" s="46"/>
      <c r="E456" s="46"/>
      <c r="F456" s="46"/>
      <c r="G456" s="46"/>
      <c r="H456" s="47"/>
      <c r="K456" s="46"/>
    </row>
    <row r="457" spans="3:11" ht="13">
      <c r="C457" s="46"/>
      <c r="D457" s="46"/>
      <c r="E457" s="46"/>
      <c r="F457" s="46"/>
      <c r="G457" s="46"/>
      <c r="H457" s="47"/>
      <c r="K457" s="46"/>
    </row>
    <row r="458" spans="3:11" ht="13">
      <c r="C458" s="46"/>
      <c r="D458" s="46"/>
      <c r="E458" s="46"/>
      <c r="F458" s="46"/>
      <c r="G458" s="46"/>
      <c r="H458" s="47"/>
      <c r="K458" s="46"/>
    </row>
    <row r="459" spans="3:11" ht="13">
      <c r="C459" s="46"/>
      <c r="D459" s="46"/>
      <c r="E459" s="46"/>
      <c r="F459" s="46"/>
      <c r="G459" s="46"/>
      <c r="H459" s="47"/>
      <c r="K459" s="46"/>
    </row>
    <row r="460" spans="3:11" ht="13">
      <c r="C460" s="46"/>
      <c r="D460" s="46"/>
      <c r="E460" s="46"/>
      <c r="F460" s="46"/>
      <c r="G460" s="46"/>
      <c r="H460" s="47"/>
      <c r="K460" s="46"/>
    </row>
    <row r="461" spans="3:11" ht="13">
      <c r="C461" s="46"/>
      <c r="D461" s="46"/>
      <c r="E461" s="46"/>
      <c r="F461" s="46"/>
      <c r="G461" s="46"/>
      <c r="H461" s="47"/>
      <c r="K461" s="46"/>
    </row>
    <row r="462" spans="3:11" ht="13">
      <c r="C462" s="46"/>
      <c r="D462" s="46"/>
      <c r="E462" s="46"/>
      <c r="F462" s="46"/>
      <c r="G462" s="46"/>
      <c r="H462" s="47"/>
      <c r="K462" s="46"/>
    </row>
    <row r="463" spans="3:11" ht="13">
      <c r="C463" s="46"/>
      <c r="D463" s="46"/>
      <c r="E463" s="46"/>
      <c r="F463" s="46"/>
      <c r="G463" s="46"/>
      <c r="H463" s="47"/>
      <c r="K463" s="46"/>
    </row>
    <row r="464" spans="3:11" ht="13">
      <c r="C464" s="46"/>
      <c r="D464" s="46"/>
      <c r="E464" s="46"/>
      <c r="F464" s="46"/>
      <c r="G464" s="46"/>
      <c r="H464" s="47"/>
      <c r="K464" s="46"/>
    </row>
    <row r="465" spans="3:11" ht="13">
      <c r="C465" s="46"/>
      <c r="D465" s="46"/>
      <c r="E465" s="46"/>
      <c r="F465" s="46"/>
      <c r="G465" s="46"/>
      <c r="H465" s="47"/>
      <c r="K465" s="46"/>
    </row>
    <row r="466" spans="3:11" ht="13">
      <c r="C466" s="46"/>
      <c r="D466" s="46"/>
      <c r="E466" s="46"/>
      <c r="F466" s="46"/>
      <c r="G466" s="46"/>
      <c r="H466" s="47"/>
      <c r="K466" s="46"/>
    </row>
    <row r="467" spans="3:11" ht="13">
      <c r="C467" s="46"/>
      <c r="D467" s="46"/>
      <c r="E467" s="46"/>
      <c r="F467" s="46"/>
      <c r="G467" s="46"/>
      <c r="H467" s="47"/>
      <c r="K467" s="46"/>
    </row>
    <row r="468" spans="3:11" ht="13">
      <c r="C468" s="46"/>
      <c r="D468" s="46"/>
      <c r="E468" s="46"/>
      <c r="F468" s="46"/>
      <c r="G468" s="46"/>
      <c r="H468" s="47"/>
      <c r="K468" s="46"/>
    </row>
    <row r="469" spans="3:11" ht="13">
      <c r="C469" s="46"/>
      <c r="D469" s="46"/>
      <c r="E469" s="46"/>
      <c r="F469" s="46"/>
      <c r="G469" s="46"/>
      <c r="H469" s="47"/>
      <c r="K469" s="46"/>
    </row>
    <row r="470" spans="3:11" ht="13">
      <c r="C470" s="46"/>
      <c r="D470" s="46"/>
      <c r="E470" s="46"/>
      <c r="F470" s="46"/>
      <c r="G470" s="46"/>
      <c r="H470" s="47"/>
      <c r="K470" s="46"/>
    </row>
    <row r="471" spans="3:11" ht="13">
      <c r="C471" s="46"/>
      <c r="D471" s="46"/>
      <c r="E471" s="46"/>
      <c r="F471" s="46"/>
      <c r="G471" s="46"/>
      <c r="H471" s="47"/>
      <c r="K471" s="46"/>
    </row>
    <row r="472" spans="3:11" ht="13">
      <c r="C472" s="46"/>
      <c r="D472" s="46"/>
      <c r="E472" s="46"/>
      <c r="F472" s="46"/>
      <c r="G472" s="46"/>
      <c r="H472" s="47"/>
      <c r="K472" s="46"/>
    </row>
    <row r="473" spans="3:11" ht="13">
      <c r="C473" s="46"/>
      <c r="D473" s="46"/>
      <c r="E473" s="46"/>
      <c r="F473" s="46"/>
      <c r="G473" s="46"/>
      <c r="H473" s="47"/>
      <c r="K473" s="46"/>
    </row>
    <row r="474" spans="3:11" ht="13">
      <c r="C474" s="46"/>
      <c r="D474" s="46"/>
      <c r="E474" s="46"/>
      <c r="F474" s="46"/>
      <c r="G474" s="46"/>
      <c r="H474" s="47"/>
      <c r="K474" s="46"/>
    </row>
    <row r="475" spans="3:11" ht="13">
      <c r="C475" s="46"/>
      <c r="D475" s="46"/>
      <c r="E475" s="46"/>
      <c r="F475" s="46"/>
      <c r="G475" s="46"/>
      <c r="H475" s="47"/>
      <c r="K475" s="46"/>
    </row>
    <row r="476" spans="3:11" ht="13">
      <c r="C476" s="46"/>
      <c r="D476" s="46"/>
      <c r="E476" s="46"/>
      <c r="F476" s="46"/>
      <c r="G476" s="46"/>
      <c r="H476" s="47"/>
      <c r="K476" s="46"/>
    </row>
    <row r="477" spans="3:11" ht="13">
      <c r="C477" s="46"/>
      <c r="D477" s="46"/>
      <c r="E477" s="46"/>
      <c r="F477" s="46"/>
      <c r="G477" s="46"/>
      <c r="H477" s="47"/>
      <c r="K477" s="46"/>
    </row>
    <row r="478" spans="3:11" ht="13">
      <c r="C478" s="46"/>
      <c r="D478" s="46"/>
      <c r="E478" s="46"/>
      <c r="F478" s="46"/>
      <c r="G478" s="46"/>
      <c r="H478" s="47"/>
      <c r="K478" s="46"/>
    </row>
    <row r="479" spans="3:11" ht="13">
      <c r="C479" s="46"/>
      <c r="D479" s="46"/>
      <c r="E479" s="46"/>
      <c r="F479" s="46"/>
      <c r="G479" s="46"/>
      <c r="H479" s="47"/>
      <c r="K479" s="46"/>
    </row>
    <row r="480" spans="3:11" ht="13">
      <c r="C480" s="46"/>
      <c r="D480" s="46"/>
      <c r="E480" s="46"/>
      <c r="F480" s="46"/>
      <c r="G480" s="46"/>
      <c r="H480" s="47"/>
      <c r="K480" s="46"/>
    </row>
    <row r="481" spans="3:11" ht="13">
      <c r="C481" s="46"/>
      <c r="D481" s="46"/>
      <c r="E481" s="46"/>
      <c r="F481" s="46"/>
      <c r="G481" s="46"/>
      <c r="H481" s="47"/>
      <c r="K481" s="46"/>
    </row>
    <row r="482" spans="3:11" ht="13">
      <c r="C482" s="46"/>
      <c r="D482" s="46"/>
      <c r="E482" s="46"/>
      <c r="F482" s="46"/>
      <c r="G482" s="46"/>
      <c r="H482" s="47"/>
      <c r="K482" s="46"/>
    </row>
    <row r="483" spans="3:11" ht="13">
      <c r="C483" s="46"/>
      <c r="D483" s="46"/>
      <c r="E483" s="46"/>
      <c r="F483" s="46"/>
      <c r="G483" s="46"/>
      <c r="H483" s="47"/>
      <c r="K483" s="46"/>
    </row>
    <row r="484" spans="3:11" ht="13">
      <c r="C484" s="46"/>
      <c r="D484" s="46"/>
      <c r="E484" s="46"/>
      <c r="F484" s="46"/>
      <c r="G484" s="46"/>
      <c r="H484" s="47"/>
      <c r="K484" s="46"/>
    </row>
    <row r="485" spans="3:11" ht="13">
      <c r="C485" s="46"/>
      <c r="D485" s="46"/>
      <c r="E485" s="46"/>
      <c r="F485" s="46"/>
      <c r="G485" s="46"/>
      <c r="H485" s="47"/>
      <c r="K485" s="46"/>
    </row>
    <row r="486" spans="3:11" ht="13">
      <c r="C486" s="46"/>
      <c r="D486" s="46"/>
      <c r="E486" s="46"/>
      <c r="F486" s="46"/>
      <c r="G486" s="46"/>
      <c r="H486" s="47"/>
      <c r="K486" s="46"/>
    </row>
    <row r="487" spans="3:11" ht="13">
      <c r="C487" s="46"/>
      <c r="D487" s="46"/>
      <c r="E487" s="46"/>
      <c r="F487" s="46"/>
      <c r="G487" s="46"/>
      <c r="H487" s="47"/>
      <c r="K487" s="46"/>
    </row>
    <row r="488" spans="3:11" ht="13">
      <c r="C488" s="46"/>
      <c r="D488" s="46"/>
      <c r="E488" s="46"/>
      <c r="F488" s="46"/>
      <c r="G488" s="46"/>
      <c r="H488" s="47"/>
      <c r="K488" s="46"/>
    </row>
    <row r="489" spans="3:11" ht="13">
      <c r="C489" s="46"/>
      <c r="D489" s="46"/>
      <c r="E489" s="46"/>
      <c r="F489" s="46"/>
      <c r="G489" s="46"/>
      <c r="H489" s="47"/>
      <c r="K489" s="46"/>
    </row>
    <row r="490" spans="3:11" ht="13">
      <c r="C490" s="46"/>
      <c r="D490" s="46"/>
      <c r="E490" s="46"/>
      <c r="F490" s="46"/>
      <c r="G490" s="46"/>
      <c r="H490" s="47"/>
      <c r="K490" s="46"/>
    </row>
    <row r="491" spans="3:11" ht="13">
      <c r="C491" s="46"/>
      <c r="D491" s="46"/>
      <c r="E491" s="46"/>
      <c r="F491" s="46"/>
      <c r="G491" s="46"/>
      <c r="H491" s="47"/>
      <c r="K491" s="46"/>
    </row>
    <row r="492" spans="3:11" ht="13">
      <c r="C492" s="46"/>
      <c r="D492" s="46"/>
      <c r="E492" s="46"/>
      <c r="F492" s="46"/>
      <c r="G492" s="46"/>
      <c r="H492" s="47"/>
      <c r="K492" s="46"/>
    </row>
    <row r="493" spans="3:11" ht="13">
      <c r="C493" s="46"/>
      <c r="D493" s="46"/>
      <c r="E493" s="46"/>
      <c r="F493" s="46"/>
      <c r="G493" s="46"/>
      <c r="H493" s="47"/>
      <c r="K493" s="46"/>
    </row>
    <row r="494" spans="3:11" ht="13">
      <c r="C494" s="46"/>
      <c r="D494" s="46"/>
      <c r="E494" s="46"/>
      <c r="F494" s="46"/>
      <c r="G494" s="46"/>
      <c r="H494" s="47"/>
      <c r="K494" s="46"/>
    </row>
    <row r="495" spans="3:11" ht="13">
      <c r="C495" s="46"/>
      <c r="D495" s="46"/>
      <c r="E495" s="46"/>
      <c r="F495" s="46"/>
      <c r="G495" s="46"/>
      <c r="H495" s="47"/>
      <c r="K495" s="46"/>
    </row>
    <row r="496" spans="3:11" ht="13">
      <c r="C496" s="46"/>
      <c r="D496" s="46"/>
      <c r="E496" s="46"/>
      <c r="F496" s="46"/>
      <c r="G496" s="46"/>
      <c r="H496" s="47"/>
      <c r="K496" s="46"/>
    </row>
    <row r="497" spans="3:11" ht="13">
      <c r="C497" s="46"/>
      <c r="D497" s="46"/>
      <c r="E497" s="46"/>
      <c r="F497" s="46"/>
      <c r="G497" s="46"/>
      <c r="H497" s="47"/>
      <c r="K497" s="46"/>
    </row>
    <row r="498" spans="3:11" ht="13">
      <c r="C498" s="46"/>
      <c r="D498" s="46"/>
      <c r="E498" s="46"/>
      <c r="F498" s="46"/>
      <c r="G498" s="46"/>
      <c r="H498" s="47"/>
      <c r="K498" s="46"/>
    </row>
    <row r="499" spans="3:11" ht="13">
      <c r="C499" s="46"/>
      <c r="D499" s="46"/>
      <c r="E499" s="46"/>
      <c r="F499" s="46"/>
      <c r="G499" s="46"/>
      <c r="H499" s="47"/>
      <c r="K499" s="46"/>
    </row>
    <row r="500" spans="3:11" ht="13">
      <c r="C500" s="46"/>
      <c r="D500" s="46"/>
      <c r="E500" s="46"/>
      <c r="F500" s="46"/>
      <c r="G500" s="46"/>
      <c r="H500" s="47"/>
      <c r="K500" s="46"/>
    </row>
    <row r="501" spans="3:11" ht="13">
      <c r="C501" s="46"/>
      <c r="D501" s="46"/>
      <c r="E501" s="46"/>
      <c r="F501" s="46"/>
      <c r="G501" s="46"/>
      <c r="H501" s="47"/>
      <c r="K501" s="46"/>
    </row>
    <row r="502" spans="3:11" ht="13">
      <c r="C502" s="46"/>
      <c r="D502" s="46"/>
      <c r="E502" s="46"/>
      <c r="F502" s="46"/>
      <c r="G502" s="46"/>
      <c r="H502" s="47"/>
      <c r="K502" s="46"/>
    </row>
    <row r="503" spans="3:11" ht="13">
      <c r="C503" s="46"/>
      <c r="D503" s="46"/>
      <c r="E503" s="46"/>
      <c r="F503" s="46"/>
      <c r="G503" s="46"/>
      <c r="H503" s="47"/>
      <c r="K503" s="46"/>
    </row>
    <row r="504" spans="3:11" ht="13">
      <c r="C504" s="46"/>
      <c r="D504" s="46"/>
      <c r="E504" s="46"/>
      <c r="F504" s="46"/>
      <c r="G504" s="46"/>
      <c r="H504" s="47"/>
      <c r="K504" s="46"/>
    </row>
    <row r="505" spans="3:11" ht="13">
      <c r="C505" s="46"/>
      <c r="D505" s="46"/>
      <c r="E505" s="46"/>
      <c r="F505" s="46"/>
      <c r="G505" s="46"/>
      <c r="H505" s="47"/>
      <c r="K505" s="46"/>
    </row>
    <row r="506" spans="3:11" ht="13">
      <c r="C506" s="46"/>
      <c r="D506" s="46"/>
      <c r="E506" s="46"/>
      <c r="F506" s="46"/>
      <c r="G506" s="46"/>
      <c r="H506" s="47"/>
      <c r="K506" s="46"/>
    </row>
    <row r="507" spans="3:11" ht="13">
      <c r="C507" s="46"/>
      <c r="D507" s="46"/>
      <c r="E507" s="46"/>
      <c r="F507" s="46"/>
      <c r="G507" s="46"/>
      <c r="H507" s="47"/>
      <c r="K507" s="46"/>
    </row>
    <row r="508" spans="3:11" ht="13">
      <c r="C508" s="46"/>
      <c r="D508" s="46"/>
      <c r="E508" s="46"/>
      <c r="F508" s="46"/>
      <c r="G508" s="46"/>
      <c r="H508" s="47"/>
      <c r="K508" s="46"/>
    </row>
    <row r="509" spans="3:11" ht="13">
      <c r="C509" s="46"/>
      <c r="D509" s="46"/>
      <c r="E509" s="46"/>
      <c r="F509" s="46"/>
      <c r="G509" s="46"/>
      <c r="H509" s="47"/>
      <c r="K509" s="46"/>
    </row>
    <row r="510" spans="3:11" ht="13">
      <c r="C510" s="46"/>
      <c r="D510" s="46"/>
      <c r="E510" s="46"/>
      <c r="F510" s="46"/>
      <c r="G510" s="46"/>
      <c r="H510" s="47"/>
      <c r="K510" s="46"/>
    </row>
    <row r="511" spans="3:11" ht="13">
      <c r="C511" s="46"/>
      <c r="D511" s="46"/>
      <c r="E511" s="46"/>
      <c r="F511" s="46"/>
      <c r="G511" s="46"/>
      <c r="H511" s="47"/>
      <c r="K511" s="46"/>
    </row>
    <row r="512" spans="3:11" ht="13">
      <c r="C512" s="46"/>
      <c r="D512" s="46"/>
      <c r="E512" s="46"/>
      <c r="F512" s="46"/>
      <c r="G512" s="46"/>
      <c r="H512" s="47"/>
      <c r="K512" s="46"/>
    </row>
    <row r="513" spans="3:11" ht="13">
      <c r="C513" s="46"/>
      <c r="D513" s="46"/>
      <c r="E513" s="46"/>
      <c r="F513" s="46"/>
      <c r="G513" s="46"/>
      <c r="H513" s="47"/>
      <c r="K513" s="46"/>
    </row>
    <row r="514" spans="3:11" ht="13">
      <c r="C514" s="46"/>
      <c r="D514" s="46"/>
      <c r="E514" s="46"/>
      <c r="F514" s="46"/>
      <c r="G514" s="46"/>
      <c r="H514" s="47"/>
      <c r="K514" s="46"/>
    </row>
    <row r="515" spans="3:11" ht="13">
      <c r="C515" s="46"/>
      <c r="D515" s="46"/>
      <c r="E515" s="46"/>
      <c r="F515" s="46"/>
      <c r="G515" s="46"/>
      <c r="H515" s="47"/>
      <c r="K515" s="46"/>
    </row>
    <row r="516" spans="3:11" ht="13">
      <c r="C516" s="46"/>
      <c r="D516" s="46"/>
      <c r="E516" s="46"/>
      <c r="F516" s="46"/>
      <c r="G516" s="46"/>
      <c r="H516" s="47"/>
      <c r="K516" s="46"/>
    </row>
    <row r="517" spans="3:11" ht="13">
      <c r="C517" s="46"/>
      <c r="D517" s="46"/>
      <c r="E517" s="46"/>
      <c r="F517" s="46"/>
      <c r="G517" s="46"/>
      <c r="H517" s="47"/>
      <c r="K517" s="46"/>
    </row>
    <row r="518" spans="3:11" ht="13">
      <c r="C518" s="46"/>
      <c r="D518" s="46"/>
      <c r="E518" s="46"/>
      <c r="F518" s="46"/>
      <c r="G518" s="46"/>
      <c r="H518" s="47"/>
      <c r="K518" s="46"/>
    </row>
    <row r="519" spans="3:11" ht="13">
      <c r="C519" s="46"/>
      <c r="D519" s="46"/>
      <c r="E519" s="46"/>
      <c r="F519" s="46"/>
      <c r="G519" s="46"/>
      <c r="H519" s="47"/>
      <c r="K519" s="46"/>
    </row>
    <row r="520" spans="3:11" ht="13">
      <c r="C520" s="46"/>
      <c r="D520" s="46"/>
      <c r="E520" s="46"/>
      <c r="F520" s="46"/>
      <c r="G520" s="46"/>
      <c r="H520" s="47"/>
      <c r="K520" s="46"/>
    </row>
    <row r="521" spans="3:11" ht="13">
      <c r="C521" s="46"/>
      <c r="D521" s="46"/>
      <c r="E521" s="46"/>
      <c r="F521" s="46"/>
      <c r="G521" s="46"/>
      <c r="H521" s="47"/>
      <c r="K521" s="46"/>
    </row>
    <row r="522" spans="3:11" ht="13">
      <c r="C522" s="46"/>
      <c r="D522" s="46"/>
      <c r="E522" s="46"/>
      <c r="F522" s="46"/>
      <c r="G522" s="46"/>
      <c r="H522" s="47"/>
      <c r="K522" s="46"/>
    </row>
    <row r="523" spans="3:11" ht="13">
      <c r="C523" s="46"/>
      <c r="D523" s="46"/>
      <c r="E523" s="46"/>
      <c r="F523" s="46"/>
      <c r="G523" s="46"/>
      <c r="H523" s="47"/>
      <c r="K523" s="46"/>
    </row>
    <row r="524" spans="3:11" ht="13">
      <c r="C524" s="46"/>
      <c r="D524" s="46"/>
      <c r="E524" s="46"/>
      <c r="F524" s="46"/>
      <c r="G524" s="46"/>
      <c r="H524" s="47"/>
      <c r="K524" s="46"/>
    </row>
    <row r="525" spans="3:11" ht="13">
      <c r="C525" s="46"/>
      <c r="D525" s="46"/>
      <c r="E525" s="46"/>
      <c r="F525" s="46"/>
      <c r="G525" s="46"/>
      <c r="H525" s="47"/>
      <c r="K525" s="46"/>
    </row>
    <row r="526" spans="3:11" ht="13">
      <c r="C526" s="46"/>
      <c r="D526" s="46"/>
      <c r="E526" s="46"/>
      <c r="F526" s="46"/>
      <c r="G526" s="46"/>
      <c r="H526" s="47"/>
      <c r="K526" s="46"/>
    </row>
    <row r="527" spans="3:11" ht="13">
      <c r="C527" s="46"/>
      <c r="D527" s="46"/>
      <c r="E527" s="46"/>
      <c r="F527" s="46"/>
      <c r="G527" s="46"/>
      <c r="H527" s="47"/>
      <c r="K527" s="46"/>
    </row>
    <row r="528" spans="3:11" ht="13">
      <c r="C528" s="46"/>
      <c r="D528" s="46"/>
      <c r="E528" s="46"/>
      <c r="F528" s="46"/>
      <c r="G528" s="46"/>
      <c r="H528" s="47"/>
      <c r="K528" s="46"/>
    </row>
    <row r="529" spans="3:11" ht="13">
      <c r="C529" s="46"/>
      <c r="D529" s="46"/>
      <c r="E529" s="46"/>
      <c r="F529" s="46"/>
      <c r="G529" s="46"/>
      <c r="H529" s="47"/>
      <c r="K529" s="46"/>
    </row>
    <row r="530" spans="3:11" ht="13">
      <c r="C530" s="46"/>
      <c r="D530" s="46"/>
      <c r="E530" s="46"/>
      <c r="F530" s="46"/>
      <c r="G530" s="46"/>
      <c r="H530" s="47"/>
      <c r="K530" s="46"/>
    </row>
    <row r="531" spans="3:11" ht="13">
      <c r="C531" s="46"/>
      <c r="D531" s="46"/>
      <c r="E531" s="46"/>
      <c r="F531" s="46"/>
      <c r="G531" s="46"/>
      <c r="H531" s="47"/>
      <c r="K531" s="46"/>
    </row>
    <row r="532" spans="3:11" ht="13">
      <c r="C532" s="46"/>
      <c r="D532" s="46"/>
      <c r="E532" s="46"/>
      <c r="F532" s="46"/>
      <c r="G532" s="46"/>
      <c r="H532" s="47"/>
      <c r="K532" s="46"/>
    </row>
    <row r="533" spans="3:11" ht="13">
      <c r="C533" s="46"/>
      <c r="D533" s="46"/>
      <c r="E533" s="46"/>
      <c r="F533" s="46"/>
      <c r="G533" s="46"/>
      <c r="H533" s="47"/>
      <c r="K533" s="46"/>
    </row>
    <row r="534" spans="3:11" ht="13">
      <c r="C534" s="46"/>
      <c r="D534" s="46"/>
      <c r="E534" s="46"/>
      <c r="F534" s="46"/>
      <c r="G534" s="46"/>
      <c r="H534" s="47"/>
      <c r="K534" s="46"/>
    </row>
    <row r="535" spans="3:11" ht="13">
      <c r="C535" s="46"/>
      <c r="D535" s="46"/>
      <c r="E535" s="46"/>
      <c r="F535" s="46"/>
      <c r="G535" s="46"/>
      <c r="H535" s="47"/>
      <c r="K535" s="46"/>
    </row>
    <row r="536" spans="3:11" ht="13">
      <c r="C536" s="46"/>
      <c r="D536" s="46"/>
      <c r="E536" s="46"/>
      <c r="F536" s="46"/>
      <c r="G536" s="46"/>
      <c r="H536" s="47"/>
      <c r="K536" s="46"/>
    </row>
    <row r="537" spans="3:11" ht="13">
      <c r="C537" s="46"/>
      <c r="D537" s="46"/>
      <c r="E537" s="46"/>
      <c r="F537" s="46"/>
      <c r="G537" s="46"/>
      <c r="H537" s="47"/>
      <c r="K537" s="46"/>
    </row>
    <row r="538" spans="3:11" ht="13">
      <c r="C538" s="46"/>
      <c r="D538" s="46"/>
      <c r="E538" s="46"/>
      <c r="F538" s="46"/>
      <c r="G538" s="46"/>
      <c r="H538" s="47"/>
      <c r="K538" s="46"/>
    </row>
    <row r="539" spans="3:11" ht="13">
      <c r="C539" s="46"/>
      <c r="D539" s="46"/>
      <c r="E539" s="46"/>
      <c r="F539" s="46"/>
      <c r="G539" s="46"/>
      <c r="H539" s="47"/>
      <c r="K539" s="46"/>
    </row>
    <row r="540" spans="3:11" ht="13">
      <c r="C540" s="46"/>
      <c r="D540" s="46"/>
      <c r="E540" s="46"/>
      <c r="F540" s="46"/>
      <c r="G540" s="46"/>
      <c r="H540" s="47"/>
      <c r="K540" s="46"/>
    </row>
    <row r="541" spans="3:11" ht="13">
      <c r="C541" s="46"/>
      <c r="D541" s="46"/>
      <c r="E541" s="46"/>
      <c r="F541" s="46"/>
      <c r="G541" s="46"/>
      <c r="H541" s="47"/>
      <c r="K541" s="46"/>
    </row>
    <row r="542" spans="3:11" ht="13">
      <c r="C542" s="46"/>
      <c r="D542" s="46"/>
      <c r="E542" s="46"/>
      <c r="F542" s="46"/>
      <c r="G542" s="46"/>
      <c r="H542" s="47"/>
      <c r="K542" s="46"/>
    </row>
    <row r="543" spans="3:11" ht="13">
      <c r="C543" s="46"/>
      <c r="D543" s="46"/>
      <c r="E543" s="46"/>
      <c r="F543" s="46"/>
      <c r="G543" s="46"/>
      <c r="H543" s="47"/>
      <c r="K543" s="46"/>
    </row>
    <row r="544" spans="3:11" ht="13">
      <c r="C544" s="46"/>
      <c r="D544" s="46"/>
      <c r="E544" s="46"/>
      <c r="F544" s="46"/>
      <c r="G544" s="46"/>
      <c r="H544" s="47"/>
      <c r="K544" s="46"/>
    </row>
    <row r="545" spans="3:11" ht="13">
      <c r="C545" s="46"/>
      <c r="D545" s="46"/>
      <c r="E545" s="46"/>
      <c r="F545" s="46"/>
      <c r="G545" s="46"/>
      <c r="H545" s="47"/>
      <c r="K545" s="46"/>
    </row>
    <row r="546" spans="3:11" ht="13">
      <c r="C546" s="46"/>
      <c r="D546" s="46"/>
      <c r="E546" s="46"/>
      <c r="F546" s="46"/>
      <c r="G546" s="46"/>
      <c r="H546" s="47"/>
      <c r="K546" s="46"/>
    </row>
    <row r="547" spans="3:11" ht="13">
      <c r="C547" s="46"/>
      <c r="D547" s="46"/>
      <c r="E547" s="46"/>
      <c r="F547" s="46"/>
      <c r="G547" s="46"/>
      <c r="H547" s="47"/>
      <c r="K547" s="46"/>
    </row>
    <row r="548" spans="3:11" ht="13">
      <c r="C548" s="46"/>
      <c r="D548" s="46"/>
      <c r="E548" s="46"/>
      <c r="F548" s="46"/>
      <c r="G548" s="46"/>
      <c r="H548" s="47"/>
      <c r="K548" s="46"/>
    </row>
    <row r="549" spans="3:11" ht="13">
      <c r="C549" s="46"/>
      <c r="D549" s="46"/>
      <c r="E549" s="46"/>
      <c r="F549" s="46"/>
      <c r="G549" s="46"/>
      <c r="H549" s="47"/>
      <c r="K549" s="46"/>
    </row>
    <row r="550" spans="3:11" ht="13">
      <c r="C550" s="46"/>
      <c r="D550" s="46"/>
      <c r="E550" s="46"/>
      <c r="F550" s="46"/>
      <c r="G550" s="46"/>
      <c r="H550" s="47"/>
      <c r="K550" s="46"/>
    </row>
    <row r="551" spans="3:11" ht="13">
      <c r="C551" s="46"/>
      <c r="D551" s="46"/>
      <c r="E551" s="46"/>
      <c r="F551" s="46"/>
      <c r="G551" s="46"/>
      <c r="H551" s="47"/>
      <c r="K551" s="46"/>
    </row>
    <row r="552" spans="3:11" ht="13">
      <c r="C552" s="46"/>
      <c r="D552" s="46"/>
      <c r="E552" s="46"/>
      <c r="F552" s="46"/>
      <c r="G552" s="46"/>
      <c r="H552" s="47"/>
      <c r="K552" s="46"/>
    </row>
    <row r="553" spans="3:11" ht="13">
      <c r="C553" s="46"/>
      <c r="D553" s="46"/>
      <c r="E553" s="46"/>
      <c r="F553" s="46"/>
      <c r="G553" s="46"/>
      <c r="H553" s="47"/>
      <c r="K553" s="46"/>
    </row>
    <row r="554" spans="3:11" ht="13">
      <c r="C554" s="46"/>
      <c r="D554" s="46"/>
      <c r="E554" s="46"/>
      <c r="F554" s="46"/>
      <c r="G554" s="46"/>
      <c r="H554" s="47"/>
      <c r="K554" s="46"/>
    </row>
    <row r="555" spans="3:11" ht="13">
      <c r="C555" s="46"/>
      <c r="D555" s="46"/>
      <c r="E555" s="46"/>
      <c r="F555" s="46"/>
      <c r="G555" s="46"/>
      <c r="H555" s="47"/>
      <c r="K555" s="46"/>
    </row>
    <row r="556" spans="3:11" ht="13">
      <c r="C556" s="46"/>
      <c r="D556" s="46"/>
      <c r="E556" s="46"/>
      <c r="F556" s="46"/>
      <c r="G556" s="46"/>
      <c r="H556" s="47"/>
      <c r="K556" s="46"/>
    </row>
    <row r="557" spans="3:11" ht="13">
      <c r="C557" s="46"/>
      <c r="D557" s="46"/>
      <c r="E557" s="46"/>
      <c r="F557" s="46"/>
      <c r="G557" s="46"/>
      <c r="H557" s="47"/>
      <c r="K557" s="46"/>
    </row>
    <row r="558" spans="3:11" ht="13">
      <c r="C558" s="46"/>
      <c r="D558" s="46"/>
      <c r="E558" s="46"/>
      <c r="F558" s="46"/>
      <c r="G558" s="46"/>
      <c r="H558" s="47"/>
      <c r="K558" s="46"/>
    </row>
    <row r="559" spans="3:11" ht="13">
      <c r="C559" s="46"/>
      <c r="D559" s="46"/>
      <c r="E559" s="46"/>
      <c r="F559" s="46"/>
      <c r="G559" s="46"/>
      <c r="H559" s="47"/>
      <c r="K559" s="46"/>
    </row>
    <row r="560" spans="3:11" ht="13">
      <c r="C560" s="46"/>
      <c r="D560" s="46"/>
      <c r="E560" s="46"/>
      <c r="F560" s="46"/>
      <c r="G560" s="46"/>
      <c r="H560" s="47"/>
      <c r="K560" s="46"/>
    </row>
    <row r="561" spans="3:11" ht="13">
      <c r="C561" s="46"/>
      <c r="D561" s="46"/>
      <c r="E561" s="46"/>
      <c r="F561" s="46"/>
      <c r="G561" s="46"/>
      <c r="H561" s="47"/>
      <c r="K561" s="46"/>
    </row>
    <row r="562" spans="3:11" ht="13">
      <c r="C562" s="46"/>
      <c r="D562" s="46"/>
      <c r="E562" s="46"/>
      <c r="F562" s="46"/>
      <c r="G562" s="46"/>
      <c r="H562" s="47"/>
      <c r="K562" s="46"/>
    </row>
    <row r="563" spans="3:11" ht="13">
      <c r="C563" s="46"/>
      <c r="D563" s="46"/>
      <c r="E563" s="46"/>
      <c r="F563" s="46"/>
      <c r="G563" s="46"/>
      <c r="H563" s="47"/>
      <c r="K563" s="46"/>
    </row>
    <row r="564" spans="3:11" ht="13">
      <c r="C564" s="46"/>
      <c r="D564" s="46"/>
      <c r="E564" s="46"/>
      <c r="F564" s="46"/>
      <c r="G564" s="46"/>
      <c r="H564" s="47"/>
      <c r="K564" s="46"/>
    </row>
    <row r="565" spans="3:11" ht="13">
      <c r="C565" s="46"/>
      <c r="D565" s="46"/>
      <c r="E565" s="46"/>
      <c r="F565" s="46"/>
      <c r="G565" s="46"/>
      <c r="H565" s="47"/>
      <c r="K565" s="46"/>
    </row>
    <row r="566" spans="3:11" ht="13">
      <c r="C566" s="46"/>
      <c r="D566" s="46"/>
      <c r="E566" s="46"/>
      <c r="F566" s="46"/>
      <c r="G566" s="46"/>
      <c r="H566" s="47"/>
      <c r="K566" s="46"/>
    </row>
    <row r="567" spans="3:11" ht="13">
      <c r="C567" s="46"/>
      <c r="D567" s="46"/>
      <c r="E567" s="46"/>
      <c r="F567" s="46"/>
      <c r="G567" s="46"/>
      <c r="H567" s="47"/>
      <c r="K567" s="46"/>
    </row>
    <row r="568" spans="3:11" ht="13">
      <c r="C568" s="46"/>
      <c r="D568" s="46"/>
      <c r="E568" s="46"/>
      <c r="F568" s="46"/>
      <c r="G568" s="46"/>
      <c r="H568" s="47"/>
      <c r="K568" s="46"/>
    </row>
    <row r="569" spans="3:11" ht="13">
      <c r="C569" s="46"/>
      <c r="D569" s="46"/>
      <c r="E569" s="46"/>
      <c r="F569" s="46"/>
      <c r="G569" s="46"/>
      <c r="H569" s="47"/>
      <c r="K569" s="46"/>
    </row>
    <row r="570" spans="3:11" ht="13">
      <c r="C570" s="46"/>
      <c r="D570" s="46"/>
      <c r="E570" s="46"/>
      <c r="F570" s="46"/>
      <c r="G570" s="46"/>
      <c r="H570" s="47"/>
      <c r="K570" s="46"/>
    </row>
    <row r="571" spans="3:11" ht="13">
      <c r="C571" s="46"/>
      <c r="D571" s="46"/>
      <c r="E571" s="46"/>
      <c r="F571" s="46"/>
      <c r="G571" s="46"/>
      <c r="H571" s="47"/>
      <c r="K571" s="46"/>
    </row>
    <row r="572" spans="3:11" ht="13">
      <c r="C572" s="46"/>
      <c r="D572" s="46"/>
      <c r="E572" s="46"/>
      <c r="F572" s="46"/>
      <c r="G572" s="46"/>
      <c r="H572" s="47"/>
      <c r="K572" s="46"/>
    </row>
    <row r="573" spans="3:11" ht="13">
      <c r="C573" s="46"/>
      <c r="D573" s="46"/>
      <c r="E573" s="46"/>
      <c r="F573" s="46"/>
      <c r="G573" s="46"/>
      <c r="H573" s="47"/>
      <c r="K573" s="46"/>
    </row>
    <row r="574" spans="3:11" ht="13">
      <c r="C574" s="46"/>
      <c r="D574" s="46"/>
      <c r="E574" s="46"/>
      <c r="F574" s="46"/>
      <c r="G574" s="46"/>
      <c r="H574" s="47"/>
      <c r="K574" s="46"/>
    </row>
    <row r="575" spans="3:11" ht="13">
      <c r="C575" s="46"/>
      <c r="D575" s="46"/>
      <c r="E575" s="46"/>
      <c r="F575" s="46"/>
      <c r="G575" s="46"/>
      <c r="H575" s="47"/>
      <c r="K575" s="46"/>
    </row>
    <row r="576" spans="3:11" ht="13">
      <c r="C576" s="46"/>
      <c r="D576" s="46"/>
      <c r="E576" s="46"/>
      <c r="F576" s="46"/>
      <c r="G576" s="46"/>
      <c r="H576" s="47"/>
      <c r="K576" s="46"/>
    </row>
    <row r="577" spans="3:11" ht="13">
      <c r="C577" s="46"/>
      <c r="D577" s="46"/>
      <c r="E577" s="46"/>
      <c r="F577" s="46"/>
      <c r="G577" s="46"/>
      <c r="H577" s="47"/>
      <c r="K577" s="46"/>
    </row>
    <row r="578" spans="3:11" ht="13">
      <c r="C578" s="46"/>
      <c r="D578" s="46"/>
      <c r="E578" s="46"/>
      <c r="F578" s="46"/>
      <c r="G578" s="46"/>
      <c r="H578" s="47"/>
      <c r="K578" s="46"/>
    </row>
    <row r="579" spans="3:11" ht="13">
      <c r="C579" s="46"/>
      <c r="D579" s="46"/>
      <c r="E579" s="46"/>
      <c r="F579" s="46"/>
      <c r="G579" s="46"/>
      <c r="H579" s="47"/>
      <c r="K579" s="46"/>
    </row>
    <row r="580" spans="3:11" ht="13">
      <c r="C580" s="46"/>
      <c r="D580" s="46"/>
      <c r="E580" s="46"/>
      <c r="F580" s="46"/>
      <c r="G580" s="46"/>
      <c r="H580" s="47"/>
      <c r="K580" s="46"/>
    </row>
    <row r="581" spans="3:11" ht="13">
      <c r="C581" s="46"/>
      <c r="D581" s="46"/>
      <c r="E581" s="46"/>
      <c r="F581" s="46"/>
      <c r="G581" s="46"/>
      <c r="H581" s="47"/>
      <c r="K581" s="46"/>
    </row>
    <row r="582" spans="3:11" ht="13">
      <c r="C582" s="46"/>
      <c r="D582" s="46"/>
      <c r="E582" s="46"/>
      <c r="F582" s="46"/>
      <c r="G582" s="46"/>
      <c r="H582" s="47"/>
      <c r="K582" s="46"/>
    </row>
    <row r="583" spans="3:11" ht="13">
      <c r="C583" s="46"/>
      <c r="D583" s="46"/>
      <c r="E583" s="46"/>
      <c r="F583" s="46"/>
      <c r="G583" s="46"/>
      <c r="H583" s="47"/>
      <c r="K583" s="46"/>
    </row>
    <row r="584" spans="3:11" ht="13">
      <c r="C584" s="46"/>
      <c r="D584" s="46"/>
      <c r="E584" s="46"/>
      <c r="F584" s="46"/>
      <c r="G584" s="46"/>
      <c r="H584" s="47"/>
      <c r="K584" s="46"/>
    </row>
    <row r="585" spans="3:11" ht="13">
      <c r="C585" s="46"/>
      <c r="D585" s="46"/>
      <c r="E585" s="46"/>
      <c r="F585" s="46"/>
      <c r="G585" s="46"/>
      <c r="H585" s="47"/>
      <c r="K585" s="46"/>
    </row>
    <row r="586" spans="3:11" ht="13">
      <c r="C586" s="46"/>
      <c r="D586" s="46"/>
      <c r="E586" s="46"/>
      <c r="F586" s="46"/>
      <c r="G586" s="46"/>
      <c r="H586" s="47"/>
      <c r="K586" s="46"/>
    </row>
    <row r="587" spans="3:11" ht="13">
      <c r="C587" s="46"/>
      <c r="D587" s="46"/>
      <c r="E587" s="46"/>
      <c r="F587" s="46"/>
      <c r="G587" s="46"/>
      <c r="H587" s="47"/>
      <c r="K587" s="46"/>
    </row>
    <row r="588" spans="3:11" ht="13">
      <c r="C588" s="46"/>
      <c r="D588" s="46"/>
      <c r="E588" s="46"/>
      <c r="F588" s="46"/>
      <c r="G588" s="46"/>
      <c r="H588" s="47"/>
      <c r="K588" s="46"/>
    </row>
    <row r="589" spans="3:11" ht="13">
      <c r="C589" s="46"/>
      <c r="D589" s="46"/>
      <c r="E589" s="46"/>
      <c r="F589" s="46"/>
      <c r="G589" s="46"/>
      <c r="H589" s="47"/>
      <c r="K589" s="46"/>
    </row>
    <row r="590" spans="3:11" ht="13">
      <c r="C590" s="46"/>
      <c r="D590" s="46"/>
      <c r="E590" s="46"/>
      <c r="F590" s="46"/>
      <c r="G590" s="46"/>
      <c r="H590" s="47"/>
      <c r="K590" s="46"/>
    </row>
    <row r="591" spans="3:11" ht="13">
      <c r="C591" s="46"/>
      <c r="D591" s="46"/>
      <c r="E591" s="46"/>
      <c r="F591" s="46"/>
      <c r="G591" s="46"/>
      <c r="H591" s="47"/>
      <c r="K591" s="46"/>
    </row>
    <row r="592" spans="3:11" ht="13">
      <c r="C592" s="46"/>
      <c r="D592" s="46"/>
      <c r="E592" s="46"/>
      <c r="F592" s="46"/>
      <c r="G592" s="46"/>
      <c r="H592" s="47"/>
      <c r="K592" s="46"/>
    </row>
    <row r="593" spans="3:11" ht="13">
      <c r="C593" s="46"/>
      <c r="D593" s="46"/>
      <c r="E593" s="46"/>
      <c r="F593" s="46"/>
      <c r="G593" s="46"/>
      <c r="H593" s="47"/>
      <c r="K593" s="46"/>
    </row>
    <row r="594" spans="3:11" ht="13">
      <c r="C594" s="46"/>
      <c r="D594" s="46"/>
      <c r="E594" s="46"/>
      <c r="F594" s="46"/>
      <c r="G594" s="46"/>
      <c r="H594" s="47"/>
      <c r="K594" s="46"/>
    </row>
    <row r="595" spans="3:11" ht="13">
      <c r="C595" s="46"/>
      <c r="D595" s="46"/>
      <c r="E595" s="46"/>
      <c r="F595" s="46"/>
      <c r="G595" s="46"/>
      <c r="H595" s="47"/>
      <c r="K595" s="46"/>
    </row>
    <row r="596" spans="3:11" ht="13">
      <c r="C596" s="46"/>
      <c r="D596" s="46"/>
      <c r="E596" s="46"/>
      <c r="F596" s="46"/>
      <c r="G596" s="46"/>
      <c r="H596" s="47"/>
      <c r="K596" s="46"/>
    </row>
    <row r="597" spans="3:11" ht="13">
      <c r="C597" s="46"/>
      <c r="D597" s="46"/>
      <c r="E597" s="46"/>
      <c r="F597" s="46"/>
      <c r="G597" s="46"/>
      <c r="H597" s="47"/>
      <c r="K597" s="46"/>
    </row>
    <row r="598" spans="3:11" ht="13">
      <c r="C598" s="46"/>
      <c r="D598" s="46"/>
      <c r="E598" s="46"/>
      <c r="F598" s="46"/>
      <c r="G598" s="46"/>
      <c r="H598" s="47"/>
      <c r="K598" s="46"/>
    </row>
    <row r="599" spans="3:11" ht="13">
      <c r="C599" s="46"/>
      <c r="D599" s="46"/>
      <c r="E599" s="46"/>
      <c r="F599" s="46"/>
      <c r="G599" s="46"/>
      <c r="H599" s="47"/>
      <c r="K599" s="46"/>
    </row>
    <row r="600" spans="3:11" ht="13">
      <c r="C600" s="46"/>
      <c r="D600" s="46"/>
      <c r="E600" s="46"/>
      <c r="F600" s="46"/>
      <c r="G600" s="46"/>
      <c r="H600" s="47"/>
      <c r="K600" s="46"/>
    </row>
    <row r="601" spans="3:11" ht="13">
      <c r="C601" s="46"/>
      <c r="D601" s="46"/>
      <c r="E601" s="46"/>
      <c r="F601" s="46"/>
      <c r="G601" s="46"/>
      <c r="H601" s="47"/>
      <c r="K601" s="46"/>
    </row>
    <row r="602" spans="3:11" ht="13">
      <c r="C602" s="46"/>
      <c r="D602" s="46"/>
      <c r="E602" s="46"/>
      <c r="F602" s="46"/>
      <c r="G602" s="46"/>
      <c r="H602" s="47"/>
      <c r="K602" s="46"/>
    </row>
    <row r="603" spans="3:11" ht="13">
      <c r="C603" s="46"/>
      <c r="D603" s="46"/>
      <c r="E603" s="46"/>
      <c r="F603" s="46"/>
      <c r="G603" s="46"/>
      <c r="H603" s="47"/>
      <c r="K603" s="46"/>
    </row>
    <row r="604" spans="3:11" ht="13">
      <c r="C604" s="46"/>
      <c r="D604" s="46"/>
      <c r="E604" s="46"/>
      <c r="F604" s="46"/>
      <c r="G604" s="46"/>
      <c r="H604" s="47"/>
      <c r="K604" s="46"/>
    </row>
    <row r="605" spans="3:11" ht="13">
      <c r="C605" s="46"/>
      <c r="D605" s="46"/>
      <c r="E605" s="46"/>
      <c r="F605" s="46"/>
      <c r="G605" s="46"/>
      <c r="H605" s="47"/>
      <c r="K605" s="46"/>
    </row>
    <row r="606" spans="3:11" ht="13">
      <c r="C606" s="46"/>
      <c r="D606" s="46"/>
      <c r="E606" s="46"/>
      <c r="F606" s="46"/>
      <c r="G606" s="46"/>
      <c r="H606" s="47"/>
      <c r="K606" s="46"/>
    </row>
    <row r="607" spans="3:11" ht="13">
      <c r="C607" s="46"/>
      <c r="D607" s="46"/>
      <c r="E607" s="46"/>
      <c r="F607" s="46"/>
      <c r="G607" s="46"/>
      <c r="H607" s="47"/>
      <c r="K607" s="46"/>
    </row>
    <row r="608" spans="3:11" ht="13">
      <c r="C608" s="46"/>
      <c r="D608" s="46"/>
      <c r="E608" s="46"/>
      <c r="F608" s="46"/>
      <c r="G608" s="46"/>
      <c r="H608" s="47"/>
      <c r="K608" s="46"/>
    </row>
    <row r="609" spans="3:11" ht="13">
      <c r="C609" s="46"/>
      <c r="D609" s="46"/>
      <c r="E609" s="46"/>
      <c r="F609" s="46"/>
      <c r="G609" s="46"/>
      <c r="H609" s="47"/>
      <c r="K609" s="46"/>
    </row>
    <row r="610" spans="3:11" ht="13">
      <c r="C610" s="46"/>
      <c r="D610" s="46"/>
      <c r="E610" s="46"/>
      <c r="F610" s="46"/>
      <c r="G610" s="46"/>
      <c r="H610" s="47"/>
      <c r="K610" s="46"/>
    </row>
    <row r="611" spans="3:11" ht="13">
      <c r="C611" s="46"/>
      <c r="D611" s="46"/>
      <c r="E611" s="46"/>
      <c r="F611" s="46"/>
      <c r="G611" s="46"/>
      <c r="H611" s="47"/>
      <c r="K611" s="46"/>
    </row>
    <row r="612" spans="3:11" ht="13">
      <c r="C612" s="46"/>
      <c r="D612" s="46"/>
      <c r="E612" s="46"/>
      <c r="F612" s="46"/>
      <c r="G612" s="46"/>
      <c r="H612" s="47"/>
      <c r="K612" s="46"/>
    </row>
    <row r="613" spans="3:11" ht="13">
      <c r="C613" s="46"/>
      <c r="D613" s="46"/>
      <c r="E613" s="46"/>
      <c r="F613" s="46"/>
      <c r="G613" s="46"/>
      <c r="H613" s="47"/>
      <c r="K613" s="46"/>
    </row>
    <row r="614" spans="3:11" ht="13">
      <c r="C614" s="46"/>
      <c r="D614" s="46"/>
      <c r="E614" s="46"/>
      <c r="F614" s="46"/>
      <c r="G614" s="46"/>
      <c r="H614" s="47"/>
      <c r="K614" s="46"/>
    </row>
    <row r="615" spans="3:11" ht="13">
      <c r="C615" s="46"/>
      <c r="D615" s="46"/>
      <c r="E615" s="46"/>
      <c r="F615" s="46"/>
      <c r="G615" s="46"/>
      <c r="H615" s="47"/>
      <c r="K615" s="46"/>
    </row>
    <row r="616" spans="3:11" ht="13">
      <c r="C616" s="46"/>
      <c r="D616" s="46"/>
      <c r="E616" s="46"/>
      <c r="F616" s="46"/>
      <c r="G616" s="46"/>
      <c r="H616" s="47"/>
      <c r="K616" s="46"/>
    </row>
    <row r="617" spans="3:11" ht="13">
      <c r="C617" s="46"/>
      <c r="D617" s="46"/>
      <c r="E617" s="46"/>
      <c r="F617" s="46"/>
      <c r="G617" s="46"/>
      <c r="H617" s="47"/>
      <c r="K617" s="46"/>
    </row>
    <row r="618" spans="3:11" ht="13">
      <c r="C618" s="46"/>
      <c r="D618" s="46"/>
      <c r="E618" s="46"/>
      <c r="F618" s="46"/>
      <c r="G618" s="46"/>
      <c r="H618" s="47"/>
      <c r="K618" s="46"/>
    </row>
    <row r="619" spans="3:11" ht="13">
      <c r="C619" s="46"/>
      <c r="D619" s="46"/>
      <c r="E619" s="46"/>
      <c r="F619" s="46"/>
      <c r="G619" s="46"/>
      <c r="H619" s="47"/>
      <c r="K619" s="46"/>
    </row>
    <row r="620" spans="3:11" ht="13">
      <c r="C620" s="46"/>
      <c r="D620" s="46"/>
      <c r="E620" s="46"/>
      <c r="F620" s="46"/>
      <c r="G620" s="46"/>
      <c r="H620" s="47"/>
      <c r="K620" s="46"/>
    </row>
    <row r="621" spans="3:11" ht="13">
      <c r="C621" s="46"/>
      <c r="D621" s="46"/>
      <c r="E621" s="46"/>
      <c r="F621" s="46"/>
      <c r="G621" s="46"/>
      <c r="H621" s="47"/>
      <c r="K621" s="46"/>
    </row>
    <row r="622" spans="3:11" ht="13">
      <c r="C622" s="46"/>
      <c r="D622" s="46"/>
      <c r="E622" s="46"/>
      <c r="F622" s="46"/>
      <c r="G622" s="46"/>
      <c r="H622" s="47"/>
      <c r="K622" s="46"/>
    </row>
    <row r="623" spans="3:11" ht="13">
      <c r="C623" s="46"/>
      <c r="D623" s="46"/>
      <c r="E623" s="46"/>
      <c r="F623" s="46"/>
      <c r="G623" s="46"/>
      <c r="H623" s="47"/>
      <c r="K623" s="46"/>
    </row>
    <row r="624" spans="3:11" ht="13">
      <c r="C624" s="46"/>
      <c r="D624" s="46"/>
      <c r="E624" s="46"/>
      <c r="F624" s="46"/>
      <c r="G624" s="46"/>
      <c r="H624" s="47"/>
      <c r="K624" s="46"/>
    </row>
    <row r="625" spans="3:11" ht="13">
      <c r="C625" s="46"/>
      <c r="D625" s="46"/>
      <c r="E625" s="46"/>
      <c r="F625" s="46"/>
      <c r="G625" s="46"/>
      <c r="H625" s="47"/>
      <c r="K625" s="46"/>
    </row>
    <row r="626" spans="3:11" ht="13">
      <c r="C626" s="46"/>
      <c r="D626" s="46"/>
      <c r="E626" s="46"/>
      <c r="F626" s="46"/>
      <c r="G626" s="46"/>
      <c r="H626" s="47"/>
      <c r="K626" s="46"/>
    </row>
    <row r="627" spans="3:11" ht="13">
      <c r="C627" s="46"/>
      <c r="D627" s="46"/>
      <c r="E627" s="46"/>
      <c r="F627" s="46"/>
      <c r="G627" s="46"/>
      <c r="H627" s="47"/>
      <c r="K627" s="46"/>
    </row>
    <row r="628" spans="3:11" ht="13">
      <c r="C628" s="46"/>
      <c r="D628" s="46"/>
      <c r="E628" s="46"/>
      <c r="F628" s="46"/>
      <c r="G628" s="46"/>
      <c r="H628" s="47"/>
      <c r="K628" s="46"/>
    </row>
    <row r="629" spans="3:11" ht="13">
      <c r="C629" s="46"/>
      <c r="D629" s="46"/>
      <c r="E629" s="46"/>
      <c r="F629" s="46"/>
      <c r="G629" s="46"/>
      <c r="H629" s="47"/>
      <c r="K629" s="46"/>
    </row>
    <row r="630" spans="3:11" ht="13">
      <c r="C630" s="46"/>
      <c r="D630" s="46"/>
      <c r="E630" s="46"/>
      <c r="F630" s="46"/>
      <c r="G630" s="46"/>
      <c r="H630" s="47"/>
      <c r="K630" s="46"/>
    </row>
    <row r="631" spans="3:11" ht="13">
      <c r="C631" s="46"/>
      <c r="D631" s="46"/>
      <c r="E631" s="46"/>
      <c r="F631" s="46"/>
      <c r="G631" s="46"/>
      <c r="H631" s="47"/>
      <c r="K631" s="46"/>
    </row>
    <row r="632" spans="3:11" ht="13">
      <c r="C632" s="46"/>
      <c r="D632" s="46"/>
      <c r="E632" s="46"/>
      <c r="F632" s="46"/>
      <c r="G632" s="46"/>
      <c r="H632" s="47"/>
      <c r="K632" s="46"/>
    </row>
    <row r="633" spans="3:11" ht="13">
      <c r="C633" s="46"/>
      <c r="D633" s="46"/>
      <c r="E633" s="46"/>
      <c r="F633" s="46"/>
      <c r="G633" s="46"/>
      <c r="H633" s="47"/>
      <c r="K633" s="46"/>
    </row>
    <row r="634" spans="3:11" ht="13">
      <c r="C634" s="46"/>
      <c r="D634" s="46"/>
      <c r="E634" s="46"/>
      <c r="F634" s="46"/>
      <c r="G634" s="46"/>
      <c r="H634" s="47"/>
      <c r="K634" s="46"/>
    </row>
    <row r="635" spans="3:11" ht="13">
      <c r="C635" s="46"/>
      <c r="D635" s="46"/>
      <c r="E635" s="46"/>
      <c r="F635" s="46"/>
      <c r="G635" s="46"/>
      <c r="H635" s="47"/>
      <c r="K635" s="46"/>
    </row>
    <row r="636" spans="3:11" ht="13">
      <c r="C636" s="46"/>
      <c r="D636" s="46"/>
      <c r="E636" s="46"/>
      <c r="F636" s="46"/>
      <c r="G636" s="46"/>
      <c r="H636" s="47"/>
      <c r="K636" s="46"/>
    </row>
    <row r="637" spans="3:11" ht="13">
      <c r="C637" s="46"/>
      <c r="D637" s="46"/>
      <c r="E637" s="46"/>
      <c r="F637" s="46"/>
      <c r="G637" s="46"/>
      <c r="H637" s="47"/>
      <c r="K637" s="46"/>
    </row>
    <row r="638" spans="3:11" ht="13">
      <c r="C638" s="46"/>
      <c r="D638" s="46"/>
      <c r="E638" s="46"/>
      <c r="F638" s="46"/>
      <c r="G638" s="46"/>
      <c r="H638" s="47"/>
      <c r="K638" s="46"/>
    </row>
    <row r="639" spans="3:11" ht="13">
      <c r="C639" s="46"/>
      <c r="D639" s="46"/>
      <c r="E639" s="46"/>
      <c r="F639" s="46"/>
      <c r="G639" s="46"/>
      <c r="H639" s="47"/>
      <c r="K639" s="46"/>
    </row>
    <row r="640" spans="3:11" ht="13">
      <c r="C640" s="46"/>
      <c r="D640" s="46"/>
      <c r="E640" s="46"/>
      <c r="F640" s="46"/>
      <c r="G640" s="46"/>
      <c r="H640" s="47"/>
      <c r="K640" s="46"/>
    </row>
    <row r="641" spans="3:11" ht="13">
      <c r="C641" s="46"/>
      <c r="D641" s="46"/>
      <c r="E641" s="46"/>
      <c r="F641" s="46"/>
      <c r="G641" s="46"/>
      <c r="H641" s="47"/>
      <c r="K641" s="46"/>
    </row>
    <row r="642" spans="3:11" ht="13">
      <c r="C642" s="46"/>
      <c r="D642" s="46"/>
      <c r="E642" s="46"/>
      <c r="F642" s="46"/>
      <c r="G642" s="46"/>
      <c r="H642" s="47"/>
      <c r="K642" s="46"/>
    </row>
    <row r="643" spans="3:11" ht="13">
      <c r="C643" s="46"/>
      <c r="D643" s="46"/>
      <c r="E643" s="46"/>
      <c r="F643" s="46"/>
      <c r="G643" s="46"/>
      <c r="H643" s="47"/>
      <c r="K643" s="46"/>
    </row>
    <row r="644" spans="3:11" ht="13">
      <c r="C644" s="46"/>
      <c r="D644" s="46"/>
      <c r="E644" s="46"/>
      <c r="F644" s="46"/>
      <c r="G644" s="46"/>
      <c r="H644" s="47"/>
      <c r="K644" s="46"/>
    </row>
    <row r="645" spans="3:11" ht="13">
      <c r="C645" s="46"/>
      <c r="D645" s="46"/>
      <c r="E645" s="46"/>
      <c r="F645" s="46"/>
      <c r="G645" s="46"/>
      <c r="H645" s="47"/>
      <c r="K645" s="46"/>
    </row>
    <row r="646" spans="3:11" ht="13">
      <c r="C646" s="46"/>
      <c r="D646" s="46"/>
      <c r="E646" s="46"/>
      <c r="F646" s="46"/>
      <c r="G646" s="46"/>
      <c r="H646" s="47"/>
      <c r="K646" s="46"/>
    </row>
    <row r="647" spans="3:11" ht="13">
      <c r="C647" s="46"/>
      <c r="D647" s="46"/>
      <c r="E647" s="46"/>
      <c r="F647" s="46"/>
      <c r="G647" s="46"/>
      <c r="H647" s="47"/>
      <c r="K647" s="46"/>
    </row>
    <row r="648" spans="3:11" ht="13">
      <c r="C648" s="46"/>
      <c r="D648" s="46"/>
      <c r="E648" s="46"/>
      <c r="F648" s="46"/>
      <c r="G648" s="46"/>
      <c r="H648" s="47"/>
      <c r="K648" s="46"/>
    </row>
    <row r="649" spans="3:11" ht="13">
      <c r="C649" s="46"/>
      <c r="D649" s="46"/>
      <c r="E649" s="46"/>
      <c r="F649" s="46"/>
      <c r="G649" s="46"/>
      <c r="H649" s="47"/>
      <c r="K649" s="46"/>
    </row>
    <row r="650" spans="3:11" ht="13">
      <c r="C650" s="46"/>
      <c r="D650" s="46"/>
      <c r="E650" s="46"/>
      <c r="F650" s="46"/>
      <c r="G650" s="46"/>
      <c r="H650" s="47"/>
      <c r="K650" s="46"/>
    </row>
    <row r="651" spans="3:11" ht="13">
      <c r="C651" s="46"/>
      <c r="D651" s="46"/>
      <c r="E651" s="46"/>
      <c r="F651" s="46"/>
      <c r="G651" s="46"/>
      <c r="H651" s="47"/>
      <c r="K651" s="46"/>
    </row>
    <row r="652" spans="3:11" ht="13">
      <c r="C652" s="46"/>
      <c r="D652" s="46"/>
      <c r="E652" s="46"/>
      <c r="F652" s="46"/>
      <c r="G652" s="46"/>
      <c r="H652" s="47"/>
      <c r="K652" s="46"/>
    </row>
    <row r="653" spans="3:11" ht="13">
      <c r="C653" s="46"/>
      <c r="D653" s="46"/>
      <c r="E653" s="46"/>
      <c r="F653" s="46"/>
      <c r="G653" s="46"/>
      <c r="H653" s="47"/>
      <c r="K653" s="46"/>
    </row>
    <row r="654" spans="3:11" ht="13">
      <c r="C654" s="46"/>
      <c r="D654" s="46"/>
      <c r="E654" s="46"/>
      <c r="F654" s="46"/>
      <c r="G654" s="46"/>
      <c r="H654" s="47"/>
      <c r="K654" s="46"/>
    </row>
    <row r="655" spans="3:11" ht="13">
      <c r="C655" s="46"/>
      <c r="D655" s="46"/>
      <c r="E655" s="46"/>
      <c r="F655" s="46"/>
      <c r="G655" s="46"/>
      <c r="H655" s="47"/>
      <c r="K655" s="46"/>
    </row>
    <row r="656" spans="3:11" ht="13">
      <c r="C656" s="46"/>
      <c r="D656" s="46"/>
      <c r="E656" s="46"/>
      <c r="F656" s="46"/>
      <c r="G656" s="46"/>
      <c r="H656" s="47"/>
      <c r="K656" s="46"/>
    </row>
    <row r="657" spans="3:11" ht="13">
      <c r="C657" s="46"/>
      <c r="D657" s="46"/>
      <c r="E657" s="46"/>
      <c r="F657" s="46"/>
      <c r="G657" s="46"/>
      <c r="H657" s="47"/>
      <c r="K657" s="46"/>
    </row>
    <row r="658" spans="3:11" ht="13">
      <c r="C658" s="46"/>
      <c r="D658" s="46"/>
      <c r="E658" s="46"/>
      <c r="F658" s="46"/>
      <c r="G658" s="46"/>
      <c r="H658" s="47"/>
      <c r="K658" s="46"/>
    </row>
    <row r="659" spans="3:11" ht="13">
      <c r="C659" s="46"/>
      <c r="D659" s="46"/>
      <c r="E659" s="46"/>
      <c r="F659" s="46"/>
      <c r="G659" s="46"/>
      <c r="H659" s="47"/>
      <c r="K659" s="46"/>
    </row>
    <row r="660" spans="3:11" ht="13">
      <c r="C660" s="46"/>
      <c r="D660" s="46"/>
      <c r="E660" s="46"/>
      <c r="F660" s="46"/>
      <c r="G660" s="46"/>
      <c r="H660" s="47"/>
      <c r="K660" s="46"/>
    </row>
    <row r="661" spans="3:11" ht="13">
      <c r="C661" s="46"/>
      <c r="D661" s="46"/>
      <c r="E661" s="46"/>
      <c r="F661" s="46"/>
      <c r="G661" s="46"/>
      <c r="H661" s="47"/>
      <c r="K661" s="46"/>
    </row>
    <row r="662" spans="3:11" ht="13">
      <c r="C662" s="46"/>
      <c r="D662" s="46"/>
      <c r="E662" s="46"/>
      <c r="F662" s="46"/>
      <c r="G662" s="46"/>
      <c r="H662" s="47"/>
      <c r="K662" s="46"/>
    </row>
    <row r="663" spans="3:11" ht="13">
      <c r="C663" s="46"/>
      <c r="D663" s="46"/>
      <c r="E663" s="46"/>
      <c r="F663" s="46"/>
      <c r="G663" s="46"/>
      <c r="H663" s="47"/>
      <c r="K663" s="46"/>
    </row>
    <row r="664" spans="3:11" ht="13">
      <c r="C664" s="46"/>
      <c r="D664" s="46"/>
      <c r="E664" s="46"/>
      <c r="F664" s="46"/>
      <c r="G664" s="46"/>
      <c r="H664" s="47"/>
      <c r="K664" s="46"/>
    </row>
    <row r="665" spans="3:11" ht="13">
      <c r="C665" s="46"/>
      <c r="D665" s="46"/>
      <c r="E665" s="46"/>
      <c r="F665" s="46"/>
      <c r="G665" s="46"/>
      <c r="H665" s="47"/>
      <c r="K665" s="46"/>
    </row>
    <row r="666" spans="3:11" ht="13">
      <c r="C666" s="46"/>
      <c r="D666" s="46"/>
      <c r="E666" s="46"/>
      <c r="F666" s="46"/>
      <c r="G666" s="46"/>
      <c r="H666" s="47"/>
      <c r="K666" s="46"/>
    </row>
    <row r="667" spans="3:11" ht="13">
      <c r="C667" s="46"/>
      <c r="D667" s="46"/>
      <c r="E667" s="46"/>
      <c r="F667" s="46"/>
      <c r="G667" s="46"/>
      <c r="H667" s="47"/>
      <c r="K667" s="46"/>
    </row>
    <row r="668" spans="3:11" ht="13">
      <c r="C668" s="46"/>
      <c r="D668" s="46"/>
      <c r="E668" s="46"/>
      <c r="F668" s="46"/>
      <c r="G668" s="46"/>
      <c r="H668" s="47"/>
      <c r="K668" s="46"/>
    </row>
    <row r="669" spans="3:11" ht="13">
      <c r="C669" s="46"/>
      <c r="D669" s="46"/>
      <c r="E669" s="46"/>
      <c r="F669" s="46"/>
      <c r="G669" s="46"/>
      <c r="H669" s="47"/>
      <c r="K669" s="46"/>
    </row>
    <row r="670" spans="3:11" ht="13">
      <c r="C670" s="46"/>
      <c r="D670" s="46"/>
      <c r="E670" s="46"/>
      <c r="F670" s="46"/>
      <c r="G670" s="46"/>
      <c r="H670" s="47"/>
      <c r="K670" s="46"/>
    </row>
    <row r="671" spans="3:11" ht="13">
      <c r="C671" s="46"/>
      <c r="D671" s="46"/>
      <c r="E671" s="46"/>
      <c r="F671" s="46"/>
      <c r="G671" s="46"/>
      <c r="H671" s="47"/>
      <c r="K671" s="46"/>
    </row>
    <row r="672" spans="3:11" ht="13">
      <c r="C672" s="46"/>
      <c r="D672" s="46"/>
      <c r="E672" s="46"/>
      <c r="F672" s="46"/>
      <c r="G672" s="46"/>
      <c r="H672" s="47"/>
      <c r="K672" s="46"/>
    </row>
    <row r="673" spans="3:11" ht="13">
      <c r="C673" s="46"/>
      <c r="D673" s="46"/>
      <c r="E673" s="46"/>
      <c r="F673" s="46"/>
      <c r="G673" s="46"/>
      <c r="H673" s="47"/>
      <c r="K673" s="46"/>
    </row>
    <row r="674" spans="3:11" ht="13">
      <c r="C674" s="46"/>
      <c r="D674" s="46"/>
      <c r="E674" s="46"/>
      <c r="F674" s="46"/>
      <c r="G674" s="46"/>
      <c r="H674" s="47"/>
      <c r="K674" s="46"/>
    </row>
    <row r="675" spans="3:11" ht="13">
      <c r="C675" s="46"/>
      <c r="D675" s="46"/>
      <c r="E675" s="46"/>
      <c r="F675" s="46"/>
      <c r="G675" s="46"/>
      <c r="H675" s="47"/>
      <c r="K675" s="46"/>
    </row>
    <row r="676" spans="3:11" ht="13">
      <c r="C676" s="46"/>
      <c r="D676" s="46"/>
      <c r="E676" s="46"/>
      <c r="F676" s="46"/>
      <c r="G676" s="46"/>
      <c r="H676" s="47"/>
      <c r="K676" s="46"/>
    </row>
    <row r="677" spans="3:11" ht="13">
      <c r="C677" s="46"/>
      <c r="D677" s="46"/>
      <c r="E677" s="46"/>
      <c r="F677" s="46"/>
      <c r="G677" s="46"/>
      <c r="H677" s="47"/>
      <c r="K677" s="46"/>
    </row>
    <row r="678" spans="3:11" ht="13">
      <c r="C678" s="46"/>
      <c r="D678" s="46"/>
      <c r="E678" s="46"/>
      <c r="F678" s="46"/>
      <c r="G678" s="46"/>
      <c r="H678" s="47"/>
      <c r="K678" s="46"/>
    </row>
    <row r="679" spans="3:11" ht="13">
      <c r="C679" s="46"/>
      <c r="D679" s="46"/>
      <c r="E679" s="46"/>
      <c r="F679" s="46"/>
      <c r="G679" s="46"/>
      <c r="H679" s="47"/>
      <c r="K679" s="46"/>
    </row>
    <row r="680" spans="3:11" ht="13">
      <c r="C680" s="46"/>
      <c r="D680" s="46"/>
      <c r="E680" s="46"/>
      <c r="F680" s="46"/>
      <c r="G680" s="46"/>
      <c r="H680" s="47"/>
      <c r="K680" s="46"/>
    </row>
    <row r="681" spans="3:11" ht="13">
      <c r="C681" s="46"/>
      <c r="D681" s="46"/>
      <c r="E681" s="46"/>
      <c r="F681" s="46"/>
      <c r="G681" s="46"/>
      <c r="H681" s="47"/>
      <c r="K681" s="46"/>
    </row>
    <row r="682" spans="3:11" ht="13">
      <c r="C682" s="46"/>
      <c r="D682" s="46"/>
      <c r="E682" s="46"/>
      <c r="F682" s="46"/>
      <c r="G682" s="46"/>
      <c r="H682" s="47"/>
      <c r="K682" s="46"/>
    </row>
    <row r="683" spans="3:11" ht="13">
      <c r="C683" s="46"/>
      <c r="D683" s="46"/>
      <c r="E683" s="46"/>
      <c r="F683" s="46"/>
      <c r="G683" s="46"/>
      <c r="H683" s="47"/>
      <c r="K683" s="46"/>
    </row>
    <row r="684" spans="3:11" ht="13">
      <c r="C684" s="46"/>
      <c r="D684" s="46"/>
      <c r="E684" s="46"/>
      <c r="F684" s="46"/>
      <c r="G684" s="46"/>
      <c r="H684" s="47"/>
      <c r="K684" s="46"/>
    </row>
    <row r="685" spans="3:11" ht="13">
      <c r="C685" s="46"/>
      <c r="D685" s="46"/>
      <c r="E685" s="46"/>
      <c r="F685" s="46"/>
      <c r="G685" s="46"/>
      <c r="H685" s="47"/>
      <c r="K685" s="46"/>
    </row>
    <row r="686" spans="3:11" ht="13">
      <c r="C686" s="46"/>
      <c r="D686" s="46"/>
      <c r="E686" s="46"/>
      <c r="F686" s="46"/>
      <c r="G686" s="46"/>
      <c r="H686" s="47"/>
      <c r="K686" s="46"/>
    </row>
    <row r="687" spans="3:11" ht="13">
      <c r="C687" s="46"/>
      <c r="D687" s="46"/>
      <c r="E687" s="46"/>
      <c r="F687" s="46"/>
      <c r="G687" s="46"/>
      <c r="H687" s="47"/>
      <c r="K687" s="46"/>
    </row>
    <row r="688" spans="3:11" ht="13">
      <c r="C688" s="46"/>
      <c r="D688" s="46"/>
      <c r="E688" s="46"/>
      <c r="F688" s="46"/>
      <c r="G688" s="46"/>
      <c r="H688" s="47"/>
      <c r="K688" s="46"/>
    </row>
    <row r="689" spans="3:11" ht="13">
      <c r="C689" s="46"/>
      <c r="D689" s="46"/>
      <c r="E689" s="46"/>
      <c r="F689" s="46"/>
      <c r="G689" s="46"/>
      <c r="H689" s="47"/>
      <c r="K689" s="46"/>
    </row>
    <row r="690" spans="3:11" ht="13">
      <c r="C690" s="46"/>
      <c r="D690" s="46"/>
      <c r="E690" s="46"/>
      <c r="F690" s="46"/>
      <c r="G690" s="46"/>
      <c r="H690" s="47"/>
      <c r="K690" s="46"/>
    </row>
    <row r="691" spans="3:11" ht="13">
      <c r="C691" s="46"/>
      <c r="D691" s="46"/>
      <c r="E691" s="46"/>
      <c r="F691" s="46"/>
      <c r="G691" s="46"/>
      <c r="H691" s="47"/>
      <c r="K691" s="46"/>
    </row>
    <row r="692" spans="3:11" ht="13">
      <c r="C692" s="46"/>
      <c r="D692" s="46"/>
      <c r="E692" s="46"/>
      <c r="F692" s="46"/>
      <c r="G692" s="46"/>
      <c r="H692" s="47"/>
      <c r="K692" s="46"/>
    </row>
    <row r="693" spans="3:11" ht="13">
      <c r="C693" s="46"/>
      <c r="D693" s="46"/>
      <c r="E693" s="46"/>
      <c r="F693" s="46"/>
      <c r="G693" s="46"/>
      <c r="H693" s="47"/>
      <c r="K693" s="46"/>
    </row>
    <row r="694" spans="3:11" ht="13">
      <c r="C694" s="46"/>
      <c r="D694" s="46"/>
      <c r="E694" s="46"/>
      <c r="F694" s="46"/>
      <c r="G694" s="46"/>
      <c r="H694" s="47"/>
      <c r="K694" s="46"/>
    </row>
    <row r="695" spans="3:11" ht="13">
      <c r="C695" s="46"/>
      <c r="D695" s="46"/>
      <c r="E695" s="46"/>
      <c r="F695" s="46"/>
      <c r="G695" s="46"/>
      <c r="H695" s="47"/>
      <c r="K695" s="46"/>
    </row>
    <row r="696" spans="3:11" ht="13">
      <c r="C696" s="46"/>
      <c r="D696" s="46"/>
      <c r="E696" s="46"/>
      <c r="F696" s="46"/>
      <c r="G696" s="46"/>
      <c r="H696" s="47"/>
      <c r="K696" s="46"/>
    </row>
    <row r="697" spans="3:11" ht="13">
      <c r="C697" s="46"/>
      <c r="D697" s="46"/>
      <c r="E697" s="46"/>
      <c r="F697" s="46"/>
      <c r="G697" s="46"/>
      <c r="H697" s="47"/>
      <c r="K697" s="46"/>
    </row>
    <row r="698" spans="3:11" ht="13">
      <c r="C698" s="46"/>
      <c r="D698" s="46"/>
      <c r="E698" s="46"/>
      <c r="F698" s="46"/>
      <c r="G698" s="46"/>
      <c r="H698" s="47"/>
      <c r="K698" s="46"/>
    </row>
    <row r="699" spans="3:11" ht="13">
      <c r="C699" s="46"/>
      <c r="D699" s="46"/>
      <c r="E699" s="46"/>
      <c r="F699" s="46"/>
      <c r="G699" s="46"/>
      <c r="H699" s="47"/>
      <c r="K699" s="46"/>
    </row>
    <row r="700" spans="3:11" ht="13">
      <c r="C700" s="46"/>
      <c r="D700" s="46"/>
      <c r="E700" s="46"/>
      <c r="F700" s="46"/>
      <c r="G700" s="46"/>
      <c r="H700" s="47"/>
      <c r="K700" s="46"/>
    </row>
    <row r="701" spans="3:11" ht="13">
      <c r="C701" s="46"/>
      <c r="D701" s="46"/>
      <c r="E701" s="46"/>
      <c r="F701" s="46"/>
      <c r="G701" s="46"/>
      <c r="H701" s="47"/>
      <c r="K701" s="46"/>
    </row>
    <row r="702" spans="3:11" ht="13">
      <c r="C702" s="46"/>
      <c r="D702" s="46"/>
      <c r="E702" s="46"/>
      <c r="F702" s="46"/>
      <c r="G702" s="46"/>
      <c r="H702" s="47"/>
      <c r="K702" s="46"/>
    </row>
    <row r="703" spans="3:11" ht="13">
      <c r="C703" s="46"/>
      <c r="D703" s="46"/>
      <c r="E703" s="46"/>
      <c r="F703" s="46"/>
      <c r="G703" s="46"/>
      <c r="H703" s="47"/>
      <c r="K703" s="46"/>
    </row>
    <row r="704" spans="3:11" ht="13">
      <c r="C704" s="46"/>
      <c r="D704" s="46"/>
      <c r="E704" s="46"/>
      <c r="F704" s="46"/>
      <c r="G704" s="46"/>
      <c r="H704" s="47"/>
      <c r="K704" s="46"/>
    </row>
    <row r="705" spans="3:11" ht="13">
      <c r="C705" s="46"/>
      <c r="D705" s="46"/>
      <c r="E705" s="46"/>
      <c r="F705" s="46"/>
      <c r="G705" s="46"/>
      <c r="H705" s="47"/>
      <c r="K705" s="46"/>
    </row>
    <row r="706" spans="3:11" ht="13">
      <c r="C706" s="46"/>
      <c r="D706" s="46"/>
      <c r="E706" s="46"/>
      <c r="F706" s="46"/>
      <c r="G706" s="46"/>
      <c r="H706" s="47"/>
      <c r="K706" s="46"/>
    </row>
    <row r="707" spans="3:11" ht="13">
      <c r="C707" s="46"/>
      <c r="D707" s="46"/>
      <c r="E707" s="46"/>
      <c r="F707" s="46"/>
      <c r="G707" s="46"/>
      <c r="H707" s="47"/>
      <c r="K707" s="46"/>
    </row>
    <row r="708" spans="3:11" ht="13">
      <c r="C708" s="46"/>
      <c r="D708" s="46"/>
      <c r="E708" s="46"/>
      <c r="F708" s="46"/>
      <c r="G708" s="46"/>
      <c r="H708" s="47"/>
      <c r="K708" s="46"/>
    </row>
    <row r="709" spans="3:11" ht="13">
      <c r="C709" s="46"/>
      <c r="D709" s="46"/>
      <c r="E709" s="46"/>
      <c r="F709" s="46"/>
      <c r="G709" s="46"/>
      <c r="H709" s="47"/>
      <c r="K709" s="46"/>
    </row>
    <row r="710" spans="3:11" ht="13">
      <c r="C710" s="46"/>
      <c r="D710" s="46"/>
      <c r="E710" s="46"/>
      <c r="F710" s="46"/>
      <c r="G710" s="46"/>
      <c r="H710" s="47"/>
      <c r="K710" s="46"/>
    </row>
    <row r="711" spans="3:11" ht="13">
      <c r="C711" s="46"/>
      <c r="D711" s="46"/>
      <c r="E711" s="46"/>
      <c r="F711" s="46"/>
      <c r="G711" s="46"/>
      <c r="H711" s="47"/>
      <c r="K711" s="46"/>
    </row>
    <row r="712" spans="3:11" ht="13">
      <c r="C712" s="46"/>
      <c r="D712" s="46"/>
      <c r="E712" s="46"/>
      <c r="F712" s="46"/>
      <c r="G712" s="46"/>
      <c r="H712" s="47"/>
      <c r="K712" s="46"/>
    </row>
    <row r="713" spans="3:11" ht="13">
      <c r="C713" s="46"/>
      <c r="D713" s="46"/>
      <c r="E713" s="46"/>
      <c r="F713" s="46"/>
      <c r="G713" s="46"/>
      <c r="H713" s="47"/>
      <c r="K713" s="46"/>
    </row>
    <row r="714" spans="3:11" ht="13">
      <c r="C714" s="46"/>
      <c r="D714" s="46"/>
      <c r="E714" s="46"/>
      <c r="F714" s="46"/>
      <c r="G714" s="46"/>
      <c r="H714" s="47"/>
      <c r="K714" s="46"/>
    </row>
    <row r="715" spans="3:11" ht="13">
      <c r="C715" s="46"/>
      <c r="D715" s="46"/>
      <c r="E715" s="46"/>
      <c r="F715" s="46"/>
      <c r="G715" s="46"/>
      <c r="H715" s="47"/>
      <c r="K715" s="46"/>
    </row>
    <row r="716" spans="3:11" ht="13">
      <c r="C716" s="46"/>
      <c r="D716" s="46"/>
      <c r="E716" s="46"/>
      <c r="F716" s="46"/>
      <c r="G716" s="46"/>
      <c r="H716" s="47"/>
      <c r="K716" s="46"/>
    </row>
    <row r="717" spans="3:11" ht="13">
      <c r="C717" s="46"/>
      <c r="D717" s="46"/>
      <c r="E717" s="46"/>
      <c r="F717" s="46"/>
      <c r="G717" s="46"/>
      <c r="H717" s="47"/>
      <c r="K717" s="46"/>
    </row>
    <row r="718" spans="3:11" ht="13">
      <c r="C718" s="46"/>
      <c r="D718" s="46"/>
      <c r="E718" s="46"/>
      <c r="F718" s="46"/>
      <c r="G718" s="46"/>
      <c r="H718" s="47"/>
      <c r="K718" s="46"/>
    </row>
    <row r="719" spans="3:11" ht="13">
      <c r="C719" s="46"/>
      <c r="D719" s="46"/>
      <c r="E719" s="46"/>
      <c r="F719" s="46"/>
      <c r="G719" s="46"/>
      <c r="H719" s="47"/>
      <c r="K719" s="46"/>
    </row>
    <row r="720" spans="3:11" ht="13">
      <c r="C720" s="46"/>
      <c r="D720" s="46"/>
      <c r="E720" s="46"/>
      <c r="F720" s="46"/>
      <c r="G720" s="46"/>
      <c r="H720" s="47"/>
      <c r="K720" s="46"/>
    </row>
    <row r="721" spans="3:11" ht="13">
      <c r="C721" s="46"/>
      <c r="D721" s="46"/>
      <c r="E721" s="46"/>
      <c r="F721" s="46"/>
      <c r="G721" s="46"/>
      <c r="H721" s="47"/>
      <c r="K721" s="46"/>
    </row>
    <row r="722" spans="3:11" ht="13">
      <c r="C722" s="46"/>
      <c r="D722" s="46"/>
      <c r="E722" s="46"/>
      <c r="F722" s="46"/>
      <c r="G722" s="46"/>
      <c r="H722" s="47"/>
      <c r="K722" s="46"/>
    </row>
    <row r="723" spans="3:11" ht="13">
      <c r="C723" s="46"/>
      <c r="D723" s="46"/>
      <c r="E723" s="46"/>
      <c r="F723" s="46"/>
      <c r="G723" s="46"/>
      <c r="H723" s="47"/>
      <c r="K723" s="46"/>
    </row>
    <row r="724" spans="3:11" ht="13">
      <c r="C724" s="46"/>
      <c r="D724" s="46"/>
      <c r="E724" s="46"/>
      <c r="F724" s="46"/>
      <c r="G724" s="46"/>
      <c r="H724" s="47"/>
      <c r="K724" s="46"/>
    </row>
    <row r="725" spans="3:11" ht="13">
      <c r="C725" s="46"/>
      <c r="D725" s="46"/>
      <c r="E725" s="46"/>
      <c r="F725" s="46"/>
      <c r="G725" s="46"/>
      <c r="H725" s="47"/>
      <c r="K725" s="46"/>
    </row>
    <row r="726" spans="3:11" ht="13">
      <c r="C726" s="46"/>
      <c r="D726" s="46"/>
      <c r="E726" s="46"/>
      <c r="F726" s="46"/>
      <c r="G726" s="46"/>
      <c r="H726" s="47"/>
      <c r="K726" s="46"/>
    </row>
    <row r="727" spans="3:11" ht="13">
      <c r="C727" s="46"/>
      <c r="D727" s="46"/>
      <c r="E727" s="46"/>
      <c r="F727" s="46"/>
      <c r="G727" s="46"/>
      <c r="H727" s="47"/>
      <c r="K727" s="46"/>
    </row>
    <row r="728" spans="3:11" ht="13">
      <c r="C728" s="46"/>
      <c r="D728" s="46"/>
      <c r="E728" s="46"/>
      <c r="F728" s="46"/>
      <c r="G728" s="46"/>
      <c r="H728" s="47"/>
      <c r="K728" s="46"/>
    </row>
    <row r="729" spans="3:11" ht="13">
      <c r="C729" s="46"/>
      <c r="D729" s="46"/>
      <c r="E729" s="46"/>
      <c r="F729" s="46"/>
      <c r="G729" s="46"/>
      <c r="H729" s="47"/>
      <c r="K729" s="46"/>
    </row>
    <row r="730" spans="3:11" ht="13">
      <c r="C730" s="46"/>
      <c r="D730" s="46"/>
      <c r="E730" s="46"/>
      <c r="F730" s="46"/>
      <c r="G730" s="46"/>
      <c r="H730" s="47"/>
      <c r="K730" s="46"/>
    </row>
    <row r="731" spans="3:11" ht="13">
      <c r="C731" s="46"/>
      <c r="D731" s="46"/>
      <c r="E731" s="46"/>
      <c r="F731" s="46"/>
      <c r="G731" s="46"/>
      <c r="H731" s="47"/>
      <c r="K731" s="46"/>
    </row>
    <row r="732" spans="3:11" ht="13">
      <c r="C732" s="46"/>
      <c r="D732" s="46"/>
      <c r="E732" s="46"/>
      <c r="F732" s="46"/>
      <c r="G732" s="46"/>
      <c r="H732" s="47"/>
      <c r="K732" s="46"/>
    </row>
    <row r="733" spans="3:11" ht="13">
      <c r="C733" s="46"/>
      <c r="D733" s="46"/>
      <c r="E733" s="46"/>
      <c r="F733" s="46"/>
      <c r="G733" s="46"/>
      <c r="H733" s="47"/>
      <c r="K733" s="46"/>
    </row>
    <row r="734" spans="3:11" ht="13">
      <c r="C734" s="46"/>
      <c r="D734" s="46"/>
      <c r="E734" s="46"/>
      <c r="F734" s="46"/>
      <c r="G734" s="46"/>
      <c r="H734" s="47"/>
      <c r="K734" s="46"/>
    </row>
    <row r="735" spans="3:11" ht="13">
      <c r="C735" s="46"/>
      <c r="D735" s="46"/>
      <c r="E735" s="46"/>
      <c r="F735" s="46"/>
      <c r="G735" s="46"/>
      <c r="H735" s="47"/>
      <c r="K735" s="46"/>
    </row>
    <row r="736" spans="3:11" ht="13">
      <c r="C736" s="46"/>
      <c r="D736" s="46"/>
      <c r="E736" s="46"/>
      <c r="F736" s="46"/>
      <c r="G736" s="46"/>
      <c r="H736" s="47"/>
      <c r="K736" s="46"/>
    </row>
    <row r="737" spans="3:11" ht="13">
      <c r="C737" s="46"/>
      <c r="D737" s="46"/>
      <c r="E737" s="46"/>
      <c r="F737" s="46"/>
      <c r="G737" s="46"/>
      <c r="H737" s="47"/>
      <c r="K737" s="46"/>
    </row>
    <row r="738" spans="3:11" ht="13">
      <c r="C738" s="46"/>
      <c r="D738" s="46"/>
      <c r="E738" s="46"/>
      <c r="F738" s="46"/>
      <c r="G738" s="46"/>
      <c r="H738" s="47"/>
      <c r="K738" s="46"/>
    </row>
    <row r="739" spans="3:11" ht="13">
      <c r="C739" s="46"/>
      <c r="D739" s="46"/>
      <c r="E739" s="46"/>
      <c r="F739" s="46"/>
      <c r="G739" s="46"/>
      <c r="H739" s="47"/>
      <c r="K739" s="46"/>
    </row>
    <row r="740" spans="3:11" ht="13">
      <c r="C740" s="46"/>
      <c r="D740" s="46"/>
      <c r="E740" s="46"/>
      <c r="F740" s="46"/>
      <c r="G740" s="46"/>
      <c r="H740" s="47"/>
      <c r="K740" s="46"/>
    </row>
    <row r="741" spans="3:11" ht="13">
      <c r="C741" s="46"/>
      <c r="D741" s="46"/>
      <c r="E741" s="46"/>
      <c r="F741" s="46"/>
      <c r="G741" s="46"/>
      <c r="H741" s="47"/>
      <c r="K741" s="46"/>
    </row>
    <row r="742" spans="3:11" ht="13">
      <c r="C742" s="46"/>
      <c r="D742" s="46"/>
      <c r="E742" s="46"/>
      <c r="F742" s="46"/>
      <c r="G742" s="46"/>
      <c r="H742" s="47"/>
      <c r="K742" s="46"/>
    </row>
    <row r="743" spans="3:11" ht="13">
      <c r="C743" s="46"/>
      <c r="D743" s="46"/>
      <c r="E743" s="46"/>
      <c r="F743" s="46"/>
      <c r="G743" s="46"/>
      <c r="H743" s="47"/>
      <c r="K743" s="46"/>
    </row>
    <row r="744" spans="3:11" ht="13">
      <c r="C744" s="46"/>
      <c r="D744" s="46"/>
      <c r="E744" s="46"/>
      <c r="F744" s="46"/>
      <c r="G744" s="46"/>
      <c r="H744" s="47"/>
      <c r="K744" s="46"/>
    </row>
    <row r="745" spans="3:11" ht="13">
      <c r="C745" s="46"/>
      <c r="D745" s="46"/>
      <c r="E745" s="46"/>
      <c r="F745" s="46"/>
      <c r="G745" s="46"/>
      <c r="H745" s="47"/>
      <c r="K745" s="46"/>
    </row>
    <row r="746" spans="3:11" ht="13">
      <c r="C746" s="46"/>
      <c r="D746" s="46"/>
      <c r="E746" s="46"/>
      <c r="F746" s="46"/>
      <c r="G746" s="46"/>
      <c r="H746" s="47"/>
      <c r="K746" s="46"/>
    </row>
    <row r="747" spans="3:11" ht="13">
      <c r="C747" s="46"/>
      <c r="D747" s="46"/>
      <c r="E747" s="46"/>
      <c r="F747" s="46"/>
      <c r="G747" s="46"/>
      <c r="H747" s="47"/>
      <c r="K747" s="46"/>
    </row>
    <row r="748" spans="3:11" ht="13">
      <c r="C748" s="46"/>
      <c r="D748" s="46"/>
      <c r="E748" s="46"/>
      <c r="F748" s="46"/>
      <c r="G748" s="46"/>
      <c r="H748" s="47"/>
      <c r="K748" s="46"/>
    </row>
    <row r="749" spans="3:11" ht="13">
      <c r="C749" s="46"/>
      <c r="D749" s="46"/>
      <c r="E749" s="46"/>
      <c r="F749" s="46"/>
      <c r="G749" s="46"/>
      <c r="H749" s="47"/>
      <c r="K749" s="46"/>
    </row>
    <row r="750" spans="3:11" ht="13">
      <c r="C750" s="46"/>
      <c r="D750" s="46"/>
      <c r="E750" s="46"/>
      <c r="F750" s="46"/>
      <c r="G750" s="46"/>
      <c r="H750" s="47"/>
      <c r="K750" s="46"/>
    </row>
    <row r="751" spans="3:11" ht="13">
      <c r="C751" s="46"/>
      <c r="D751" s="46"/>
      <c r="E751" s="46"/>
      <c r="F751" s="46"/>
      <c r="G751" s="46"/>
      <c r="H751" s="47"/>
      <c r="K751" s="46"/>
    </row>
    <row r="752" spans="3:11" ht="13">
      <c r="C752" s="46"/>
      <c r="D752" s="46"/>
      <c r="E752" s="46"/>
      <c r="F752" s="46"/>
      <c r="G752" s="46"/>
      <c r="H752" s="47"/>
      <c r="K752" s="46"/>
    </row>
    <row r="753" spans="3:11" ht="13">
      <c r="C753" s="46"/>
      <c r="D753" s="46"/>
      <c r="E753" s="46"/>
      <c r="F753" s="46"/>
      <c r="G753" s="46"/>
      <c r="H753" s="47"/>
      <c r="K753" s="46"/>
    </row>
    <row r="754" spans="3:11" ht="13">
      <c r="C754" s="46"/>
      <c r="D754" s="46"/>
      <c r="E754" s="46"/>
      <c r="F754" s="46"/>
      <c r="G754" s="46"/>
      <c r="H754" s="47"/>
      <c r="K754" s="46"/>
    </row>
    <row r="755" spans="3:11" ht="13">
      <c r="C755" s="46"/>
      <c r="D755" s="46"/>
      <c r="E755" s="46"/>
      <c r="F755" s="46"/>
      <c r="G755" s="46"/>
      <c r="H755" s="47"/>
      <c r="K755" s="46"/>
    </row>
    <row r="756" spans="3:11" ht="13">
      <c r="C756" s="46"/>
      <c r="D756" s="46"/>
      <c r="E756" s="46"/>
      <c r="F756" s="46"/>
      <c r="G756" s="46"/>
      <c r="H756" s="47"/>
      <c r="K756" s="46"/>
    </row>
    <row r="757" spans="3:11" ht="13">
      <c r="C757" s="46"/>
      <c r="D757" s="46"/>
      <c r="E757" s="46"/>
      <c r="F757" s="46"/>
      <c r="G757" s="46"/>
      <c r="H757" s="47"/>
      <c r="K757" s="46"/>
    </row>
    <row r="758" spans="3:11" ht="13">
      <c r="C758" s="46"/>
      <c r="D758" s="46"/>
      <c r="E758" s="46"/>
      <c r="F758" s="46"/>
      <c r="G758" s="46"/>
      <c r="H758" s="47"/>
      <c r="K758" s="46"/>
    </row>
    <row r="759" spans="3:11" ht="13">
      <c r="C759" s="46"/>
      <c r="D759" s="46"/>
      <c r="E759" s="46"/>
      <c r="F759" s="46"/>
      <c r="G759" s="46"/>
      <c r="H759" s="47"/>
      <c r="K759" s="46"/>
    </row>
    <row r="760" spans="3:11" ht="13">
      <c r="C760" s="46"/>
      <c r="D760" s="46"/>
      <c r="E760" s="46"/>
      <c r="F760" s="46"/>
      <c r="G760" s="46"/>
      <c r="H760" s="47"/>
      <c r="K760" s="46"/>
    </row>
    <row r="761" spans="3:11" ht="13">
      <c r="C761" s="46"/>
      <c r="D761" s="46"/>
      <c r="E761" s="46"/>
      <c r="F761" s="46"/>
      <c r="G761" s="46"/>
      <c r="H761" s="47"/>
      <c r="K761" s="46"/>
    </row>
    <row r="762" spans="3:11" ht="13">
      <c r="C762" s="46"/>
      <c r="D762" s="46"/>
      <c r="E762" s="46"/>
      <c r="F762" s="46"/>
      <c r="G762" s="46"/>
      <c r="H762" s="47"/>
      <c r="K762" s="46"/>
    </row>
    <row r="763" spans="3:11" ht="13">
      <c r="C763" s="46"/>
      <c r="D763" s="46"/>
      <c r="E763" s="46"/>
      <c r="F763" s="46"/>
      <c r="G763" s="46"/>
      <c r="H763" s="47"/>
      <c r="K763" s="46"/>
    </row>
    <row r="764" spans="3:11" ht="13">
      <c r="C764" s="46"/>
      <c r="D764" s="46"/>
      <c r="E764" s="46"/>
      <c r="F764" s="46"/>
      <c r="G764" s="46"/>
      <c r="H764" s="47"/>
      <c r="K764" s="46"/>
    </row>
    <row r="765" spans="3:11" ht="13">
      <c r="C765" s="46"/>
      <c r="D765" s="46"/>
      <c r="E765" s="46"/>
      <c r="F765" s="46"/>
      <c r="G765" s="46"/>
      <c r="H765" s="47"/>
      <c r="K765" s="46"/>
    </row>
    <row r="766" spans="3:11" ht="13">
      <c r="C766" s="46"/>
      <c r="D766" s="46"/>
      <c r="E766" s="46"/>
      <c r="F766" s="46"/>
      <c r="G766" s="46"/>
      <c r="H766" s="47"/>
      <c r="K766" s="46"/>
    </row>
    <row r="767" spans="3:11" ht="13">
      <c r="C767" s="46"/>
      <c r="D767" s="46"/>
      <c r="E767" s="46"/>
      <c r="F767" s="46"/>
      <c r="G767" s="46"/>
      <c r="H767" s="47"/>
      <c r="K767" s="46"/>
    </row>
    <row r="768" spans="3:11" ht="13">
      <c r="C768" s="46"/>
      <c r="D768" s="46"/>
      <c r="E768" s="46"/>
      <c r="F768" s="46"/>
      <c r="G768" s="46"/>
      <c r="H768" s="47"/>
      <c r="K768" s="46"/>
    </row>
    <row r="769" spans="3:11" ht="13">
      <c r="C769" s="46"/>
      <c r="D769" s="46"/>
      <c r="E769" s="46"/>
      <c r="F769" s="46"/>
      <c r="G769" s="46"/>
      <c r="H769" s="47"/>
      <c r="K769" s="46"/>
    </row>
    <row r="770" spans="3:11" ht="13">
      <c r="C770" s="46"/>
      <c r="D770" s="46"/>
      <c r="E770" s="46"/>
      <c r="F770" s="46"/>
      <c r="G770" s="46"/>
      <c r="H770" s="47"/>
      <c r="K770" s="46"/>
    </row>
    <row r="771" spans="3:11" ht="13">
      <c r="C771" s="46"/>
      <c r="D771" s="46"/>
      <c r="E771" s="46"/>
      <c r="F771" s="46"/>
      <c r="G771" s="46"/>
      <c r="H771" s="47"/>
      <c r="K771" s="46"/>
    </row>
    <row r="772" spans="3:11" ht="13">
      <c r="C772" s="46"/>
      <c r="D772" s="46"/>
      <c r="E772" s="46"/>
      <c r="F772" s="46"/>
      <c r="G772" s="46"/>
      <c r="H772" s="47"/>
      <c r="K772" s="46"/>
    </row>
    <row r="773" spans="3:11" ht="13">
      <c r="C773" s="46"/>
      <c r="D773" s="46"/>
      <c r="E773" s="46"/>
      <c r="F773" s="46"/>
      <c r="G773" s="46"/>
      <c r="H773" s="47"/>
      <c r="K773" s="46"/>
    </row>
    <row r="774" spans="3:11" ht="13">
      <c r="C774" s="46"/>
      <c r="D774" s="46"/>
      <c r="E774" s="46"/>
      <c r="F774" s="46"/>
      <c r="G774" s="46"/>
      <c r="H774" s="47"/>
      <c r="K774" s="46"/>
    </row>
    <row r="775" spans="3:11" ht="13">
      <c r="C775" s="46"/>
      <c r="D775" s="46"/>
      <c r="E775" s="46"/>
      <c r="F775" s="46"/>
      <c r="G775" s="46"/>
      <c r="H775" s="47"/>
      <c r="K775" s="46"/>
    </row>
    <row r="776" spans="3:11" ht="13">
      <c r="C776" s="46"/>
      <c r="D776" s="46"/>
      <c r="E776" s="46"/>
      <c r="F776" s="46"/>
      <c r="G776" s="46"/>
      <c r="H776" s="47"/>
      <c r="K776" s="46"/>
    </row>
    <row r="777" spans="3:11" ht="13">
      <c r="C777" s="46"/>
      <c r="D777" s="46"/>
      <c r="E777" s="46"/>
      <c r="F777" s="46"/>
      <c r="G777" s="46"/>
      <c r="H777" s="47"/>
      <c r="K777" s="46"/>
    </row>
    <row r="778" spans="3:11" ht="13">
      <c r="C778" s="46"/>
      <c r="D778" s="46"/>
      <c r="E778" s="46"/>
      <c r="F778" s="46"/>
      <c r="G778" s="46"/>
      <c r="H778" s="47"/>
      <c r="K778" s="46"/>
    </row>
    <row r="779" spans="3:11" ht="13">
      <c r="C779" s="46"/>
      <c r="D779" s="46"/>
      <c r="E779" s="46"/>
      <c r="F779" s="46"/>
      <c r="G779" s="46"/>
      <c r="H779" s="47"/>
      <c r="K779" s="46"/>
    </row>
    <row r="780" spans="3:11" ht="13">
      <c r="C780" s="46"/>
      <c r="D780" s="46"/>
      <c r="E780" s="46"/>
      <c r="F780" s="46"/>
      <c r="G780" s="46"/>
      <c r="H780" s="47"/>
      <c r="K780" s="46"/>
    </row>
    <row r="781" spans="3:11" ht="13">
      <c r="C781" s="46"/>
      <c r="D781" s="46"/>
      <c r="E781" s="46"/>
      <c r="F781" s="46"/>
      <c r="G781" s="46"/>
      <c r="H781" s="47"/>
      <c r="K781" s="46"/>
    </row>
    <row r="782" spans="3:11" ht="13">
      <c r="C782" s="46"/>
      <c r="D782" s="46"/>
      <c r="E782" s="46"/>
      <c r="F782" s="46"/>
      <c r="G782" s="46"/>
      <c r="H782" s="47"/>
      <c r="K782" s="46"/>
    </row>
    <row r="783" spans="3:11" ht="13">
      <c r="C783" s="46"/>
      <c r="D783" s="46"/>
      <c r="E783" s="46"/>
      <c r="F783" s="46"/>
      <c r="G783" s="46"/>
      <c r="H783" s="47"/>
      <c r="K783" s="46"/>
    </row>
    <row r="784" spans="3:11" ht="13">
      <c r="C784" s="46"/>
      <c r="D784" s="46"/>
      <c r="E784" s="46"/>
      <c r="F784" s="46"/>
      <c r="G784" s="46"/>
      <c r="H784" s="47"/>
      <c r="K784" s="46"/>
    </row>
    <row r="785" spans="3:11" ht="13">
      <c r="C785" s="46"/>
      <c r="D785" s="46"/>
      <c r="E785" s="46"/>
      <c r="F785" s="46"/>
      <c r="G785" s="46"/>
      <c r="H785" s="47"/>
      <c r="K785" s="46"/>
    </row>
    <row r="786" spans="3:11" ht="13">
      <c r="C786" s="46"/>
      <c r="D786" s="46"/>
      <c r="E786" s="46"/>
      <c r="F786" s="46"/>
      <c r="G786" s="46"/>
      <c r="H786" s="47"/>
      <c r="K786" s="46"/>
    </row>
    <row r="787" spans="3:11" ht="13">
      <c r="C787" s="46"/>
      <c r="D787" s="46"/>
      <c r="E787" s="46"/>
      <c r="F787" s="46"/>
      <c r="G787" s="46"/>
      <c r="H787" s="47"/>
      <c r="K787" s="46"/>
    </row>
    <row r="788" spans="3:11" ht="13">
      <c r="C788" s="46"/>
      <c r="D788" s="46"/>
      <c r="E788" s="46"/>
      <c r="F788" s="46"/>
      <c r="G788" s="46"/>
      <c r="H788" s="47"/>
      <c r="K788" s="46"/>
    </row>
    <row r="789" spans="3:11" ht="13">
      <c r="C789" s="46"/>
      <c r="D789" s="46"/>
      <c r="E789" s="46"/>
      <c r="F789" s="46"/>
      <c r="G789" s="46"/>
      <c r="H789" s="47"/>
      <c r="K789" s="46"/>
    </row>
    <row r="790" spans="3:11" ht="13">
      <c r="C790" s="46"/>
      <c r="D790" s="46"/>
      <c r="E790" s="46"/>
      <c r="F790" s="46"/>
      <c r="G790" s="46"/>
      <c r="H790" s="47"/>
      <c r="K790" s="46"/>
    </row>
    <row r="791" spans="3:11" ht="13">
      <c r="C791" s="46"/>
      <c r="D791" s="46"/>
      <c r="E791" s="46"/>
      <c r="F791" s="46"/>
      <c r="G791" s="46"/>
      <c r="H791" s="47"/>
      <c r="K791" s="46"/>
    </row>
    <row r="792" spans="3:11" ht="13">
      <c r="C792" s="46"/>
      <c r="D792" s="46"/>
      <c r="E792" s="46"/>
      <c r="F792" s="46"/>
      <c r="G792" s="46"/>
      <c r="H792" s="47"/>
      <c r="K792" s="46"/>
    </row>
    <row r="793" spans="3:11" ht="13">
      <c r="C793" s="46"/>
      <c r="D793" s="46"/>
      <c r="E793" s="46"/>
      <c r="F793" s="46"/>
      <c r="G793" s="46"/>
      <c r="H793" s="47"/>
      <c r="K793" s="46"/>
    </row>
    <row r="794" spans="3:11" ht="13">
      <c r="C794" s="46"/>
      <c r="D794" s="46"/>
      <c r="E794" s="46"/>
      <c r="F794" s="46"/>
      <c r="G794" s="46"/>
      <c r="H794" s="47"/>
      <c r="K794" s="46"/>
    </row>
    <row r="795" spans="3:11" ht="13">
      <c r="C795" s="46"/>
      <c r="D795" s="46"/>
      <c r="E795" s="46"/>
      <c r="F795" s="46"/>
      <c r="G795" s="46"/>
      <c r="H795" s="47"/>
      <c r="K795" s="46"/>
    </row>
    <row r="796" spans="3:11" ht="13">
      <c r="C796" s="46"/>
      <c r="D796" s="46"/>
      <c r="E796" s="46"/>
      <c r="F796" s="46"/>
      <c r="G796" s="46"/>
      <c r="H796" s="47"/>
      <c r="K796" s="46"/>
    </row>
    <row r="797" spans="3:11" ht="13">
      <c r="C797" s="46"/>
      <c r="D797" s="46"/>
      <c r="E797" s="46"/>
      <c r="F797" s="46"/>
      <c r="G797" s="46"/>
      <c r="H797" s="47"/>
      <c r="K797" s="46"/>
    </row>
    <row r="798" spans="3:11" ht="13">
      <c r="C798" s="46"/>
      <c r="D798" s="46"/>
      <c r="E798" s="46"/>
      <c r="F798" s="46"/>
      <c r="G798" s="46"/>
      <c r="H798" s="47"/>
      <c r="K798" s="46"/>
    </row>
    <row r="799" spans="3:11" ht="13">
      <c r="C799" s="46"/>
      <c r="D799" s="46"/>
      <c r="E799" s="46"/>
      <c r="F799" s="46"/>
      <c r="G799" s="46"/>
      <c r="H799" s="47"/>
      <c r="K799" s="46"/>
    </row>
    <row r="800" spans="3:11" ht="13">
      <c r="C800" s="46"/>
      <c r="D800" s="46"/>
      <c r="E800" s="46"/>
      <c r="F800" s="46"/>
      <c r="G800" s="46"/>
      <c r="H800" s="47"/>
      <c r="K800" s="46"/>
    </row>
    <row r="801" spans="3:11" ht="13">
      <c r="C801" s="46"/>
      <c r="D801" s="46"/>
      <c r="E801" s="46"/>
      <c r="F801" s="46"/>
      <c r="G801" s="46"/>
      <c r="H801" s="47"/>
      <c r="K801" s="46"/>
    </row>
    <row r="802" spans="3:11" ht="13">
      <c r="C802" s="46"/>
      <c r="D802" s="46"/>
      <c r="E802" s="46"/>
      <c r="F802" s="46"/>
      <c r="G802" s="46"/>
      <c r="H802" s="47"/>
      <c r="K802" s="46"/>
    </row>
    <row r="803" spans="3:11" ht="13">
      <c r="C803" s="46"/>
      <c r="D803" s="46"/>
      <c r="E803" s="46"/>
      <c r="F803" s="46"/>
      <c r="G803" s="46"/>
      <c r="H803" s="47"/>
      <c r="K803" s="46"/>
    </row>
    <row r="804" spans="3:11" ht="13">
      <c r="C804" s="46"/>
      <c r="D804" s="46"/>
      <c r="E804" s="46"/>
      <c r="F804" s="46"/>
      <c r="G804" s="46"/>
      <c r="H804" s="47"/>
      <c r="K804" s="46"/>
    </row>
    <row r="805" spans="3:11" ht="13">
      <c r="C805" s="46"/>
      <c r="D805" s="46"/>
      <c r="E805" s="46"/>
      <c r="F805" s="46"/>
      <c r="G805" s="46"/>
      <c r="H805" s="47"/>
      <c r="K805" s="46"/>
    </row>
    <row r="806" spans="3:11" ht="13">
      <c r="C806" s="46"/>
      <c r="D806" s="46"/>
      <c r="E806" s="46"/>
      <c r="F806" s="46"/>
      <c r="G806" s="46"/>
      <c r="H806" s="47"/>
      <c r="K806" s="46"/>
    </row>
    <row r="807" spans="3:11" ht="13">
      <c r="C807" s="46"/>
      <c r="D807" s="46"/>
      <c r="E807" s="46"/>
      <c r="F807" s="46"/>
      <c r="G807" s="46"/>
      <c r="H807" s="47"/>
      <c r="K807" s="46"/>
    </row>
    <row r="808" spans="3:11" ht="13">
      <c r="C808" s="46"/>
      <c r="D808" s="46"/>
      <c r="E808" s="46"/>
      <c r="F808" s="46"/>
      <c r="G808" s="46"/>
      <c r="H808" s="47"/>
      <c r="K808" s="46"/>
    </row>
    <row r="809" spans="3:11" ht="13">
      <c r="C809" s="46"/>
      <c r="D809" s="46"/>
      <c r="E809" s="46"/>
      <c r="F809" s="46"/>
      <c r="G809" s="46"/>
      <c r="H809" s="47"/>
      <c r="K809" s="46"/>
    </row>
    <row r="810" spans="3:11" ht="13">
      <c r="C810" s="46"/>
      <c r="D810" s="46"/>
      <c r="E810" s="46"/>
      <c r="F810" s="46"/>
      <c r="G810" s="46"/>
      <c r="H810" s="47"/>
      <c r="K810" s="46"/>
    </row>
    <row r="811" spans="3:11" ht="13">
      <c r="C811" s="46"/>
      <c r="D811" s="46"/>
      <c r="E811" s="46"/>
      <c r="F811" s="46"/>
      <c r="G811" s="46"/>
      <c r="H811" s="47"/>
      <c r="K811" s="46"/>
    </row>
    <row r="812" spans="3:11" ht="13">
      <c r="C812" s="46"/>
      <c r="D812" s="46"/>
      <c r="E812" s="46"/>
      <c r="F812" s="46"/>
      <c r="G812" s="46"/>
      <c r="H812" s="47"/>
      <c r="K812" s="46"/>
    </row>
    <row r="813" spans="3:11" ht="13">
      <c r="C813" s="46"/>
      <c r="D813" s="46"/>
      <c r="E813" s="46"/>
      <c r="F813" s="46"/>
      <c r="G813" s="46"/>
      <c r="H813" s="47"/>
      <c r="K813" s="46"/>
    </row>
    <row r="814" spans="3:11" ht="13">
      <c r="C814" s="46"/>
      <c r="D814" s="46"/>
      <c r="E814" s="46"/>
      <c r="F814" s="46"/>
      <c r="G814" s="46"/>
      <c r="H814" s="47"/>
      <c r="K814" s="46"/>
    </row>
    <row r="815" spans="3:11" ht="13">
      <c r="C815" s="46"/>
      <c r="D815" s="46"/>
      <c r="E815" s="46"/>
      <c r="F815" s="46"/>
      <c r="G815" s="46"/>
      <c r="H815" s="47"/>
      <c r="K815" s="46"/>
    </row>
    <row r="816" spans="3:11" ht="13">
      <c r="C816" s="46"/>
      <c r="D816" s="46"/>
      <c r="E816" s="46"/>
      <c r="F816" s="46"/>
      <c r="G816" s="46"/>
      <c r="H816" s="47"/>
      <c r="K816" s="46"/>
    </row>
    <row r="817" spans="3:11" ht="13">
      <c r="C817" s="46"/>
      <c r="D817" s="46"/>
      <c r="E817" s="46"/>
      <c r="F817" s="46"/>
      <c r="G817" s="46"/>
      <c r="H817" s="47"/>
      <c r="K817" s="46"/>
    </row>
    <row r="818" spans="3:11" ht="13">
      <c r="C818" s="46"/>
      <c r="D818" s="46"/>
      <c r="E818" s="46"/>
      <c r="F818" s="46"/>
      <c r="G818" s="46"/>
      <c r="H818" s="47"/>
      <c r="K818" s="46"/>
    </row>
    <row r="819" spans="3:11" ht="13">
      <c r="C819" s="46"/>
      <c r="D819" s="46"/>
      <c r="E819" s="46"/>
      <c r="F819" s="46"/>
      <c r="G819" s="46"/>
      <c r="H819" s="47"/>
      <c r="K819" s="46"/>
    </row>
    <row r="820" spans="3:11" ht="13">
      <c r="C820" s="46"/>
      <c r="D820" s="46"/>
      <c r="E820" s="46"/>
      <c r="F820" s="46"/>
      <c r="G820" s="46"/>
      <c r="H820" s="47"/>
      <c r="K820" s="46"/>
    </row>
    <row r="821" spans="3:11" ht="13">
      <c r="C821" s="46"/>
      <c r="D821" s="46"/>
      <c r="E821" s="46"/>
      <c r="F821" s="46"/>
      <c r="G821" s="46"/>
      <c r="H821" s="47"/>
      <c r="K821" s="46"/>
    </row>
    <row r="822" spans="3:11" ht="13">
      <c r="C822" s="46"/>
      <c r="D822" s="46"/>
      <c r="E822" s="46"/>
      <c r="F822" s="46"/>
      <c r="G822" s="46"/>
      <c r="H822" s="47"/>
      <c r="K822" s="46"/>
    </row>
    <row r="823" spans="3:11" ht="13">
      <c r="C823" s="46"/>
      <c r="D823" s="46"/>
      <c r="E823" s="46"/>
      <c r="F823" s="46"/>
      <c r="G823" s="46"/>
      <c r="H823" s="47"/>
      <c r="K823" s="46"/>
    </row>
    <row r="824" spans="3:11" ht="13">
      <c r="C824" s="46"/>
      <c r="D824" s="46"/>
      <c r="E824" s="46"/>
      <c r="F824" s="46"/>
      <c r="G824" s="46"/>
      <c r="H824" s="47"/>
      <c r="K824" s="46"/>
    </row>
    <row r="825" spans="3:11" ht="13">
      <c r="C825" s="46"/>
      <c r="D825" s="46"/>
      <c r="E825" s="46"/>
      <c r="F825" s="46"/>
      <c r="G825" s="46"/>
      <c r="H825" s="47"/>
      <c r="K825" s="46"/>
    </row>
    <row r="826" spans="3:11" ht="13">
      <c r="C826" s="46"/>
      <c r="D826" s="46"/>
      <c r="E826" s="46"/>
      <c r="F826" s="46"/>
      <c r="G826" s="46"/>
      <c r="H826" s="47"/>
      <c r="K826" s="46"/>
    </row>
    <row r="827" spans="3:11" ht="13">
      <c r="C827" s="46"/>
      <c r="D827" s="46"/>
      <c r="E827" s="46"/>
      <c r="F827" s="46"/>
      <c r="G827" s="46"/>
      <c r="H827" s="47"/>
      <c r="K827" s="46"/>
    </row>
    <row r="828" spans="3:11" ht="13">
      <c r="C828" s="46"/>
      <c r="D828" s="46"/>
      <c r="E828" s="46"/>
      <c r="F828" s="46"/>
      <c r="G828" s="46"/>
      <c r="H828" s="47"/>
      <c r="K828" s="46"/>
    </row>
    <row r="829" spans="3:11" ht="13">
      <c r="C829" s="46"/>
      <c r="D829" s="46"/>
      <c r="E829" s="46"/>
      <c r="F829" s="46"/>
      <c r="G829" s="46"/>
      <c r="H829" s="47"/>
      <c r="K829" s="46"/>
    </row>
    <row r="830" spans="3:11" ht="13">
      <c r="C830" s="46"/>
      <c r="D830" s="46"/>
      <c r="E830" s="46"/>
      <c r="F830" s="46"/>
      <c r="G830" s="46"/>
      <c r="H830" s="47"/>
      <c r="K830" s="46"/>
    </row>
    <row r="831" spans="3:11" ht="13">
      <c r="C831" s="46"/>
      <c r="D831" s="46"/>
      <c r="E831" s="46"/>
      <c r="F831" s="46"/>
      <c r="G831" s="46"/>
      <c r="H831" s="47"/>
      <c r="K831" s="46"/>
    </row>
    <row r="832" spans="3:11" ht="13">
      <c r="C832" s="46"/>
      <c r="D832" s="46"/>
      <c r="E832" s="46"/>
      <c r="F832" s="46"/>
      <c r="G832" s="46"/>
      <c r="H832" s="47"/>
      <c r="K832" s="46"/>
    </row>
    <row r="833" spans="3:11" ht="13">
      <c r="C833" s="46"/>
      <c r="D833" s="46"/>
      <c r="E833" s="46"/>
      <c r="F833" s="46"/>
      <c r="G833" s="46"/>
      <c r="H833" s="47"/>
      <c r="K833" s="46"/>
    </row>
    <row r="834" spans="3:11" ht="13">
      <c r="C834" s="46"/>
      <c r="D834" s="46"/>
      <c r="E834" s="46"/>
      <c r="F834" s="46"/>
      <c r="G834" s="46"/>
      <c r="H834" s="47"/>
      <c r="K834" s="46"/>
    </row>
    <row r="835" spans="3:11" ht="13">
      <c r="C835" s="46"/>
      <c r="D835" s="46"/>
      <c r="E835" s="46"/>
      <c r="F835" s="46"/>
      <c r="G835" s="46"/>
      <c r="H835" s="47"/>
      <c r="K835" s="46"/>
    </row>
    <row r="836" spans="3:11" ht="13">
      <c r="C836" s="46"/>
      <c r="D836" s="46"/>
      <c r="E836" s="46"/>
      <c r="F836" s="46"/>
      <c r="G836" s="46"/>
      <c r="H836" s="47"/>
      <c r="K836" s="46"/>
    </row>
    <row r="837" spans="3:11" ht="13">
      <c r="C837" s="46"/>
      <c r="D837" s="46"/>
      <c r="E837" s="46"/>
      <c r="F837" s="46"/>
      <c r="G837" s="46"/>
      <c r="H837" s="47"/>
      <c r="K837" s="46"/>
    </row>
    <row r="838" spans="3:11" ht="13">
      <c r="C838" s="46"/>
      <c r="D838" s="46"/>
      <c r="E838" s="46"/>
      <c r="F838" s="46"/>
      <c r="G838" s="46"/>
      <c r="H838" s="47"/>
      <c r="K838" s="46"/>
    </row>
    <row r="839" spans="3:11" ht="13">
      <c r="C839" s="46"/>
      <c r="D839" s="46"/>
      <c r="E839" s="46"/>
      <c r="F839" s="46"/>
      <c r="G839" s="46"/>
      <c r="H839" s="47"/>
      <c r="K839" s="46"/>
    </row>
    <row r="840" spans="3:11" ht="13">
      <c r="C840" s="46"/>
      <c r="D840" s="46"/>
      <c r="E840" s="46"/>
      <c r="F840" s="46"/>
      <c r="G840" s="46"/>
      <c r="H840" s="47"/>
      <c r="K840" s="46"/>
    </row>
    <row r="841" spans="3:11" ht="13">
      <c r="C841" s="46"/>
      <c r="D841" s="46"/>
      <c r="E841" s="46"/>
      <c r="F841" s="46"/>
      <c r="G841" s="46"/>
      <c r="H841" s="47"/>
      <c r="K841" s="46"/>
    </row>
    <row r="842" spans="3:11" ht="13">
      <c r="C842" s="46"/>
      <c r="D842" s="46"/>
      <c r="E842" s="46"/>
      <c r="F842" s="46"/>
      <c r="G842" s="46"/>
      <c r="H842" s="47"/>
      <c r="K842" s="46"/>
    </row>
    <row r="843" spans="3:11" ht="13">
      <c r="C843" s="46"/>
      <c r="D843" s="46"/>
      <c r="E843" s="46"/>
      <c r="F843" s="46"/>
      <c r="G843" s="46"/>
      <c r="H843" s="47"/>
      <c r="K843" s="46"/>
    </row>
    <row r="844" spans="3:11" ht="13">
      <c r="C844" s="46"/>
      <c r="D844" s="46"/>
      <c r="E844" s="46"/>
      <c r="F844" s="46"/>
      <c r="G844" s="46"/>
      <c r="H844" s="47"/>
      <c r="K844" s="46"/>
    </row>
    <row r="845" spans="3:11" ht="13">
      <c r="C845" s="46"/>
      <c r="D845" s="46"/>
      <c r="E845" s="46"/>
      <c r="F845" s="46"/>
      <c r="G845" s="46"/>
      <c r="H845" s="47"/>
      <c r="K845" s="46"/>
    </row>
    <row r="846" spans="3:11" ht="13">
      <c r="C846" s="46"/>
      <c r="D846" s="46"/>
      <c r="E846" s="46"/>
      <c r="F846" s="46"/>
      <c r="G846" s="46"/>
      <c r="H846" s="47"/>
      <c r="K846" s="46"/>
    </row>
    <row r="847" spans="3:11" ht="13">
      <c r="C847" s="46"/>
      <c r="D847" s="46"/>
      <c r="E847" s="46"/>
      <c r="F847" s="46"/>
      <c r="G847" s="46"/>
      <c r="H847" s="47"/>
      <c r="K847" s="46"/>
    </row>
    <row r="848" spans="3:11" ht="13">
      <c r="C848" s="46"/>
      <c r="D848" s="46"/>
      <c r="E848" s="46"/>
      <c r="F848" s="46"/>
      <c r="G848" s="46"/>
      <c r="H848" s="47"/>
      <c r="K848" s="46"/>
    </row>
    <row r="849" spans="3:11" ht="13">
      <c r="C849" s="46"/>
      <c r="D849" s="46"/>
      <c r="E849" s="46"/>
      <c r="F849" s="46"/>
      <c r="G849" s="46"/>
      <c r="H849" s="47"/>
      <c r="K849" s="46"/>
    </row>
    <row r="850" spans="3:11" ht="13">
      <c r="C850" s="46"/>
      <c r="D850" s="46"/>
      <c r="E850" s="46"/>
      <c r="F850" s="46"/>
      <c r="G850" s="46"/>
      <c r="H850" s="47"/>
      <c r="K850" s="46"/>
    </row>
    <row r="851" spans="3:11" ht="13">
      <c r="C851" s="46"/>
      <c r="D851" s="46"/>
      <c r="E851" s="46"/>
      <c r="F851" s="46"/>
      <c r="G851" s="46"/>
      <c r="H851" s="47"/>
      <c r="K851" s="46"/>
    </row>
    <row r="852" spans="3:11" ht="13">
      <c r="C852" s="46"/>
      <c r="D852" s="46"/>
      <c r="E852" s="46"/>
      <c r="F852" s="46"/>
      <c r="G852" s="46"/>
      <c r="H852" s="47"/>
      <c r="K852" s="46"/>
    </row>
    <row r="853" spans="3:11" ht="13">
      <c r="C853" s="46"/>
      <c r="D853" s="46"/>
      <c r="E853" s="46"/>
      <c r="F853" s="46"/>
      <c r="G853" s="46"/>
      <c r="H853" s="47"/>
      <c r="K853" s="46"/>
    </row>
    <row r="854" spans="3:11" ht="13">
      <c r="C854" s="46"/>
      <c r="D854" s="46"/>
      <c r="E854" s="46"/>
      <c r="F854" s="46"/>
      <c r="G854" s="46"/>
      <c r="H854" s="47"/>
      <c r="K854" s="46"/>
    </row>
    <row r="855" spans="3:11" ht="13">
      <c r="C855" s="46"/>
      <c r="D855" s="46"/>
      <c r="E855" s="46"/>
      <c r="F855" s="46"/>
      <c r="G855" s="46"/>
      <c r="H855" s="47"/>
      <c r="K855" s="46"/>
    </row>
    <row r="856" spans="3:11" ht="13">
      <c r="C856" s="46"/>
      <c r="D856" s="46"/>
      <c r="E856" s="46"/>
      <c r="F856" s="46"/>
      <c r="G856" s="46"/>
      <c r="H856" s="47"/>
      <c r="K856" s="46"/>
    </row>
    <row r="857" spans="3:11" ht="13">
      <c r="C857" s="46"/>
      <c r="D857" s="46"/>
      <c r="E857" s="46"/>
      <c r="F857" s="46"/>
      <c r="G857" s="46"/>
      <c r="H857" s="47"/>
      <c r="K857" s="46"/>
    </row>
    <row r="858" spans="3:11" ht="13">
      <c r="C858" s="46"/>
      <c r="D858" s="46"/>
      <c r="E858" s="46"/>
      <c r="F858" s="46"/>
      <c r="G858" s="46"/>
      <c r="H858" s="47"/>
      <c r="K858" s="46"/>
    </row>
    <row r="859" spans="3:11" ht="13">
      <c r="C859" s="46"/>
      <c r="D859" s="46"/>
      <c r="E859" s="46"/>
      <c r="F859" s="46"/>
      <c r="G859" s="46"/>
      <c r="H859" s="47"/>
      <c r="K859" s="46"/>
    </row>
    <row r="860" spans="3:11" ht="13">
      <c r="C860" s="46"/>
      <c r="D860" s="46"/>
      <c r="E860" s="46"/>
      <c r="F860" s="46"/>
      <c r="G860" s="46"/>
      <c r="H860" s="47"/>
      <c r="K860" s="46"/>
    </row>
    <row r="861" spans="3:11" ht="13">
      <c r="C861" s="46"/>
      <c r="D861" s="46"/>
      <c r="E861" s="46"/>
      <c r="F861" s="46"/>
      <c r="G861" s="46"/>
      <c r="H861" s="47"/>
      <c r="K861" s="46"/>
    </row>
    <row r="862" spans="3:11" ht="13">
      <c r="C862" s="46"/>
      <c r="D862" s="46"/>
      <c r="E862" s="46"/>
      <c r="F862" s="46"/>
      <c r="G862" s="46"/>
      <c r="H862" s="47"/>
      <c r="K862" s="46"/>
    </row>
    <row r="863" spans="3:11" ht="13">
      <c r="C863" s="46"/>
      <c r="D863" s="46"/>
      <c r="E863" s="46"/>
      <c r="F863" s="46"/>
      <c r="G863" s="46"/>
      <c r="H863" s="47"/>
      <c r="K863" s="46"/>
    </row>
    <row r="864" spans="3:11" ht="13">
      <c r="C864" s="46"/>
      <c r="D864" s="46"/>
      <c r="E864" s="46"/>
      <c r="F864" s="46"/>
      <c r="G864" s="46"/>
      <c r="H864" s="47"/>
      <c r="K864" s="46"/>
    </row>
    <row r="865" spans="3:11" ht="13">
      <c r="C865" s="46"/>
      <c r="D865" s="46"/>
      <c r="E865" s="46"/>
      <c r="F865" s="46"/>
      <c r="G865" s="46"/>
      <c r="H865" s="47"/>
      <c r="K865" s="46"/>
    </row>
    <row r="866" spans="3:11" ht="13">
      <c r="C866" s="46"/>
      <c r="D866" s="46"/>
      <c r="E866" s="46"/>
      <c r="F866" s="46"/>
      <c r="G866" s="46"/>
      <c r="H866" s="47"/>
      <c r="K866" s="46"/>
    </row>
    <row r="867" spans="3:11" ht="13">
      <c r="C867" s="46"/>
      <c r="D867" s="46"/>
      <c r="E867" s="46"/>
      <c r="F867" s="46"/>
      <c r="G867" s="46"/>
      <c r="H867" s="47"/>
      <c r="K867" s="46"/>
    </row>
    <row r="868" spans="3:11" ht="13">
      <c r="C868" s="46"/>
      <c r="D868" s="46"/>
      <c r="E868" s="46"/>
      <c r="F868" s="46"/>
      <c r="G868" s="46"/>
      <c r="H868" s="47"/>
      <c r="K868" s="46"/>
    </row>
    <row r="869" spans="3:11" ht="13">
      <c r="C869" s="46"/>
      <c r="D869" s="46"/>
      <c r="E869" s="46"/>
      <c r="F869" s="46"/>
      <c r="G869" s="46"/>
      <c r="H869" s="47"/>
      <c r="K869" s="46"/>
    </row>
    <row r="870" spans="3:11" ht="13">
      <c r="C870" s="46"/>
      <c r="D870" s="46"/>
      <c r="E870" s="46"/>
      <c r="F870" s="46"/>
      <c r="G870" s="46"/>
      <c r="H870" s="47"/>
      <c r="K870" s="46"/>
    </row>
    <row r="871" spans="3:11" ht="13">
      <c r="C871" s="46"/>
      <c r="D871" s="46"/>
      <c r="E871" s="46"/>
      <c r="F871" s="46"/>
      <c r="G871" s="46"/>
      <c r="H871" s="47"/>
      <c r="K871" s="46"/>
    </row>
    <row r="872" spans="3:11" ht="13">
      <c r="C872" s="46"/>
      <c r="D872" s="46"/>
      <c r="E872" s="46"/>
      <c r="F872" s="46"/>
      <c r="G872" s="46"/>
      <c r="H872" s="47"/>
      <c r="K872" s="46"/>
    </row>
    <row r="873" spans="3:11" ht="13">
      <c r="C873" s="46"/>
      <c r="D873" s="46"/>
      <c r="E873" s="46"/>
      <c r="F873" s="46"/>
      <c r="G873" s="46"/>
      <c r="H873" s="47"/>
      <c r="K873" s="46"/>
    </row>
    <row r="874" spans="3:11" ht="13">
      <c r="C874" s="46"/>
      <c r="D874" s="46"/>
      <c r="E874" s="46"/>
      <c r="F874" s="46"/>
      <c r="G874" s="46"/>
      <c r="H874" s="47"/>
      <c r="K874" s="46"/>
    </row>
    <row r="875" spans="3:11" ht="13">
      <c r="C875" s="46"/>
      <c r="D875" s="46"/>
      <c r="E875" s="46"/>
      <c r="F875" s="46"/>
      <c r="G875" s="46"/>
      <c r="H875" s="47"/>
      <c r="K875" s="46"/>
    </row>
    <row r="876" spans="3:11" ht="13">
      <c r="C876" s="46"/>
      <c r="D876" s="46"/>
      <c r="E876" s="46"/>
      <c r="F876" s="46"/>
      <c r="G876" s="46"/>
      <c r="H876" s="47"/>
      <c r="K876" s="46"/>
    </row>
    <row r="877" spans="3:11" ht="13">
      <c r="C877" s="46"/>
      <c r="D877" s="46"/>
      <c r="E877" s="46"/>
      <c r="F877" s="46"/>
      <c r="G877" s="46"/>
      <c r="H877" s="47"/>
      <c r="K877" s="46"/>
    </row>
    <row r="878" spans="3:11" ht="13">
      <c r="C878" s="46"/>
      <c r="D878" s="46"/>
      <c r="E878" s="46"/>
      <c r="F878" s="46"/>
      <c r="G878" s="46"/>
      <c r="H878" s="47"/>
      <c r="K878" s="46"/>
    </row>
    <row r="879" spans="3:11" ht="13">
      <c r="C879" s="46"/>
      <c r="D879" s="46"/>
      <c r="E879" s="46"/>
      <c r="F879" s="46"/>
      <c r="G879" s="46"/>
      <c r="H879" s="47"/>
      <c r="K879" s="46"/>
    </row>
    <row r="880" spans="3:11" ht="13">
      <c r="C880" s="46"/>
      <c r="D880" s="46"/>
      <c r="E880" s="46"/>
      <c r="F880" s="46"/>
      <c r="G880" s="46"/>
      <c r="H880" s="47"/>
      <c r="K880" s="46"/>
    </row>
    <row r="881" spans="3:11" ht="13">
      <c r="C881" s="46"/>
      <c r="D881" s="46"/>
      <c r="E881" s="46"/>
      <c r="F881" s="46"/>
      <c r="G881" s="46"/>
      <c r="H881" s="47"/>
      <c r="K881" s="46"/>
    </row>
    <row r="882" spans="3:11" ht="13">
      <c r="C882" s="46"/>
      <c r="D882" s="46"/>
      <c r="E882" s="46"/>
      <c r="F882" s="46"/>
      <c r="G882" s="46"/>
      <c r="H882" s="47"/>
      <c r="K882" s="46"/>
    </row>
    <row r="883" spans="3:11" ht="13">
      <c r="C883" s="46"/>
      <c r="D883" s="46"/>
      <c r="E883" s="46"/>
      <c r="F883" s="46"/>
      <c r="G883" s="46"/>
      <c r="H883" s="47"/>
      <c r="K883" s="46"/>
    </row>
    <row r="884" spans="3:11" ht="13">
      <c r="C884" s="46"/>
      <c r="D884" s="46"/>
      <c r="E884" s="46"/>
      <c r="F884" s="46"/>
      <c r="G884" s="46"/>
      <c r="H884" s="47"/>
      <c r="K884" s="46"/>
    </row>
    <row r="885" spans="3:11" ht="13">
      <c r="C885" s="46"/>
      <c r="D885" s="46"/>
      <c r="E885" s="46"/>
      <c r="F885" s="46"/>
      <c r="G885" s="46"/>
      <c r="H885" s="47"/>
      <c r="K885" s="46"/>
    </row>
    <row r="886" spans="3:11" ht="13">
      <c r="C886" s="46"/>
      <c r="D886" s="46"/>
      <c r="E886" s="46"/>
      <c r="F886" s="46"/>
      <c r="G886" s="46"/>
      <c r="H886" s="47"/>
      <c r="K886" s="46"/>
    </row>
    <row r="887" spans="3:11" ht="13">
      <c r="C887" s="46"/>
      <c r="D887" s="46"/>
      <c r="E887" s="46"/>
      <c r="F887" s="46"/>
      <c r="G887" s="46"/>
      <c r="H887" s="47"/>
      <c r="K887" s="46"/>
    </row>
    <row r="888" spans="3:11" ht="13">
      <c r="C888" s="46"/>
      <c r="D888" s="46"/>
      <c r="E888" s="46"/>
      <c r="F888" s="46"/>
      <c r="G888" s="46"/>
      <c r="H888" s="47"/>
      <c r="K888" s="46"/>
    </row>
    <row r="889" spans="3:11" ht="13">
      <c r="C889" s="46"/>
      <c r="D889" s="46"/>
      <c r="E889" s="46"/>
      <c r="F889" s="46"/>
      <c r="G889" s="46"/>
      <c r="H889" s="47"/>
      <c r="K889" s="46"/>
    </row>
    <row r="890" spans="3:11" ht="13">
      <c r="C890" s="46"/>
      <c r="D890" s="46"/>
      <c r="E890" s="46"/>
      <c r="F890" s="46"/>
      <c r="G890" s="46"/>
      <c r="H890" s="47"/>
      <c r="K890" s="46"/>
    </row>
    <row r="891" spans="3:11" ht="13">
      <c r="C891" s="46"/>
      <c r="D891" s="46"/>
      <c r="E891" s="46"/>
      <c r="F891" s="46"/>
      <c r="G891" s="46"/>
      <c r="H891" s="47"/>
      <c r="K891" s="46"/>
    </row>
    <row r="892" spans="3:11" ht="13">
      <c r="C892" s="46"/>
      <c r="D892" s="46"/>
      <c r="E892" s="46"/>
      <c r="F892" s="46"/>
      <c r="G892" s="46"/>
      <c r="H892" s="47"/>
      <c r="K892" s="46"/>
    </row>
    <row r="893" spans="3:11" ht="13">
      <c r="C893" s="46"/>
      <c r="D893" s="46"/>
      <c r="E893" s="46"/>
      <c r="F893" s="46"/>
      <c r="G893" s="46"/>
      <c r="H893" s="47"/>
      <c r="K893" s="46"/>
    </row>
    <row r="894" spans="3:11" ht="13">
      <c r="C894" s="46"/>
      <c r="D894" s="46"/>
      <c r="E894" s="46"/>
      <c r="F894" s="46"/>
      <c r="G894" s="46"/>
      <c r="H894" s="47"/>
      <c r="K894" s="46"/>
    </row>
    <row r="895" spans="3:11" ht="13">
      <c r="C895" s="46"/>
      <c r="D895" s="46"/>
      <c r="E895" s="46"/>
      <c r="F895" s="46"/>
      <c r="G895" s="46"/>
      <c r="H895" s="47"/>
      <c r="K895" s="46"/>
    </row>
    <row r="896" spans="3:11" ht="13">
      <c r="C896" s="46"/>
      <c r="D896" s="46"/>
      <c r="E896" s="46"/>
      <c r="F896" s="46"/>
      <c r="G896" s="46"/>
      <c r="H896" s="47"/>
      <c r="K896" s="46"/>
    </row>
    <row r="897" spans="3:11" ht="13">
      <c r="C897" s="46"/>
      <c r="D897" s="46"/>
      <c r="E897" s="46"/>
      <c r="F897" s="46"/>
      <c r="G897" s="46"/>
      <c r="H897" s="47"/>
      <c r="K897" s="46"/>
    </row>
    <row r="898" spans="3:11" ht="13">
      <c r="C898" s="46"/>
      <c r="D898" s="46"/>
      <c r="E898" s="46"/>
      <c r="F898" s="46"/>
      <c r="G898" s="46"/>
      <c r="H898" s="47"/>
      <c r="K898" s="46"/>
    </row>
    <row r="899" spans="3:11" ht="13">
      <c r="C899" s="46"/>
      <c r="D899" s="46"/>
      <c r="E899" s="46"/>
      <c r="F899" s="46"/>
      <c r="G899" s="46"/>
      <c r="H899" s="47"/>
      <c r="K899" s="46"/>
    </row>
    <row r="900" spans="3:11" ht="13">
      <c r="C900" s="46"/>
      <c r="D900" s="46"/>
      <c r="E900" s="46"/>
      <c r="F900" s="46"/>
      <c r="G900" s="46"/>
      <c r="H900" s="47"/>
      <c r="K900" s="46"/>
    </row>
    <row r="901" spans="3:11" ht="13">
      <c r="C901" s="46"/>
      <c r="D901" s="46"/>
      <c r="E901" s="46"/>
      <c r="F901" s="46"/>
      <c r="G901" s="46"/>
      <c r="H901" s="47"/>
      <c r="K901" s="46"/>
    </row>
    <row r="902" spans="3:11" ht="13">
      <c r="C902" s="46"/>
      <c r="D902" s="46"/>
      <c r="E902" s="46"/>
      <c r="F902" s="46"/>
      <c r="G902" s="46"/>
      <c r="H902" s="47"/>
      <c r="K902" s="46"/>
    </row>
    <row r="903" spans="3:11" ht="13">
      <c r="C903" s="46"/>
      <c r="D903" s="46"/>
      <c r="E903" s="46"/>
      <c r="F903" s="46"/>
      <c r="G903" s="46"/>
      <c r="H903" s="47"/>
      <c r="K903" s="46"/>
    </row>
    <row r="904" spans="3:11" ht="13">
      <c r="C904" s="46"/>
      <c r="D904" s="46"/>
      <c r="E904" s="46"/>
      <c r="F904" s="46"/>
      <c r="G904" s="46"/>
      <c r="H904" s="47"/>
      <c r="K904" s="46"/>
    </row>
    <row r="905" spans="3:11" ht="13">
      <c r="C905" s="46"/>
      <c r="D905" s="46"/>
      <c r="E905" s="46"/>
      <c r="F905" s="46"/>
      <c r="G905" s="46"/>
      <c r="H905" s="47"/>
      <c r="K905" s="46"/>
    </row>
    <row r="906" spans="3:11" ht="13">
      <c r="C906" s="46"/>
      <c r="D906" s="46"/>
      <c r="E906" s="46"/>
      <c r="F906" s="46"/>
      <c r="G906" s="46"/>
      <c r="H906" s="47"/>
      <c r="K906" s="46"/>
    </row>
    <row r="907" spans="3:11" ht="13">
      <c r="C907" s="46"/>
      <c r="D907" s="46"/>
      <c r="E907" s="46"/>
      <c r="F907" s="46"/>
      <c r="G907" s="46"/>
      <c r="H907" s="47"/>
      <c r="K907" s="46"/>
    </row>
    <row r="908" spans="3:11" ht="13">
      <c r="C908" s="46"/>
      <c r="D908" s="46"/>
      <c r="E908" s="46"/>
      <c r="F908" s="46"/>
      <c r="G908" s="46"/>
      <c r="H908" s="47"/>
      <c r="K908" s="46"/>
    </row>
    <row r="909" spans="3:11" ht="13">
      <c r="C909" s="46"/>
      <c r="D909" s="46"/>
      <c r="E909" s="46"/>
      <c r="F909" s="46"/>
      <c r="G909" s="46"/>
      <c r="H909" s="47"/>
      <c r="K909" s="46"/>
    </row>
    <row r="910" spans="3:11" ht="13">
      <c r="C910" s="46"/>
      <c r="D910" s="46"/>
      <c r="E910" s="46"/>
      <c r="F910" s="46"/>
      <c r="G910" s="46"/>
      <c r="H910" s="47"/>
      <c r="K910" s="46"/>
    </row>
    <row r="911" spans="3:11" ht="13">
      <c r="C911" s="46"/>
      <c r="D911" s="46"/>
      <c r="E911" s="46"/>
      <c r="F911" s="46"/>
      <c r="G911" s="46"/>
      <c r="H911" s="47"/>
      <c r="K911" s="46"/>
    </row>
    <row r="912" spans="3:11" ht="13">
      <c r="C912" s="46"/>
      <c r="D912" s="46"/>
      <c r="E912" s="46"/>
      <c r="F912" s="46"/>
      <c r="G912" s="46"/>
      <c r="H912" s="47"/>
      <c r="K912" s="46"/>
    </row>
    <row r="913" spans="3:11" ht="13">
      <c r="C913" s="46"/>
      <c r="D913" s="46"/>
      <c r="E913" s="46"/>
      <c r="F913" s="46"/>
      <c r="G913" s="46"/>
      <c r="H913" s="47"/>
      <c r="K913" s="46"/>
    </row>
    <row r="914" spans="3:11" ht="13">
      <c r="C914" s="46"/>
      <c r="D914" s="46"/>
      <c r="E914" s="46"/>
      <c r="F914" s="46"/>
      <c r="G914" s="46"/>
      <c r="H914" s="47"/>
      <c r="K914" s="46"/>
    </row>
    <row r="915" spans="3:11" ht="13">
      <c r="C915" s="46"/>
      <c r="D915" s="46"/>
      <c r="E915" s="46"/>
      <c r="F915" s="46"/>
      <c r="G915" s="46"/>
      <c r="H915" s="47"/>
      <c r="K915" s="46"/>
    </row>
    <row r="916" spans="3:11" ht="13">
      <c r="C916" s="46"/>
      <c r="D916" s="46"/>
      <c r="E916" s="46"/>
      <c r="F916" s="46"/>
      <c r="G916" s="46"/>
      <c r="H916" s="47"/>
      <c r="K916" s="46"/>
    </row>
    <row r="917" spans="3:11" ht="13">
      <c r="C917" s="46"/>
      <c r="D917" s="46"/>
      <c r="E917" s="46"/>
      <c r="F917" s="46"/>
      <c r="G917" s="46"/>
      <c r="H917" s="47"/>
      <c r="K917" s="46"/>
    </row>
    <row r="918" spans="3:11" ht="13">
      <c r="C918" s="46"/>
      <c r="D918" s="46"/>
      <c r="E918" s="46"/>
      <c r="F918" s="46"/>
      <c r="G918" s="46"/>
      <c r="H918" s="47"/>
      <c r="K918" s="46"/>
    </row>
    <row r="919" spans="3:11" ht="13">
      <c r="C919" s="46"/>
      <c r="D919" s="46"/>
      <c r="E919" s="46"/>
      <c r="F919" s="46"/>
      <c r="G919" s="46"/>
      <c r="H919" s="47"/>
      <c r="K919" s="46"/>
    </row>
    <row r="920" spans="3:11" ht="13">
      <c r="C920" s="46"/>
      <c r="D920" s="46"/>
      <c r="E920" s="46"/>
      <c r="F920" s="46"/>
      <c r="G920" s="46"/>
      <c r="H920" s="47"/>
      <c r="K920" s="46"/>
    </row>
    <row r="921" spans="3:11" ht="13">
      <c r="C921" s="46"/>
      <c r="D921" s="46"/>
      <c r="E921" s="46"/>
      <c r="F921" s="46"/>
      <c r="G921" s="46"/>
      <c r="H921" s="47"/>
      <c r="K921" s="46"/>
    </row>
    <row r="922" spans="3:11" ht="13">
      <c r="C922" s="46"/>
      <c r="D922" s="46"/>
      <c r="E922" s="46"/>
      <c r="F922" s="46"/>
      <c r="G922" s="46"/>
      <c r="H922" s="47"/>
      <c r="K922" s="46"/>
    </row>
    <row r="923" spans="3:11" ht="13">
      <c r="C923" s="46"/>
      <c r="D923" s="46"/>
      <c r="E923" s="46"/>
      <c r="F923" s="46"/>
      <c r="G923" s="46"/>
      <c r="H923" s="47"/>
      <c r="K923" s="46"/>
    </row>
    <row r="924" spans="3:11" ht="13">
      <c r="C924" s="46"/>
      <c r="D924" s="46"/>
      <c r="E924" s="46"/>
      <c r="F924" s="46"/>
      <c r="G924" s="46"/>
      <c r="H924" s="47"/>
      <c r="K924" s="46"/>
    </row>
    <row r="925" spans="3:11" ht="13">
      <c r="C925" s="46"/>
      <c r="D925" s="46"/>
      <c r="E925" s="46"/>
      <c r="F925" s="46"/>
      <c r="G925" s="46"/>
      <c r="H925" s="47"/>
      <c r="K925" s="46"/>
    </row>
    <row r="926" spans="3:11" ht="13">
      <c r="C926" s="46"/>
      <c r="D926" s="46"/>
      <c r="E926" s="46"/>
      <c r="F926" s="46"/>
      <c r="G926" s="46"/>
      <c r="H926" s="47"/>
      <c r="K926" s="46"/>
    </row>
    <row r="927" spans="3:11" ht="13">
      <c r="C927" s="46"/>
      <c r="D927" s="46"/>
      <c r="E927" s="46"/>
      <c r="F927" s="46"/>
      <c r="G927" s="46"/>
      <c r="H927" s="47"/>
      <c r="K927" s="46"/>
    </row>
    <row r="928" spans="3:11" ht="13">
      <c r="C928" s="46"/>
      <c r="D928" s="46"/>
      <c r="E928" s="46"/>
      <c r="F928" s="46"/>
      <c r="G928" s="46"/>
      <c r="H928" s="47"/>
      <c r="K928" s="46"/>
    </row>
    <row r="929" spans="3:11" ht="13">
      <c r="C929" s="46"/>
      <c r="D929" s="46"/>
      <c r="E929" s="46"/>
      <c r="F929" s="46"/>
      <c r="G929" s="46"/>
      <c r="H929" s="47"/>
      <c r="K929" s="46"/>
    </row>
    <row r="930" spans="3:11" ht="13">
      <c r="C930" s="46"/>
      <c r="D930" s="46"/>
      <c r="E930" s="46"/>
      <c r="F930" s="46"/>
      <c r="G930" s="46"/>
      <c r="H930" s="47"/>
      <c r="K930" s="46"/>
    </row>
    <row r="931" spans="3:11" ht="13">
      <c r="C931" s="46"/>
      <c r="D931" s="46"/>
      <c r="E931" s="46"/>
      <c r="F931" s="46"/>
      <c r="G931" s="46"/>
      <c r="H931" s="47"/>
      <c r="K931" s="46"/>
    </row>
    <row r="932" spans="3:11" ht="13">
      <c r="C932" s="46"/>
      <c r="D932" s="46"/>
      <c r="E932" s="46"/>
      <c r="F932" s="46"/>
      <c r="G932" s="46"/>
      <c r="H932" s="47"/>
      <c r="K932" s="46"/>
    </row>
    <row r="933" spans="3:11" ht="13">
      <c r="C933" s="46"/>
      <c r="D933" s="46"/>
      <c r="E933" s="46"/>
      <c r="F933" s="46"/>
      <c r="G933" s="46"/>
      <c r="H933" s="47"/>
      <c r="K933" s="46"/>
    </row>
    <row r="934" spans="3:11" ht="13">
      <c r="C934" s="46"/>
      <c r="D934" s="46"/>
      <c r="E934" s="46"/>
      <c r="F934" s="46"/>
      <c r="G934" s="46"/>
      <c r="H934" s="47"/>
      <c r="K934" s="46"/>
    </row>
    <row r="935" spans="3:11" ht="13">
      <c r="C935" s="46"/>
      <c r="D935" s="46"/>
      <c r="E935" s="46"/>
      <c r="F935" s="46"/>
      <c r="G935" s="46"/>
      <c r="H935" s="47"/>
      <c r="K935" s="46"/>
    </row>
    <row r="936" spans="3:11" ht="13">
      <c r="C936" s="46"/>
      <c r="D936" s="46"/>
      <c r="E936" s="46"/>
      <c r="F936" s="46"/>
      <c r="G936" s="46"/>
      <c r="H936" s="47"/>
      <c r="K936" s="46"/>
    </row>
    <row r="937" spans="3:11" ht="13">
      <c r="C937" s="46"/>
      <c r="D937" s="46"/>
      <c r="E937" s="46"/>
      <c r="F937" s="46"/>
      <c r="G937" s="46"/>
      <c r="H937" s="47"/>
      <c r="K937" s="46"/>
    </row>
    <row r="938" spans="3:11" ht="13">
      <c r="C938" s="46"/>
      <c r="D938" s="46"/>
      <c r="E938" s="46"/>
      <c r="F938" s="46"/>
      <c r="G938" s="46"/>
      <c r="H938" s="47"/>
      <c r="K938" s="46"/>
    </row>
    <row r="939" spans="3:11" ht="13">
      <c r="C939" s="46"/>
      <c r="D939" s="46"/>
      <c r="E939" s="46"/>
      <c r="F939" s="46"/>
      <c r="G939" s="46"/>
      <c r="H939" s="47"/>
      <c r="K939" s="46"/>
    </row>
    <row r="940" spans="3:11" ht="13">
      <c r="C940" s="46"/>
      <c r="D940" s="46"/>
      <c r="E940" s="46"/>
      <c r="F940" s="46"/>
      <c r="G940" s="46"/>
      <c r="H940" s="47"/>
      <c r="K940" s="46"/>
    </row>
    <row r="941" spans="3:11" ht="13">
      <c r="C941" s="46"/>
      <c r="D941" s="46"/>
      <c r="E941" s="46"/>
      <c r="F941" s="46"/>
      <c r="G941" s="46"/>
      <c r="H941" s="47"/>
      <c r="K941" s="46"/>
    </row>
    <row r="942" spans="3:11" ht="13">
      <c r="C942" s="46"/>
      <c r="D942" s="46"/>
      <c r="E942" s="46"/>
      <c r="F942" s="46"/>
      <c r="G942" s="46"/>
      <c r="H942" s="47"/>
      <c r="K942" s="46"/>
    </row>
    <row r="943" spans="3:11" ht="13">
      <c r="C943" s="46"/>
      <c r="D943" s="46"/>
      <c r="E943" s="46"/>
      <c r="F943" s="46"/>
      <c r="G943" s="46"/>
      <c r="H943" s="47"/>
      <c r="K943" s="46"/>
    </row>
    <row r="944" spans="3:11" ht="13">
      <c r="C944" s="46"/>
      <c r="D944" s="46"/>
      <c r="E944" s="46"/>
      <c r="F944" s="46"/>
      <c r="G944" s="46"/>
      <c r="H944" s="47"/>
      <c r="K944" s="46"/>
    </row>
    <row r="945" spans="3:11" ht="13">
      <c r="C945" s="46"/>
      <c r="D945" s="46"/>
      <c r="E945" s="46"/>
      <c r="F945" s="46"/>
      <c r="G945" s="46"/>
      <c r="H945" s="47"/>
      <c r="K945" s="46"/>
    </row>
    <row r="946" spans="3:11" ht="13">
      <c r="C946" s="46"/>
      <c r="D946" s="46"/>
      <c r="E946" s="46"/>
      <c r="F946" s="46"/>
      <c r="G946" s="46"/>
      <c r="H946" s="47"/>
      <c r="K946" s="46"/>
    </row>
    <row r="947" spans="3:11" ht="13">
      <c r="C947" s="46"/>
      <c r="D947" s="46"/>
      <c r="E947" s="46"/>
      <c r="F947" s="46"/>
      <c r="G947" s="46"/>
      <c r="H947" s="47"/>
      <c r="K947" s="46"/>
    </row>
    <row r="948" spans="3:11" ht="13">
      <c r="C948" s="46"/>
      <c r="D948" s="46"/>
      <c r="E948" s="46"/>
      <c r="F948" s="46"/>
      <c r="G948" s="46"/>
      <c r="H948" s="47"/>
      <c r="K948" s="46"/>
    </row>
    <row r="949" spans="3:11" ht="13">
      <c r="C949" s="46"/>
      <c r="D949" s="46"/>
      <c r="E949" s="46"/>
      <c r="F949" s="46"/>
      <c r="G949" s="46"/>
      <c r="H949" s="47"/>
      <c r="K949" s="46"/>
    </row>
    <row r="950" spans="3:11" ht="13">
      <c r="C950" s="46"/>
      <c r="D950" s="46"/>
      <c r="E950" s="46"/>
      <c r="F950" s="46"/>
      <c r="G950" s="46"/>
      <c r="H950" s="47"/>
      <c r="K950" s="46"/>
    </row>
    <row r="951" spans="3:11" ht="13">
      <c r="C951" s="46"/>
      <c r="D951" s="46"/>
      <c r="E951" s="46"/>
      <c r="F951" s="46"/>
      <c r="G951" s="46"/>
      <c r="H951" s="47"/>
      <c r="K951" s="46"/>
    </row>
    <row r="952" spans="3:11" ht="13">
      <c r="C952" s="46"/>
      <c r="D952" s="46"/>
      <c r="E952" s="46"/>
      <c r="F952" s="46"/>
      <c r="G952" s="46"/>
      <c r="H952" s="47"/>
      <c r="K952" s="46"/>
    </row>
    <row r="953" spans="3:11" ht="13">
      <c r="C953" s="46"/>
      <c r="D953" s="46"/>
      <c r="E953" s="46"/>
      <c r="F953" s="46"/>
      <c r="G953" s="46"/>
      <c r="H953" s="47"/>
      <c r="K953" s="46"/>
    </row>
    <row r="954" spans="3:11" ht="13">
      <c r="C954" s="46"/>
      <c r="D954" s="46"/>
      <c r="E954" s="46"/>
      <c r="F954" s="46"/>
      <c r="G954" s="46"/>
      <c r="H954" s="47"/>
      <c r="K954" s="46"/>
    </row>
    <row r="955" spans="3:11" ht="13">
      <c r="C955" s="46"/>
      <c r="D955" s="46"/>
      <c r="E955" s="46"/>
      <c r="F955" s="46"/>
      <c r="G955" s="46"/>
      <c r="H955" s="47"/>
      <c r="K955" s="46"/>
    </row>
    <row r="956" spans="3:11" ht="13">
      <c r="C956" s="46"/>
      <c r="D956" s="46"/>
      <c r="E956" s="46"/>
      <c r="F956" s="46"/>
      <c r="G956" s="46"/>
      <c r="H956" s="47"/>
      <c r="K956" s="46"/>
    </row>
    <row r="957" spans="3:11" ht="13">
      <c r="C957" s="46"/>
      <c r="D957" s="46"/>
      <c r="E957" s="46"/>
      <c r="F957" s="46"/>
      <c r="G957" s="46"/>
      <c r="H957" s="47"/>
      <c r="K957" s="46"/>
    </row>
    <row r="958" spans="3:11" ht="13">
      <c r="C958" s="46"/>
      <c r="D958" s="46"/>
      <c r="E958" s="46"/>
      <c r="F958" s="46"/>
      <c r="G958" s="46"/>
      <c r="H958" s="47"/>
      <c r="K958" s="46"/>
    </row>
    <row r="959" spans="3:11" ht="13">
      <c r="C959" s="46"/>
      <c r="D959" s="46"/>
      <c r="E959" s="46"/>
      <c r="F959" s="46"/>
      <c r="G959" s="46"/>
      <c r="H959" s="47"/>
      <c r="K959" s="46"/>
    </row>
    <row r="960" spans="3:11" ht="13">
      <c r="C960" s="46"/>
      <c r="D960" s="46"/>
      <c r="E960" s="46"/>
      <c r="F960" s="46"/>
      <c r="G960" s="46"/>
      <c r="H960" s="47"/>
      <c r="K960" s="46"/>
    </row>
    <row r="961" spans="3:11" ht="13">
      <c r="C961" s="46"/>
      <c r="D961" s="46"/>
      <c r="E961" s="46"/>
      <c r="F961" s="46"/>
      <c r="G961" s="46"/>
      <c r="H961" s="47"/>
      <c r="K961" s="46"/>
    </row>
    <row r="962" spans="3:11" ht="13">
      <c r="C962" s="46"/>
      <c r="D962" s="46"/>
      <c r="E962" s="46"/>
      <c r="F962" s="46"/>
      <c r="G962" s="46"/>
      <c r="H962" s="47"/>
      <c r="K962" s="46"/>
    </row>
    <row r="963" spans="3:11" ht="13">
      <c r="C963" s="46"/>
      <c r="D963" s="46"/>
      <c r="E963" s="46"/>
      <c r="F963" s="46"/>
      <c r="G963" s="46"/>
      <c r="H963" s="47"/>
      <c r="K963" s="46"/>
    </row>
    <row r="964" spans="3:11" ht="13">
      <c r="C964" s="46"/>
      <c r="D964" s="46"/>
      <c r="E964" s="46"/>
      <c r="F964" s="46"/>
      <c r="G964" s="46"/>
      <c r="H964" s="47"/>
      <c r="K964" s="46"/>
    </row>
    <row r="965" spans="3:11" ht="13">
      <c r="C965" s="46"/>
      <c r="D965" s="46"/>
      <c r="E965" s="46"/>
      <c r="F965" s="46"/>
      <c r="G965" s="46"/>
      <c r="H965" s="47"/>
      <c r="K965" s="46"/>
    </row>
    <row r="966" spans="3:11" ht="13">
      <c r="C966" s="46"/>
      <c r="D966" s="46"/>
      <c r="E966" s="46"/>
      <c r="F966" s="46"/>
      <c r="G966" s="46"/>
      <c r="H966" s="47"/>
      <c r="K966" s="46"/>
    </row>
    <row r="967" spans="3:11" ht="13">
      <c r="C967" s="46"/>
      <c r="D967" s="46"/>
      <c r="E967" s="46"/>
      <c r="F967" s="46"/>
      <c r="G967" s="46"/>
      <c r="H967" s="47"/>
      <c r="K967" s="46"/>
    </row>
    <row r="968" spans="3:11" ht="13">
      <c r="C968" s="46"/>
      <c r="D968" s="46"/>
      <c r="E968" s="46"/>
      <c r="F968" s="46"/>
      <c r="G968" s="46"/>
      <c r="H968" s="47"/>
      <c r="K968" s="46"/>
    </row>
    <row r="969" spans="3:11" ht="13">
      <c r="C969" s="46"/>
      <c r="D969" s="46"/>
      <c r="E969" s="46"/>
      <c r="F969" s="46"/>
      <c r="G969" s="46"/>
      <c r="H969" s="47"/>
      <c r="K969" s="46"/>
    </row>
    <row r="970" spans="3:11" ht="13">
      <c r="C970" s="46"/>
      <c r="D970" s="46"/>
      <c r="E970" s="46"/>
      <c r="F970" s="46"/>
      <c r="G970" s="46"/>
      <c r="H970" s="47"/>
      <c r="K970" s="46"/>
    </row>
    <row r="971" spans="3:11" ht="13">
      <c r="C971" s="46"/>
      <c r="D971" s="46"/>
      <c r="E971" s="46"/>
      <c r="F971" s="46"/>
      <c r="G971" s="46"/>
      <c r="H971" s="47"/>
      <c r="K971" s="46"/>
    </row>
    <row r="972" spans="3:11" ht="13">
      <c r="C972" s="46"/>
      <c r="D972" s="46"/>
      <c r="E972" s="46"/>
      <c r="F972" s="46"/>
      <c r="G972" s="46"/>
      <c r="H972" s="47"/>
      <c r="K972" s="46"/>
    </row>
    <row r="973" spans="3:11" ht="13">
      <c r="C973" s="46"/>
      <c r="D973" s="46"/>
      <c r="E973" s="46"/>
      <c r="F973" s="46"/>
      <c r="G973" s="46"/>
      <c r="H973" s="47"/>
      <c r="K973" s="46"/>
    </row>
    <row r="974" spans="3:11" ht="13">
      <c r="C974" s="46"/>
      <c r="D974" s="46"/>
      <c r="E974" s="46"/>
      <c r="F974" s="46"/>
      <c r="G974" s="46"/>
      <c r="H974" s="47"/>
      <c r="K974" s="46"/>
    </row>
    <row r="975" spans="3:11" ht="13">
      <c r="C975" s="46"/>
      <c r="D975" s="46"/>
      <c r="E975" s="46"/>
      <c r="F975" s="46"/>
      <c r="G975" s="46"/>
      <c r="H975" s="47"/>
      <c r="K975" s="46"/>
    </row>
    <row r="976" spans="3:11" ht="13">
      <c r="C976" s="46"/>
      <c r="D976" s="46"/>
      <c r="E976" s="46"/>
      <c r="F976" s="46"/>
      <c r="G976" s="46"/>
      <c r="H976" s="47"/>
      <c r="K976" s="46"/>
    </row>
    <row r="977" spans="3:11" ht="13">
      <c r="C977" s="46"/>
      <c r="D977" s="46"/>
      <c r="E977" s="46"/>
      <c r="F977" s="46"/>
      <c r="G977" s="46"/>
      <c r="H977" s="47"/>
      <c r="K977" s="46"/>
    </row>
    <row r="978" spans="3:11" ht="13">
      <c r="C978" s="46"/>
      <c r="D978" s="46"/>
      <c r="E978" s="46"/>
      <c r="F978" s="46"/>
      <c r="G978" s="46"/>
      <c r="H978" s="47"/>
      <c r="K978" s="46"/>
    </row>
    <row r="979" spans="3:11" ht="13">
      <c r="C979" s="46"/>
      <c r="D979" s="46"/>
      <c r="E979" s="46"/>
      <c r="F979" s="46"/>
      <c r="G979" s="46"/>
      <c r="H979" s="47"/>
      <c r="K979" s="46"/>
    </row>
    <row r="980" spans="3:11" ht="13">
      <c r="C980" s="46"/>
      <c r="D980" s="46"/>
      <c r="E980" s="46"/>
      <c r="F980" s="46"/>
      <c r="G980" s="46"/>
      <c r="H980" s="47"/>
      <c r="K980" s="46"/>
    </row>
    <row r="981" spans="3:11" ht="13">
      <c r="C981" s="46"/>
      <c r="D981" s="46"/>
      <c r="E981" s="46"/>
      <c r="F981" s="46"/>
      <c r="G981" s="46"/>
      <c r="H981" s="47"/>
      <c r="K981" s="46"/>
    </row>
    <row r="982" spans="3:11" ht="13">
      <c r="C982" s="46"/>
      <c r="D982" s="46"/>
      <c r="E982" s="46"/>
      <c r="F982" s="46"/>
      <c r="G982" s="46"/>
      <c r="H982" s="47"/>
      <c r="K982" s="46"/>
    </row>
    <row r="983" spans="3:11" ht="13">
      <c r="C983" s="46"/>
      <c r="D983" s="46"/>
      <c r="E983" s="46"/>
      <c r="F983" s="46"/>
      <c r="G983" s="46"/>
      <c r="H983" s="47"/>
      <c r="K983" s="46"/>
    </row>
    <row r="984" spans="3:11" ht="13">
      <c r="C984" s="46"/>
      <c r="D984" s="46"/>
      <c r="E984" s="46"/>
      <c r="F984" s="46"/>
      <c r="G984" s="46"/>
      <c r="H984" s="47"/>
      <c r="K984" s="46"/>
    </row>
    <row r="985" spans="3:11" ht="13">
      <c r="C985" s="46"/>
      <c r="D985" s="46"/>
      <c r="E985" s="46"/>
      <c r="F985" s="46"/>
      <c r="G985" s="46"/>
      <c r="H985" s="47"/>
      <c r="K985" s="46"/>
    </row>
    <row r="986" spans="3:11" ht="13">
      <c r="C986" s="46"/>
      <c r="D986" s="46"/>
      <c r="E986" s="46"/>
      <c r="F986" s="46"/>
      <c r="G986" s="46"/>
      <c r="H986" s="47"/>
      <c r="K986" s="46"/>
    </row>
    <row r="987" spans="3:11" ht="13">
      <c r="C987" s="46"/>
      <c r="D987" s="46"/>
      <c r="E987" s="46"/>
      <c r="F987" s="46"/>
      <c r="G987" s="46"/>
      <c r="H987" s="47"/>
      <c r="K987" s="46"/>
    </row>
    <row r="988" spans="3:11" ht="13">
      <c r="C988" s="46"/>
      <c r="D988" s="46"/>
      <c r="E988" s="46"/>
      <c r="F988" s="46"/>
      <c r="G988" s="46"/>
      <c r="H988" s="47"/>
      <c r="K988" s="46"/>
    </row>
    <row r="989" spans="3:11" ht="13">
      <c r="C989" s="46"/>
      <c r="D989" s="46"/>
      <c r="E989" s="46"/>
      <c r="F989" s="46"/>
      <c r="G989" s="46"/>
      <c r="H989" s="47"/>
      <c r="K989" s="46"/>
    </row>
    <row r="990" spans="3:11" ht="13">
      <c r="C990" s="46"/>
      <c r="D990" s="46"/>
      <c r="E990" s="46"/>
      <c r="F990" s="46"/>
      <c r="G990" s="46"/>
      <c r="H990" s="47"/>
      <c r="K990" s="46"/>
    </row>
    <row r="991" spans="3:11" ht="13">
      <c r="C991" s="46"/>
      <c r="D991" s="46"/>
      <c r="E991" s="46"/>
      <c r="F991" s="46"/>
      <c r="G991" s="46"/>
      <c r="H991" s="47"/>
      <c r="K991" s="46"/>
    </row>
    <row r="992" spans="3:11" ht="13">
      <c r="C992" s="46"/>
      <c r="D992" s="46"/>
      <c r="E992" s="46"/>
      <c r="F992" s="46"/>
      <c r="G992" s="46"/>
      <c r="H992" s="47"/>
      <c r="K992" s="46"/>
    </row>
    <row r="993" spans="3:11" ht="13">
      <c r="C993" s="46"/>
      <c r="D993" s="46"/>
      <c r="E993" s="46"/>
      <c r="F993" s="46"/>
      <c r="G993" s="46"/>
      <c r="H993" s="47"/>
      <c r="K993" s="46"/>
    </row>
    <row r="994" spans="3:11" ht="13">
      <c r="C994" s="46"/>
      <c r="D994" s="46"/>
      <c r="E994" s="46"/>
      <c r="F994" s="46"/>
      <c r="G994" s="46"/>
      <c r="H994" s="47"/>
      <c r="K994" s="46"/>
    </row>
    <row r="995" spans="3:11" ht="13">
      <c r="C995" s="46"/>
      <c r="D995" s="46"/>
      <c r="E995" s="46"/>
      <c r="F995" s="46"/>
      <c r="G995" s="46"/>
      <c r="H995" s="47"/>
      <c r="K995" s="46"/>
    </row>
    <row r="996" spans="3:11" ht="13">
      <c r="C996" s="46"/>
      <c r="D996" s="46"/>
      <c r="E996" s="46"/>
      <c r="F996" s="46"/>
      <c r="G996" s="46"/>
      <c r="H996" s="47"/>
      <c r="K996" s="46"/>
    </row>
    <row r="997" spans="3:11" ht="13">
      <c r="C997" s="46"/>
      <c r="D997" s="46"/>
      <c r="E997" s="46"/>
      <c r="F997" s="46"/>
      <c r="G997" s="46"/>
      <c r="H997" s="47"/>
      <c r="K997" s="46"/>
    </row>
    <row r="998" spans="3:11" ht="13">
      <c r="C998" s="46"/>
      <c r="D998" s="46"/>
      <c r="E998" s="46"/>
      <c r="F998" s="46"/>
      <c r="G998" s="46"/>
      <c r="H998" s="47"/>
      <c r="K998" s="46"/>
    </row>
    <row r="999" spans="3:11" ht="13">
      <c r="C999" s="46"/>
      <c r="D999" s="46"/>
      <c r="E999" s="46"/>
      <c r="F999" s="46"/>
      <c r="G999" s="46"/>
      <c r="H999" s="47"/>
      <c r="K999" s="46"/>
    </row>
    <row r="1000" spans="3:11" ht="13">
      <c r="C1000" s="46"/>
      <c r="D1000" s="46"/>
      <c r="E1000" s="46"/>
      <c r="F1000" s="46"/>
      <c r="G1000" s="46"/>
      <c r="H1000" s="47"/>
      <c r="K1000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79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21.5" customWidth="1"/>
  </cols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 t="s">
        <v>228</v>
      </c>
      <c r="K1" s="51" t="s">
        <v>229</v>
      </c>
      <c r="L1" s="54"/>
      <c r="M1" s="54"/>
      <c r="N1" s="51"/>
      <c r="O1" s="51"/>
    </row>
    <row r="2" spans="1:20" ht="15.75" customHeight="1">
      <c r="A2" s="34" t="s">
        <v>113</v>
      </c>
      <c r="B2" s="41">
        <v>449</v>
      </c>
      <c r="C2" s="41">
        <v>41</v>
      </c>
      <c r="D2" s="41">
        <v>21</v>
      </c>
      <c r="E2" s="41">
        <v>43</v>
      </c>
      <c r="F2" s="41">
        <v>64</v>
      </c>
      <c r="G2" s="41">
        <v>92</v>
      </c>
      <c r="H2" s="61">
        <v>45603</v>
      </c>
      <c r="I2" s="63" t="s">
        <v>230</v>
      </c>
      <c r="J2" s="51">
        <v>18</v>
      </c>
      <c r="K2" s="51">
        <v>23</v>
      </c>
      <c r="L2" s="54"/>
      <c r="M2" s="54"/>
      <c r="N2" s="54"/>
      <c r="O2" s="51"/>
      <c r="P2" s="51">
        <v>2</v>
      </c>
      <c r="Q2" s="51">
        <v>0</v>
      </c>
      <c r="R2" s="51">
        <v>0</v>
      </c>
      <c r="S2" s="51">
        <v>1</v>
      </c>
      <c r="T2" s="51">
        <v>1</v>
      </c>
    </row>
    <row r="3" spans="1:20" ht="15.75" customHeight="1">
      <c r="A3" s="34" t="s">
        <v>114</v>
      </c>
      <c r="B3" s="41">
        <v>532</v>
      </c>
      <c r="C3" s="41">
        <v>44</v>
      </c>
      <c r="D3" s="41">
        <v>18</v>
      </c>
      <c r="E3" s="41">
        <v>42</v>
      </c>
      <c r="F3" s="41">
        <v>58</v>
      </c>
      <c r="G3" s="41">
        <v>79</v>
      </c>
      <c r="H3" s="61">
        <v>45605</v>
      </c>
      <c r="I3" s="63" t="s">
        <v>231</v>
      </c>
      <c r="J3" s="51">
        <v>18</v>
      </c>
      <c r="K3" s="51">
        <v>26</v>
      </c>
      <c r="L3" s="54"/>
      <c r="M3" s="54"/>
      <c r="N3" s="54"/>
      <c r="O3" s="51"/>
      <c r="P3" s="51">
        <v>4</v>
      </c>
      <c r="Q3" s="51">
        <v>0</v>
      </c>
      <c r="R3" s="51">
        <v>3</v>
      </c>
      <c r="S3" s="51">
        <v>0</v>
      </c>
      <c r="T3" s="51">
        <v>1</v>
      </c>
    </row>
    <row r="4" spans="1:20" ht="15.75" customHeight="1">
      <c r="A4" s="34" t="s">
        <v>115</v>
      </c>
      <c r="B4" s="41">
        <v>857</v>
      </c>
      <c r="C4" s="41">
        <v>46</v>
      </c>
      <c r="D4" s="41">
        <v>22</v>
      </c>
      <c r="E4" s="41">
        <v>48</v>
      </c>
      <c r="F4" s="41">
        <v>68</v>
      </c>
      <c r="G4" s="41">
        <v>127</v>
      </c>
      <c r="H4" s="64">
        <v>45610</v>
      </c>
      <c r="I4" s="63" t="s">
        <v>232</v>
      </c>
      <c r="J4" s="51">
        <v>17</v>
      </c>
      <c r="K4" s="51">
        <v>36</v>
      </c>
      <c r="L4" s="54"/>
      <c r="M4" s="54"/>
      <c r="N4" s="54"/>
      <c r="O4" s="51"/>
      <c r="P4" s="51">
        <v>2</v>
      </c>
      <c r="Q4" s="51">
        <v>0</v>
      </c>
      <c r="R4" s="51">
        <v>2</v>
      </c>
      <c r="S4" s="51">
        <v>1</v>
      </c>
      <c r="T4" s="51">
        <v>0</v>
      </c>
    </row>
    <row r="5" spans="1:20" ht="15.75" customHeight="1">
      <c r="A5" s="34" t="s">
        <v>116</v>
      </c>
      <c r="B5" s="41">
        <v>490</v>
      </c>
      <c r="C5" s="41">
        <v>48</v>
      </c>
      <c r="D5" s="41">
        <v>21</v>
      </c>
      <c r="E5" s="41">
        <v>47</v>
      </c>
      <c r="F5" s="41">
        <v>67</v>
      </c>
      <c r="G5" s="41">
        <v>79</v>
      </c>
      <c r="H5" s="64">
        <v>45616</v>
      </c>
      <c r="I5" s="63" t="s">
        <v>233</v>
      </c>
      <c r="J5" s="51">
        <v>15</v>
      </c>
      <c r="K5" s="51">
        <v>25</v>
      </c>
      <c r="L5" s="54"/>
      <c r="M5" s="54"/>
      <c r="N5" s="54"/>
      <c r="O5" s="51"/>
      <c r="P5" s="51">
        <v>1</v>
      </c>
      <c r="Q5" s="51">
        <v>0</v>
      </c>
      <c r="R5" s="51">
        <v>4</v>
      </c>
      <c r="S5" s="51">
        <v>0</v>
      </c>
      <c r="T5" s="51">
        <v>1</v>
      </c>
    </row>
    <row r="6" spans="1:20" ht="15.75" customHeight="1">
      <c r="A6" s="34" t="s">
        <v>117</v>
      </c>
      <c r="B6" s="41">
        <v>730</v>
      </c>
      <c r="C6" s="41">
        <v>74</v>
      </c>
      <c r="D6" s="41">
        <v>24</v>
      </c>
      <c r="E6" s="41">
        <v>44</v>
      </c>
      <c r="F6" s="41">
        <v>67</v>
      </c>
      <c r="G6" s="41">
        <v>122</v>
      </c>
      <c r="H6" s="64">
        <v>45618</v>
      </c>
      <c r="I6" s="63" t="s">
        <v>234</v>
      </c>
      <c r="J6" s="51">
        <v>14</v>
      </c>
      <c r="K6" s="51">
        <v>37</v>
      </c>
      <c r="L6" s="54"/>
      <c r="M6" s="54"/>
      <c r="N6" s="54"/>
      <c r="O6" s="51"/>
      <c r="P6" s="51">
        <v>6</v>
      </c>
      <c r="Q6" s="51">
        <v>0</v>
      </c>
      <c r="R6" s="51">
        <v>1</v>
      </c>
      <c r="S6" s="51">
        <v>1</v>
      </c>
      <c r="T6" s="51">
        <v>1</v>
      </c>
    </row>
    <row r="7" spans="1:20" ht="15.75" customHeight="1">
      <c r="A7" s="34" t="s">
        <v>118</v>
      </c>
      <c r="B7" s="41">
        <v>475</v>
      </c>
      <c r="C7" s="41">
        <v>48</v>
      </c>
      <c r="D7" s="41">
        <v>21</v>
      </c>
      <c r="E7" s="41">
        <v>45</v>
      </c>
      <c r="F7" s="41">
        <v>69</v>
      </c>
      <c r="G7" s="41">
        <v>85</v>
      </c>
      <c r="H7" s="64">
        <v>45622</v>
      </c>
      <c r="I7" s="63" t="s">
        <v>235</v>
      </c>
      <c r="J7" s="51">
        <v>15</v>
      </c>
      <c r="K7" s="51">
        <v>33</v>
      </c>
      <c r="L7" s="54"/>
      <c r="M7" s="54"/>
      <c r="N7" s="54"/>
      <c r="O7" s="51"/>
      <c r="P7" s="51">
        <v>6</v>
      </c>
      <c r="Q7" s="51">
        <v>1</v>
      </c>
      <c r="R7" s="51">
        <v>2</v>
      </c>
      <c r="S7" s="51">
        <v>3</v>
      </c>
      <c r="T7" s="51">
        <v>1</v>
      </c>
    </row>
    <row r="8" spans="1:20" ht="15.75" customHeight="1">
      <c r="A8" s="34" t="s">
        <v>119</v>
      </c>
      <c r="B8" s="41">
        <v>502</v>
      </c>
      <c r="C8" s="41">
        <v>44</v>
      </c>
      <c r="D8" s="41">
        <v>19</v>
      </c>
      <c r="E8" s="41">
        <v>45</v>
      </c>
      <c r="F8" s="41">
        <v>58</v>
      </c>
      <c r="G8" s="41">
        <v>71</v>
      </c>
      <c r="H8" s="64">
        <v>45623</v>
      </c>
      <c r="I8" s="63" t="s">
        <v>236</v>
      </c>
      <c r="J8" s="51">
        <v>7</v>
      </c>
      <c r="K8" s="51">
        <v>28</v>
      </c>
      <c r="L8" s="54"/>
      <c r="M8" s="54"/>
      <c r="N8" s="54"/>
      <c r="O8" s="51"/>
      <c r="P8" s="51">
        <v>5</v>
      </c>
      <c r="Q8" s="51">
        <v>0</v>
      </c>
      <c r="R8" s="51">
        <v>0</v>
      </c>
      <c r="S8" s="51">
        <v>3</v>
      </c>
      <c r="T8" s="51">
        <v>4</v>
      </c>
    </row>
    <row r="9" spans="1:20" ht="15.75" customHeight="1">
      <c r="A9" s="34" t="s">
        <v>120</v>
      </c>
      <c r="B9" s="41">
        <v>735</v>
      </c>
      <c r="C9" s="41">
        <v>68</v>
      </c>
      <c r="D9" s="41">
        <v>21</v>
      </c>
      <c r="E9" s="41">
        <v>47</v>
      </c>
      <c r="F9" s="41">
        <v>67</v>
      </c>
      <c r="G9" s="41">
        <v>116</v>
      </c>
      <c r="H9" s="61">
        <v>45631</v>
      </c>
      <c r="I9" s="63" t="s">
        <v>237</v>
      </c>
      <c r="J9" s="51">
        <v>19</v>
      </c>
      <c r="K9" s="51">
        <v>37</v>
      </c>
      <c r="L9" s="54"/>
      <c r="M9" s="54"/>
      <c r="N9" s="54"/>
      <c r="O9" s="51"/>
      <c r="P9" s="51">
        <v>6</v>
      </c>
      <c r="Q9" s="51">
        <v>0</v>
      </c>
      <c r="R9" s="51">
        <v>0</v>
      </c>
      <c r="S9" s="51">
        <v>3</v>
      </c>
      <c r="T9" s="51">
        <v>3</v>
      </c>
    </row>
    <row r="10" spans="1:20" ht="15.75" customHeight="1">
      <c r="A10" s="34" t="s">
        <v>121</v>
      </c>
      <c r="B10" s="41">
        <v>597</v>
      </c>
      <c r="C10" s="41">
        <v>51</v>
      </c>
      <c r="D10" s="41">
        <v>21</v>
      </c>
      <c r="E10" s="41">
        <v>48</v>
      </c>
      <c r="F10" s="41">
        <v>71</v>
      </c>
      <c r="G10" s="41">
        <v>96</v>
      </c>
      <c r="H10" s="61">
        <v>45633</v>
      </c>
      <c r="I10" s="63" t="s">
        <v>238</v>
      </c>
      <c r="J10" s="51">
        <v>22</v>
      </c>
      <c r="K10" s="51">
        <v>31</v>
      </c>
      <c r="L10" s="54"/>
      <c r="M10" s="54"/>
      <c r="N10" s="54"/>
      <c r="O10" s="51"/>
      <c r="P10" s="51">
        <v>3</v>
      </c>
      <c r="Q10" s="51">
        <v>0</v>
      </c>
      <c r="R10" s="51">
        <v>1</v>
      </c>
      <c r="S10" s="51">
        <v>3</v>
      </c>
      <c r="T10" s="51">
        <v>1</v>
      </c>
    </row>
    <row r="11" spans="1:20" ht="15.75" customHeight="1">
      <c r="A11" s="34" t="s">
        <v>122</v>
      </c>
      <c r="B11" s="41">
        <v>630</v>
      </c>
      <c r="C11" s="41">
        <v>56</v>
      </c>
      <c r="D11" s="41">
        <v>22</v>
      </c>
      <c r="E11" s="41">
        <v>47</v>
      </c>
      <c r="F11" s="41">
        <v>76</v>
      </c>
      <c r="G11" s="41">
        <v>122</v>
      </c>
      <c r="H11" s="64">
        <v>45639</v>
      </c>
      <c r="I11" s="63" t="s">
        <v>239</v>
      </c>
      <c r="J11" s="51">
        <v>20</v>
      </c>
      <c r="K11" s="51">
        <v>33</v>
      </c>
      <c r="L11" s="54"/>
      <c r="M11" s="54"/>
      <c r="N11" s="51"/>
      <c r="O11" s="51"/>
      <c r="P11" s="51">
        <v>3</v>
      </c>
      <c r="Q11" s="51">
        <v>0</v>
      </c>
      <c r="R11" s="51">
        <v>2</v>
      </c>
      <c r="S11" s="51">
        <v>5</v>
      </c>
      <c r="T11" s="51">
        <v>3</v>
      </c>
    </row>
    <row r="12" spans="1:20" ht="15.75" customHeight="1">
      <c r="A12" s="34" t="s">
        <v>124</v>
      </c>
      <c r="B12" s="41">
        <v>580</v>
      </c>
      <c r="C12" s="41">
        <v>61</v>
      </c>
      <c r="D12" s="41">
        <v>23</v>
      </c>
      <c r="E12" s="41">
        <v>45</v>
      </c>
      <c r="F12" s="41">
        <v>68</v>
      </c>
      <c r="G12" s="41">
        <v>95</v>
      </c>
      <c r="H12" s="64">
        <v>45647</v>
      </c>
      <c r="I12" s="63" t="s">
        <v>240</v>
      </c>
      <c r="J12" s="51">
        <v>19</v>
      </c>
      <c r="K12" s="51">
        <v>30</v>
      </c>
      <c r="L12" s="54"/>
      <c r="M12" s="54"/>
      <c r="N12" s="54"/>
      <c r="O12" s="51"/>
      <c r="P12" s="51">
        <v>2</v>
      </c>
      <c r="Q12" s="51">
        <v>0</v>
      </c>
      <c r="R12" s="51">
        <v>0</v>
      </c>
      <c r="S12" s="51">
        <v>1</v>
      </c>
      <c r="T12" s="51">
        <v>1</v>
      </c>
    </row>
    <row r="13" spans="1:20" ht="15.75" customHeight="1">
      <c r="A13" s="34" t="s">
        <v>125</v>
      </c>
      <c r="B13" s="41">
        <v>742</v>
      </c>
      <c r="C13" s="41">
        <v>66</v>
      </c>
      <c r="D13" s="41">
        <v>19</v>
      </c>
      <c r="E13" s="41">
        <v>48</v>
      </c>
      <c r="F13" s="41">
        <v>71</v>
      </c>
      <c r="G13" s="41">
        <v>112</v>
      </c>
      <c r="H13" s="64">
        <v>45648</v>
      </c>
      <c r="I13" s="63" t="s">
        <v>241</v>
      </c>
      <c r="J13" s="51">
        <v>20</v>
      </c>
      <c r="K13" s="51">
        <v>29</v>
      </c>
      <c r="L13" s="54"/>
      <c r="M13" s="54"/>
      <c r="N13" s="54"/>
      <c r="O13" s="51"/>
      <c r="P13" s="51">
        <v>3</v>
      </c>
      <c r="Q13" s="51">
        <v>0</v>
      </c>
      <c r="R13" s="51">
        <v>1</v>
      </c>
      <c r="S13" s="51">
        <v>2</v>
      </c>
      <c r="T13" s="51">
        <v>1</v>
      </c>
    </row>
    <row r="14" spans="1:20" ht="15.75" customHeight="1">
      <c r="A14" s="34" t="s">
        <v>126</v>
      </c>
      <c r="B14" s="41">
        <v>643</v>
      </c>
      <c r="C14" s="41">
        <v>39</v>
      </c>
      <c r="D14" s="41">
        <v>19</v>
      </c>
      <c r="E14" s="41">
        <v>48</v>
      </c>
      <c r="F14" s="41">
        <v>68</v>
      </c>
      <c r="G14" s="41">
        <v>114</v>
      </c>
      <c r="H14" s="61">
        <v>45659</v>
      </c>
      <c r="I14" s="63" t="s">
        <v>242</v>
      </c>
      <c r="J14" s="51">
        <v>18</v>
      </c>
      <c r="K14" s="51">
        <v>38</v>
      </c>
      <c r="L14" s="54"/>
      <c r="M14" s="54"/>
      <c r="N14" s="54"/>
      <c r="O14" s="51"/>
      <c r="P14" s="51">
        <v>4</v>
      </c>
      <c r="Q14" s="51">
        <v>0</v>
      </c>
      <c r="R14" s="51">
        <v>1</v>
      </c>
      <c r="S14" s="51">
        <v>6</v>
      </c>
      <c r="T14" s="51">
        <v>0</v>
      </c>
    </row>
    <row r="15" spans="1:20" ht="15.75" customHeight="1">
      <c r="A15" s="34" t="s">
        <v>127</v>
      </c>
      <c r="B15" s="41">
        <v>629</v>
      </c>
      <c r="C15" s="41">
        <v>53</v>
      </c>
      <c r="D15" s="41">
        <v>19</v>
      </c>
      <c r="E15" s="41">
        <v>44</v>
      </c>
      <c r="F15" s="41">
        <v>63</v>
      </c>
      <c r="G15" s="41">
        <v>88</v>
      </c>
      <c r="H15" s="61">
        <v>45662</v>
      </c>
      <c r="I15" s="63" t="s">
        <v>243</v>
      </c>
      <c r="J15" s="51">
        <v>10</v>
      </c>
      <c r="K15" s="51">
        <v>36</v>
      </c>
      <c r="L15" s="54"/>
      <c r="M15" s="54"/>
      <c r="N15" s="54"/>
      <c r="O15" s="51"/>
      <c r="P15" s="51">
        <v>1</v>
      </c>
      <c r="Q15" s="51">
        <v>0</v>
      </c>
      <c r="R15" s="51">
        <v>0</v>
      </c>
      <c r="S15" s="51">
        <v>3</v>
      </c>
      <c r="T15" s="51">
        <v>0</v>
      </c>
    </row>
    <row r="16" spans="1:20" ht="15.75" customHeight="1">
      <c r="A16" s="34" t="s">
        <v>128</v>
      </c>
      <c r="B16" s="41">
        <v>690</v>
      </c>
      <c r="C16" s="41">
        <v>51</v>
      </c>
      <c r="D16" s="41">
        <v>20</v>
      </c>
      <c r="E16" s="41">
        <v>44</v>
      </c>
      <c r="F16" s="41">
        <v>66</v>
      </c>
      <c r="G16" s="41">
        <v>90</v>
      </c>
      <c r="H16" s="61">
        <v>45666</v>
      </c>
      <c r="I16" s="63" t="s">
        <v>244</v>
      </c>
      <c r="J16" s="51">
        <v>15</v>
      </c>
      <c r="K16" s="51">
        <v>37</v>
      </c>
      <c r="L16" s="54"/>
      <c r="M16" s="54"/>
      <c r="N16" s="51"/>
      <c r="O16" s="51"/>
      <c r="P16" s="51">
        <v>0</v>
      </c>
      <c r="Q16" s="51">
        <v>0</v>
      </c>
      <c r="R16" s="51">
        <v>1</v>
      </c>
      <c r="S16" s="51">
        <v>1</v>
      </c>
      <c r="T16" s="51">
        <v>2</v>
      </c>
    </row>
    <row r="17" spans="1:20" ht="15.75" customHeight="1">
      <c r="A17" s="34" t="s">
        <v>129</v>
      </c>
      <c r="B17" s="41">
        <v>754</v>
      </c>
      <c r="C17" s="41">
        <v>78</v>
      </c>
      <c r="D17" s="41">
        <v>22</v>
      </c>
      <c r="E17" s="41">
        <v>46</v>
      </c>
      <c r="F17" s="41">
        <v>68</v>
      </c>
      <c r="G17" s="41">
        <v>140</v>
      </c>
      <c r="H17" s="61">
        <v>45669</v>
      </c>
      <c r="I17" s="63" t="s">
        <v>245</v>
      </c>
      <c r="J17" s="51">
        <v>18</v>
      </c>
      <c r="K17" s="51">
        <v>36</v>
      </c>
      <c r="L17" s="54"/>
      <c r="M17" s="54"/>
      <c r="N17" s="51"/>
      <c r="O17" s="51"/>
      <c r="P17" s="51">
        <v>3</v>
      </c>
      <c r="Q17" s="51">
        <v>0</v>
      </c>
      <c r="R17" s="51">
        <v>1</v>
      </c>
      <c r="S17" s="51">
        <v>2</v>
      </c>
      <c r="T17" s="51">
        <v>1</v>
      </c>
    </row>
    <row r="18" spans="1:20" ht="15.75" customHeight="1">
      <c r="A18" s="34" t="s">
        <v>130</v>
      </c>
      <c r="B18" s="41">
        <v>589</v>
      </c>
      <c r="C18" s="41">
        <v>45</v>
      </c>
      <c r="D18" s="41">
        <v>19</v>
      </c>
      <c r="E18" s="41">
        <v>46</v>
      </c>
      <c r="F18" s="41">
        <v>68</v>
      </c>
      <c r="G18" s="41">
        <v>90</v>
      </c>
      <c r="H18" s="61">
        <v>45673</v>
      </c>
      <c r="I18" s="63" t="s">
        <v>246</v>
      </c>
      <c r="J18" s="51">
        <v>2</v>
      </c>
      <c r="K18" s="51">
        <v>32</v>
      </c>
      <c r="L18" s="54"/>
      <c r="M18" s="51"/>
      <c r="N18" s="51"/>
      <c r="O18" s="51"/>
      <c r="P18" s="51">
        <v>2</v>
      </c>
      <c r="Q18" s="51">
        <v>0</v>
      </c>
      <c r="R18" s="51">
        <v>0</v>
      </c>
      <c r="S18" s="51">
        <v>1</v>
      </c>
      <c r="T18" s="51">
        <v>2</v>
      </c>
    </row>
    <row r="19" spans="1:20" ht="15.75" customHeight="1">
      <c r="A19" s="34" t="s">
        <v>131</v>
      </c>
      <c r="B19" s="41">
        <v>789</v>
      </c>
      <c r="C19" s="41">
        <v>60</v>
      </c>
      <c r="D19" s="41">
        <v>21</v>
      </c>
      <c r="E19" s="41">
        <v>48</v>
      </c>
      <c r="F19" s="41">
        <v>74</v>
      </c>
      <c r="G19" s="41">
        <v>131</v>
      </c>
      <c r="H19" s="61">
        <v>45676</v>
      </c>
      <c r="I19" s="63" t="s">
        <v>247</v>
      </c>
      <c r="J19" s="51">
        <v>14</v>
      </c>
      <c r="K19" s="51">
        <v>34</v>
      </c>
      <c r="L19" s="54"/>
      <c r="M19" s="54"/>
      <c r="N19" s="51"/>
      <c r="O19" s="51"/>
      <c r="P19" s="51">
        <v>3</v>
      </c>
      <c r="Q19" s="51">
        <v>0</v>
      </c>
      <c r="R19" s="51">
        <v>2</v>
      </c>
      <c r="S19" s="51">
        <v>4</v>
      </c>
      <c r="T19" s="51">
        <v>3</v>
      </c>
    </row>
    <row r="20" spans="1:20" ht="15.75" customHeight="1">
      <c r="A20" s="34" t="s">
        <v>122</v>
      </c>
      <c r="B20" s="41">
        <v>771</v>
      </c>
      <c r="C20" s="41">
        <v>85</v>
      </c>
      <c r="D20" s="41">
        <v>22</v>
      </c>
      <c r="E20" s="41">
        <v>49</v>
      </c>
      <c r="F20" s="41">
        <v>69</v>
      </c>
      <c r="G20" s="41">
        <v>123</v>
      </c>
      <c r="H20" s="61">
        <v>45680</v>
      </c>
      <c r="I20" s="63" t="s">
        <v>248</v>
      </c>
      <c r="J20" s="51">
        <v>17</v>
      </c>
      <c r="K20" s="51">
        <v>38</v>
      </c>
      <c r="L20" s="54"/>
      <c r="M20" s="54"/>
      <c r="N20" s="54"/>
      <c r="O20" s="51"/>
      <c r="P20" s="51">
        <v>3</v>
      </c>
      <c r="Q20" s="51">
        <v>0</v>
      </c>
      <c r="R20" s="51">
        <v>0</v>
      </c>
      <c r="S20" s="51">
        <v>6</v>
      </c>
      <c r="T20" s="51">
        <v>2</v>
      </c>
    </row>
    <row r="21" spans="1:20" ht="15.75" customHeight="1">
      <c r="A21" s="34" t="s">
        <v>132</v>
      </c>
      <c r="B21" s="41">
        <v>664</v>
      </c>
      <c r="C21" s="41">
        <v>87</v>
      </c>
      <c r="D21" s="41">
        <v>21</v>
      </c>
      <c r="E21" s="41">
        <v>42</v>
      </c>
      <c r="F21" s="41">
        <v>66</v>
      </c>
      <c r="G21" s="41">
        <v>132</v>
      </c>
      <c r="H21" s="61">
        <v>45687</v>
      </c>
      <c r="I21" s="63" t="s">
        <v>249</v>
      </c>
      <c r="J21" s="51">
        <v>20</v>
      </c>
      <c r="K21" s="51">
        <v>38</v>
      </c>
      <c r="L21" s="54"/>
      <c r="M21" s="54"/>
      <c r="N21" s="54"/>
      <c r="O21" s="51"/>
      <c r="P21" s="51">
        <v>3</v>
      </c>
      <c r="Q21" s="51">
        <v>2</v>
      </c>
      <c r="R21" s="51">
        <v>0</v>
      </c>
      <c r="S21" s="51">
        <v>3</v>
      </c>
      <c r="T21" s="51">
        <v>1</v>
      </c>
    </row>
    <row r="22" spans="1:20" ht="15.75" customHeight="1">
      <c r="A22" s="34" t="s">
        <v>134</v>
      </c>
      <c r="B22" s="41">
        <v>729</v>
      </c>
      <c r="C22" s="41">
        <v>94</v>
      </c>
      <c r="D22" s="41">
        <v>20</v>
      </c>
      <c r="E22" s="41">
        <v>48</v>
      </c>
      <c r="F22" s="41">
        <v>73</v>
      </c>
      <c r="G22" s="41">
        <v>150</v>
      </c>
      <c r="H22" s="61">
        <v>45694</v>
      </c>
      <c r="I22" s="63" t="s">
        <v>250</v>
      </c>
      <c r="J22" s="51">
        <v>12</v>
      </c>
      <c r="K22" s="51">
        <v>39</v>
      </c>
      <c r="L22" s="54"/>
      <c r="M22" s="54"/>
      <c r="N22" s="54"/>
      <c r="O22" s="51"/>
      <c r="P22" s="51">
        <v>3</v>
      </c>
      <c r="Q22" s="51">
        <v>0</v>
      </c>
      <c r="R22" s="51">
        <v>0</v>
      </c>
      <c r="S22" s="51">
        <v>1</v>
      </c>
      <c r="T22" s="51">
        <v>0</v>
      </c>
    </row>
    <row r="23" spans="1:20" ht="15.75" customHeight="1">
      <c r="A23" s="34" t="s">
        <v>136</v>
      </c>
      <c r="B23" s="41">
        <v>601</v>
      </c>
      <c r="C23" s="41">
        <v>57</v>
      </c>
      <c r="D23" s="41">
        <v>20</v>
      </c>
      <c r="E23" s="41">
        <v>46</v>
      </c>
      <c r="F23" s="41">
        <v>75</v>
      </c>
      <c r="G23" s="41">
        <v>109</v>
      </c>
      <c r="H23" s="61">
        <v>45697</v>
      </c>
      <c r="I23" s="63" t="s">
        <v>251</v>
      </c>
      <c r="J23" s="51">
        <v>7</v>
      </c>
      <c r="K23" s="51">
        <v>35</v>
      </c>
      <c r="L23" s="54"/>
      <c r="M23" s="54"/>
      <c r="N23" s="51"/>
      <c r="O23" s="51"/>
      <c r="P23" s="51">
        <v>4</v>
      </c>
      <c r="Q23" s="51">
        <v>0</v>
      </c>
      <c r="R23" s="51">
        <v>1</v>
      </c>
      <c r="S23" s="51">
        <v>2</v>
      </c>
      <c r="T23" s="51">
        <v>2</v>
      </c>
    </row>
    <row r="24" spans="1:20" ht="15.75" customHeight="1">
      <c r="A24" s="34" t="s">
        <v>137</v>
      </c>
      <c r="B24" s="41">
        <v>579</v>
      </c>
      <c r="C24" s="65">
        <f>AVERAGE(C2:C23,C25:C31)</f>
        <v>60.03448275862069</v>
      </c>
      <c r="D24" s="41">
        <v>19</v>
      </c>
      <c r="E24" s="41">
        <v>43</v>
      </c>
      <c r="F24" s="41">
        <v>63</v>
      </c>
      <c r="G24" s="41">
        <v>54</v>
      </c>
      <c r="H24" s="61">
        <v>45701</v>
      </c>
      <c r="I24" s="63" t="s">
        <v>252</v>
      </c>
      <c r="J24" s="51">
        <v>12</v>
      </c>
      <c r="K24" s="51">
        <v>29</v>
      </c>
      <c r="L24" s="54"/>
      <c r="M24" s="54"/>
      <c r="N24" s="54"/>
      <c r="O24" s="51"/>
      <c r="P24" s="51">
        <v>4</v>
      </c>
      <c r="Q24" s="51">
        <v>1</v>
      </c>
      <c r="R24" s="51">
        <v>1</v>
      </c>
      <c r="S24" s="51">
        <v>1</v>
      </c>
      <c r="T24" s="51">
        <v>2</v>
      </c>
    </row>
    <row r="25" spans="1:20" ht="15.75" customHeight="1">
      <c r="A25" s="34" t="s">
        <v>138</v>
      </c>
      <c r="B25" s="41">
        <v>942</v>
      </c>
      <c r="C25" s="41">
        <v>98</v>
      </c>
      <c r="D25" s="41">
        <v>21</v>
      </c>
      <c r="E25" s="41">
        <v>47</v>
      </c>
      <c r="F25" s="41">
        <v>71</v>
      </c>
      <c r="G25" s="41">
        <v>162</v>
      </c>
      <c r="H25" s="61">
        <v>45704</v>
      </c>
      <c r="I25" s="63" t="s">
        <v>253</v>
      </c>
      <c r="J25" s="51">
        <v>6</v>
      </c>
      <c r="K25" s="51">
        <v>40</v>
      </c>
      <c r="L25" s="54"/>
      <c r="M25" s="54"/>
      <c r="N25" s="54"/>
      <c r="O25" s="51"/>
      <c r="P25" s="51">
        <v>3</v>
      </c>
      <c r="Q25" s="51">
        <v>0</v>
      </c>
      <c r="R25" s="51">
        <v>2</v>
      </c>
      <c r="S25" s="51">
        <v>6</v>
      </c>
      <c r="T25" s="51">
        <v>2</v>
      </c>
    </row>
    <row r="26" spans="1:20" ht="15.75" customHeight="1">
      <c r="A26" s="34" t="s">
        <v>139</v>
      </c>
      <c r="B26" s="41">
        <v>714</v>
      </c>
      <c r="C26" s="41">
        <v>61</v>
      </c>
      <c r="D26" s="41">
        <v>20</v>
      </c>
      <c r="E26" s="41">
        <v>44</v>
      </c>
      <c r="F26" s="41">
        <v>70</v>
      </c>
      <c r="G26" s="41">
        <v>108</v>
      </c>
      <c r="H26" s="61">
        <v>45708</v>
      </c>
      <c r="I26" s="63" t="s">
        <v>254</v>
      </c>
      <c r="J26" s="51">
        <v>18</v>
      </c>
      <c r="K26" s="51">
        <v>40</v>
      </c>
      <c r="L26" s="54"/>
      <c r="M26" s="54"/>
      <c r="N26" s="51"/>
      <c r="O26" s="51"/>
      <c r="P26" s="51">
        <v>1</v>
      </c>
      <c r="Q26" s="51">
        <v>0</v>
      </c>
      <c r="R26" s="51">
        <v>4</v>
      </c>
      <c r="S26" s="51">
        <v>1</v>
      </c>
      <c r="T26" s="51">
        <v>2</v>
      </c>
    </row>
    <row r="27" spans="1:20" ht="15.75" customHeight="1">
      <c r="A27" s="34" t="s">
        <v>140</v>
      </c>
      <c r="B27" s="41">
        <v>753</v>
      </c>
      <c r="C27" s="41">
        <v>77</v>
      </c>
      <c r="D27" s="41">
        <v>19</v>
      </c>
      <c r="E27" s="41">
        <v>43</v>
      </c>
      <c r="F27" s="41">
        <v>64</v>
      </c>
      <c r="G27" s="41">
        <v>115</v>
      </c>
      <c r="H27" s="61">
        <v>45711</v>
      </c>
      <c r="I27" s="63" t="s">
        <v>255</v>
      </c>
      <c r="J27" s="51">
        <v>19</v>
      </c>
      <c r="K27" s="51">
        <v>40</v>
      </c>
      <c r="L27" s="54"/>
      <c r="M27" s="54"/>
      <c r="N27" s="54"/>
      <c r="O27" s="51"/>
      <c r="P27" s="51">
        <v>2</v>
      </c>
      <c r="Q27" s="51">
        <v>0</v>
      </c>
      <c r="R27" s="51">
        <v>2</v>
      </c>
      <c r="S27" s="51">
        <v>5</v>
      </c>
      <c r="T27" s="51">
        <v>3</v>
      </c>
    </row>
    <row r="28" spans="1:20" ht="15.75" customHeight="1">
      <c r="A28" s="34" t="s">
        <v>142</v>
      </c>
      <c r="B28" s="41">
        <v>621</v>
      </c>
      <c r="C28" s="41">
        <v>47</v>
      </c>
      <c r="D28" s="41">
        <v>20</v>
      </c>
      <c r="E28" s="41">
        <v>42</v>
      </c>
      <c r="F28" s="41">
        <v>65</v>
      </c>
      <c r="G28" s="41">
        <v>69</v>
      </c>
      <c r="H28" s="61">
        <v>45715</v>
      </c>
      <c r="I28" s="63" t="s">
        <v>256</v>
      </c>
      <c r="J28" s="51">
        <v>15</v>
      </c>
      <c r="K28" s="51">
        <v>38</v>
      </c>
      <c r="L28" s="54"/>
      <c r="M28" s="54"/>
      <c r="N28" s="51"/>
      <c r="O28" s="51"/>
      <c r="P28" s="51">
        <v>2</v>
      </c>
      <c r="Q28" s="51">
        <v>0</v>
      </c>
      <c r="R28" s="51">
        <v>2</v>
      </c>
      <c r="S28" s="51">
        <v>1</v>
      </c>
      <c r="T28" s="51">
        <v>3</v>
      </c>
    </row>
    <row r="29" spans="1:20" ht="15.75" customHeight="1">
      <c r="A29" s="34" t="s">
        <v>143</v>
      </c>
      <c r="B29" s="41">
        <v>583</v>
      </c>
      <c r="C29" s="41">
        <v>44</v>
      </c>
      <c r="D29" s="41">
        <v>19</v>
      </c>
      <c r="E29" s="41">
        <v>44</v>
      </c>
      <c r="F29" s="41">
        <v>69</v>
      </c>
      <c r="G29" s="41">
        <v>90</v>
      </c>
      <c r="H29" s="61">
        <v>45718</v>
      </c>
      <c r="I29" s="63" t="s">
        <v>257</v>
      </c>
      <c r="J29" s="51">
        <v>10</v>
      </c>
      <c r="K29" s="51">
        <v>34</v>
      </c>
      <c r="L29" s="54"/>
      <c r="M29" s="54"/>
      <c r="N29" s="54"/>
      <c r="O29" s="51"/>
      <c r="P29" s="51">
        <v>4</v>
      </c>
      <c r="Q29" s="51">
        <v>0</v>
      </c>
      <c r="R29" s="51">
        <v>1</v>
      </c>
      <c r="S29" s="51">
        <v>1</v>
      </c>
      <c r="T29" s="51">
        <v>1</v>
      </c>
    </row>
    <row r="30" spans="1:20" ht="15.75" customHeight="1">
      <c r="A30" s="34" t="s">
        <v>139</v>
      </c>
      <c r="B30" s="41">
        <v>657</v>
      </c>
      <c r="C30" s="41">
        <v>43</v>
      </c>
      <c r="D30" s="41">
        <v>23</v>
      </c>
      <c r="E30" s="41">
        <v>53</v>
      </c>
      <c r="F30" s="41">
        <v>79</v>
      </c>
      <c r="G30" s="41">
        <v>96</v>
      </c>
      <c r="H30" s="61">
        <v>45722</v>
      </c>
      <c r="I30" s="63" t="s">
        <v>258</v>
      </c>
      <c r="J30" s="51">
        <v>9</v>
      </c>
      <c r="K30" s="51">
        <v>36</v>
      </c>
      <c r="L30" s="54"/>
      <c r="M30" s="54"/>
      <c r="N30" s="54"/>
      <c r="O30" s="51"/>
      <c r="P30" s="51">
        <v>4</v>
      </c>
      <c r="Q30" s="51">
        <v>0</v>
      </c>
      <c r="R30" s="51">
        <v>0</v>
      </c>
      <c r="S30" s="51">
        <v>0</v>
      </c>
      <c r="T30" s="51">
        <v>1</v>
      </c>
    </row>
    <row r="31" spans="1:20" ht="15.75" customHeight="1">
      <c r="A31" s="34" t="s">
        <v>136</v>
      </c>
      <c r="B31" s="41">
        <v>772</v>
      </c>
      <c r="C31" s="41">
        <v>75</v>
      </c>
      <c r="D31" s="41">
        <v>21</v>
      </c>
      <c r="E31" s="41">
        <v>49</v>
      </c>
      <c r="F31" s="41">
        <v>78</v>
      </c>
      <c r="G31" s="41">
        <v>166</v>
      </c>
      <c r="H31" s="61">
        <v>45723</v>
      </c>
      <c r="I31" s="63" t="s">
        <v>259</v>
      </c>
      <c r="J31" s="51">
        <v>7</v>
      </c>
      <c r="K31" s="51">
        <v>40</v>
      </c>
      <c r="L31" s="54"/>
      <c r="M31" s="51"/>
      <c r="N31" s="54"/>
      <c r="O31" s="51"/>
      <c r="P31" s="51">
        <v>3</v>
      </c>
      <c r="Q31" s="51">
        <v>0</v>
      </c>
      <c r="R31" s="51">
        <v>1</v>
      </c>
      <c r="S31" s="51">
        <v>1</v>
      </c>
      <c r="T31" s="51">
        <v>2</v>
      </c>
    </row>
    <row r="32" spans="1:20" ht="15.75" customHeight="1">
      <c r="P32" s="51">
        <v>3</v>
      </c>
      <c r="Q32" s="51">
        <v>0</v>
      </c>
      <c r="R32" s="51">
        <v>0</v>
      </c>
      <c r="S32" s="51">
        <v>0</v>
      </c>
      <c r="T32" s="51">
        <v>2</v>
      </c>
    </row>
    <row r="33" spans="1:20" ht="15.75" customHeight="1">
      <c r="A33" s="1" t="s">
        <v>260</v>
      </c>
      <c r="B33" s="1">
        <f t="shared" ref="B33:G33" si="0">SUM(B2:B31)</f>
        <v>19799</v>
      </c>
      <c r="C33" s="1">
        <f t="shared" si="0"/>
        <v>1801.0344827586207</v>
      </c>
      <c r="D33" s="1">
        <f t="shared" si="0"/>
        <v>617</v>
      </c>
      <c r="E33" s="1">
        <f t="shared" si="0"/>
        <v>1375</v>
      </c>
      <c r="F33" s="1">
        <f t="shared" si="0"/>
        <v>2053</v>
      </c>
      <c r="G33" s="1">
        <f t="shared" si="0"/>
        <v>3223</v>
      </c>
      <c r="I33" s="1">
        <f>COUNTA(I2:I31)</f>
        <v>30</v>
      </c>
      <c r="K33" s="1">
        <f>SUM(K2:K31)</f>
        <v>1028</v>
      </c>
      <c r="P33" s="51">
        <v>4</v>
      </c>
      <c r="Q33" s="51">
        <v>1</v>
      </c>
      <c r="R33" s="51">
        <v>0</v>
      </c>
      <c r="S33" s="51">
        <v>1</v>
      </c>
      <c r="T33" s="51">
        <v>1</v>
      </c>
    </row>
    <row r="34" spans="1:20" ht="15.75" customHeight="1">
      <c r="G34" s="66"/>
      <c r="H34" s="66"/>
      <c r="I34" s="62"/>
      <c r="J34" s="59"/>
      <c r="K34" s="59"/>
      <c r="L34" s="60"/>
      <c r="M34" s="60"/>
      <c r="N34" s="60"/>
      <c r="O34" s="59"/>
      <c r="P34" s="51">
        <v>4</v>
      </c>
      <c r="Q34" s="51">
        <v>0</v>
      </c>
      <c r="R34" s="51">
        <v>1</v>
      </c>
      <c r="S34" s="51">
        <v>4</v>
      </c>
      <c r="T34" s="51">
        <v>1</v>
      </c>
    </row>
    <row r="35" spans="1:20" ht="15.75" customHeight="1">
      <c r="A35" s="1" t="s">
        <v>261</v>
      </c>
      <c r="B35" s="1">
        <f t="shared" ref="B35:G35" si="1">B33/$I$33</f>
        <v>659.9666666666667</v>
      </c>
      <c r="C35" s="1">
        <f t="shared" si="1"/>
        <v>60.03448275862069</v>
      </c>
      <c r="D35" s="1">
        <f t="shared" si="1"/>
        <v>20.566666666666666</v>
      </c>
      <c r="E35" s="1">
        <f t="shared" si="1"/>
        <v>45.833333333333336</v>
      </c>
      <c r="F35" s="1">
        <f t="shared" si="1"/>
        <v>68.433333333333337</v>
      </c>
      <c r="G35" s="1">
        <f t="shared" si="1"/>
        <v>107.43333333333334</v>
      </c>
      <c r="I35" s="1" t="s">
        <v>262</v>
      </c>
      <c r="J35" s="1">
        <f>K33/I33</f>
        <v>34.266666666666666</v>
      </c>
      <c r="P35" s="59">
        <v>0</v>
      </c>
      <c r="Q35" s="59">
        <v>0</v>
      </c>
      <c r="R35" s="59">
        <v>0</v>
      </c>
      <c r="S35" s="59">
        <v>2</v>
      </c>
      <c r="T35" s="59">
        <v>4</v>
      </c>
    </row>
    <row r="36" spans="1:20" ht="15.75" customHeight="1">
      <c r="A36" s="1" t="s">
        <v>263</v>
      </c>
      <c r="B36" s="1">
        <f t="shared" ref="B36:G36" si="2">B33/$K$33</f>
        <v>19.259727626459146</v>
      </c>
      <c r="C36" s="1">
        <f t="shared" si="2"/>
        <v>1.751979068831343</v>
      </c>
      <c r="D36" s="1">
        <f t="shared" si="2"/>
        <v>0.60019455252918286</v>
      </c>
      <c r="E36" s="1">
        <f t="shared" si="2"/>
        <v>1.3375486381322956</v>
      </c>
      <c r="F36" s="1">
        <f t="shared" si="2"/>
        <v>1.9970817120622568</v>
      </c>
      <c r="G36" s="1">
        <f t="shared" si="2"/>
        <v>3.1352140077821011</v>
      </c>
    </row>
    <row r="37" spans="1:20" ht="15.75" customHeight="1">
      <c r="A37" s="1" t="s">
        <v>264</v>
      </c>
      <c r="B37" s="1">
        <f t="shared" ref="B37:G37" si="3">MAX(B2:B31)</f>
        <v>942</v>
      </c>
      <c r="C37" s="1">
        <f t="shared" si="3"/>
        <v>98</v>
      </c>
      <c r="D37" s="1">
        <f t="shared" si="3"/>
        <v>24</v>
      </c>
      <c r="E37" s="1">
        <f t="shared" si="3"/>
        <v>53</v>
      </c>
      <c r="F37" s="1">
        <f t="shared" si="3"/>
        <v>79</v>
      </c>
      <c r="G37" s="1">
        <f t="shared" si="3"/>
        <v>166</v>
      </c>
    </row>
    <row r="38" spans="1:20" ht="15.75" customHeight="1">
      <c r="A38" s="1" t="s">
        <v>265</v>
      </c>
      <c r="B38" s="41">
        <f t="shared" ref="B38:G38" si="4">STDEV(B2:B31)</f>
        <v>115.55278934944316</v>
      </c>
      <c r="C38" s="41">
        <f t="shared" si="4"/>
        <v>16.674330382296571</v>
      </c>
      <c r="D38" s="41">
        <f t="shared" si="4"/>
        <v>1.4546793303071941</v>
      </c>
      <c r="E38" s="41">
        <f t="shared" si="4"/>
        <v>2.5741866252486814</v>
      </c>
      <c r="F38" s="41">
        <f t="shared" si="4"/>
        <v>5.0012642079939074</v>
      </c>
      <c r="G38" s="41">
        <f t="shared" si="4"/>
        <v>27.170830369874693</v>
      </c>
    </row>
    <row r="39" spans="1:20" ht="15.75" customHeight="1">
      <c r="A39" s="34"/>
      <c r="B39" s="41"/>
      <c r="C39" s="41"/>
      <c r="D39" s="41"/>
      <c r="E39" s="41"/>
      <c r="F39" s="41"/>
    </row>
    <row r="40" spans="1:20" ht="15.75" customHeight="1">
      <c r="A40" s="34"/>
      <c r="B40" s="41"/>
      <c r="C40" s="41"/>
      <c r="D40" s="41"/>
      <c r="E40" s="41"/>
      <c r="F40" s="41"/>
    </row>
    <row r="41" spans="1:20" ht="15.75" customHeight="1">
      <c r="A41" s="34"/>
      <c r="B41" s="41"/>
      <c r="C41" s="41"/>
      <c r="D41" s="41"/>
      <c r="E41" s="41"/>
      <c r="F41" s="41"/>
    </row>
    <row r="42" spans="1:20" ht="15.75" customHeight="1">
      <c r="A42" s="34"/>
      <c r="B42" s="41"/>
      <c r="C42" s="41"/>
      <c r="D42" s="41"/>
      <c r="E42" s="41"/>
      <c r="F42" s="41"/>
    </row>
    <row r="43" spans="1:20" ht="15.75" customHeight="1">
      <c r="A43" s="34"/>
      <c r="B43" s="41"/>
      <c r="C43" s="41"/>
      <c r="D43" s="41"/>
      <c r="E43" s="41"/>
      <c r="F43" s="41"/>
    </row>
    <row r="44" spans="1:20" ht="15.75" customHeight="1">
      <c r="A44" s="34"/>
      <c r="B44" s="41"/>
      <c r="C44" s="41"/>
      <c r="D44" s="41"/>
      <c r="E44" s="41"/>
      <c r="F44" s="41"/>
    </row>
    <row r="45" spans="1:20" ht="15.75" customHeight="1">
      <c r="A45" s="34"/>
      <c r="B45" s="41"/>
      <c r="C45" s="41"/>
      <c r="D45" s="41"/>
      <c r="E45" s="41"/>
      <c r="F45" s="41"/>
    </row>
    <row r="46" spans="1:20" ht="15.75" customHeight="1">
      <c r="A46" s="34"/>
      <c r="B46" s="41"/>
      <c r="C46" s="41"/>
      <c r="D46" s="41"/>
      <c r="E46" s="41"/>
      <c r="F46" s="41"/>
    </row>
    <row r="47" spans="1:20" ht="15.75" customHeight="1">
      <c r="A47" s="34"/>
      <c r="B47" s="41"/>
      <c r="C47" s="41"/>
      <c r="D47" s="41"/>
      <c r="E47" s="41"/>
      <c r="F47" s="41"/>
    </row>
    <row r="48" spans="1:20" ht="15.75" customHeight="1">
      <c r="A48" s="34"/>
      <c r="B48" s="41"/>
      <c r="C48" s="41"/>
      <c r="D48" s="41"/>
      <c r="E48" s="41"/>
      <c r="F48" s="41"/>
    </row>
    <row r="49" spans="1:7" ht="15.75" customHeight="1">
      <c r="A49" s="34"/>
      <c r="B49" s="41"/>
      <c r="C49" s="41"/>
      <c r="D49" s="41"/>
      <c r="E49" s="41"/>
      <c r="F49" s="41"/>
    </row>
    <row r="50" spans="1:7" ht="15.75" customHeight="1">
      <c r="A50" s="34"/>
      <c r="B50" s="41"/>
      <c r="C50" s="41"/>
      <c r="D50" s="41"/>
      <c r="E50" s="41"/>
      <c r="F50" s="34"/>
      <c r="G50" s="41"/>
    </row>
    <row r="51" spans="1:7" ht="15.75" customHeight="1">
      <c r="A51" s="34"/>
      <c r="B51" s="41"/>
      <c r="C51" s="41"/>
      <c r="D51" s="41"/>
      <c r="E51" s="41"/>
      <c r="F51" s="34"/>
      <c r="G51" s="41"/>
    </row>
    <row r="52" spans="1:7" ht="15.75" customHeight="1">
      <c r="A52" s="34"/>
      <c r="B52" s="41"/>
      <c r="C52" s="41"/>
      <c r="D52" s="41"/>
      <c r="E52" s="41"/>
      <c r="F52" s="34"/>
      <c r="G52" s="41"/>
    </row>
    <row r="53" spans="1:7" ht="13">
      <c r="A53" s="34"/>
      <c r="B53" s="41"/>
      <c r="C53" s="41"/>
      <c r="D53" s="41"/>
      <c r="E53" s="41"/>
      <c r="F53" s="34"/>
      <c r="G53" s="41"/>
    </row>
    <row r="54" spans="1:7" ht="13">
      <c r="A54" s="34"/>
      <c r="B54" s="41"/>
      <c r="C54" s="41"/>
      <c r="D54" s="41"/>
      <c r="E54" s="41"/>
      <c r="F54" s="34"/>
      <c r="G54" s="41"/>
    </row>
    <row r="55" spans="1:7" ht="13">
      <c r="A55" s="34"/>
      <c r="B55" s="41"/>
      <c r="C55" s="41"/>
      <c r="D55" s="41"/>
      <c r="E55" s="41"/>
      <c r="F55" s="34"/>
      <c r="G55" s="41"/>
    </row>
    <row r="56" spans="1:7" ht="13">
      <c r="A56" s="34"/>
      <c r="B56" s="41"/>
      <c r="C56" s="41"/>
      <c r="D56" s="41"/>
      <c r="E56" s="41"/>
      <c r="F56" s="34"/>
      <c r="G56" s="41"/>
    </row>
    <row r="57" spans="1:7" ht="13">
      <c r="A57" s="34"/>
      <c r="B57" s="41"/>
      <c r="C57" s="41"/>
      <c r="D57" s="41"/>
      <c r="E57" s="41"/>
      <c r="F57" s="34"/>
      <c r="G57" s="41"/>
    </row>
    <row r="58" spans="1:7" ht="13">
      <c r="A58" s="34"/>
      <c r="B58" s="41"/>
      <c r="C58" s="41"/>
      <c r="D58" s="41"/>
      <c r="E58" s="41"/>
      <c r="F58" s="34"/>
      <c r="G58" s="41"/>
    </row>
    <row r="59" spans="1:7" ht="13">
      <c r="A59" s="34"/>
      <c r="B59" s="41"/>
      <c r="C59" s="41"/>
      <c r="D59" s="41"/>
      <c r="E59" s="41"/>
      <c r="F59" s="34"/>
      <c r="G59" s="41"/>
    </row>
    <row r="60" spans="1:7" ht="13">
      <c r="A60" s="34"/>
      <c r="B60" s="41"/>
      <c r="C60" s="41"/>
      <c r="D60" s="41"/>
      <c r="E60" s="41"/>
      <c r="F60" s="34"/>
      <c r="G60" s="41"/>
    </row>
    <row r="61" spans="1:7" ht="13">
      <c r="A61" s="34"/>
      <c r="B61" s="41"/>
      <c r="C61" s="41"/>
      <c r="D61" s="41"/>
      <c r="E61" s="41"/>
      <c r="F61" s="34"/>
      <c r="G61" s="41"/>
    </row>
    <row r="62" spans="1:7" ht="13">
      <c r="A62" s="34"/>
      <c r="B62" s="41"/>
      <c r="C62" s="41"/>
      <c r="D62" s="41"/>
      <c r="E62" s="41"/>
      <c r="F62" s="34"/>
      <c r="G62" s="41"/>
    </row>
    <row r="63" spans="1:7" ht="13">
      <c r="A63" s="34"/>
      <c r="B63" s="41"/>
      <c r="C63" s="41"/>
      <c r="D63" s="41"/>
      <c r="E63" s="41"/>
      <c r="F63" s="34"/>
      <c r="G63" s="41"/>
    </row>
    <row r="64" spans="1:7" ht="13">
      <c r="A64" s="34"/>
      <c r="B64" s="41"/>
      <c r="C64" s="41"/>
      <c r="D64" s="41"/>
      <c r="E64" s="41"/>
      <c r="F64" s="34"/>
      <c r="G64" s="41"/>
    </row>
    <row r="65" spans="1:7" ht="13">
      <c r="A65" s="34"/>
      <c r="B65" s="41"/>
      <c r="C65" s="41"/>
      <c r="D65" s="41"/>
      <c r="E65" s="41"/>
      <c r="F65" s="34"/>
      <c r="G65" s="41"/>
    </row>
    <row r="66" spans="1:7" ht="13">
      <c r="A66" s="34"/>
      <c r="B66" s="41"/>
      <c r="C66" s="41"/>
      <c r="D66" s="41"/>
      <c r="E66" s="41"/>
      <c r="F66" s="34"/>
      <c r="G66" s="41"/>
    </row>
    <row r="67" spans="1:7" ht="13">
      <c r="A67" s="34"/>
      <c r="B67" s="41"/>
      <c r="C67" s="41"/>
      <c r="D67" s="41"/>
      <c r="E67" s="41"/>
      <c r="F67" s="34"/>
      <c r="G67" s="41"/>
    </row>
    <row r="68" spans="1:7" ht="13">
      <c r="F68" s="34"/>
      <c r="G68" s="41"/>
    </row>
    <row r="69" spans="1:7" ht="13">
      <c r="F69" s="34"/>
      <c r="G69" s="41"/>
    </row>
    <row r="70" spans="1:7" ht="13">
      <c r="F70" s="34"/>
      <c r="G70" s="41"/>
    </row>
    <row r="71" spans="1:7" ht="13">
      <c r="F71" s="34"/>
      <c r="G71" s="41"/>
    </row>
    <row r="72" spans="1:7" ht="13">
      <c r="F72" s="34"/>
      <c r="G72" s="41"/>
    </row>
    <row r="73" spans="1:7" ht="13">
      <c r="F73" s="34"/>
      <c r="G73" s="41"/>
    </row>
    <row r="74" spans="1:7" ht="13">
      <c r="F74" s="34"/>
      <c r="G74" s="41"/>
    </row>
    <row r="75" spans="1:7" ht="13">
      <c r="F75" s="34"/>
      <c r="G75" s="41"/>
    </row>
    <row r="76" spans="1:7" ht="13">
      <c r="F76" s="34"/>
      <c r="G76" s="41"/>
    </row>
    <row r="77" spans="1:7" ht="13">
      <c r="F77" s="34"/>
      <c r="G77" s="41"/>
    </row>
    <row r="78" spans="1:7" ht="13">
      <c r="F78" s="34"/>
      <c r="G78" s="41"/>
    </row>
    <row r="79" spans="1:7" ht="13">
      <c r="F79" s="34"/>
      <c r="G79" s="41"/>
    </row>
  </sheetData>
  <hyperlinks>
    <hyperlink ref="I2" r:id="rId1" xr:uid="{00000000-0004-0000-0A00-000000000000}"/>
    <hyperlink ref="I3" r:id="rId2" xr:uid="{00000000-0004-0000-0A00-000001000000}"/>
    <hyperlink ref="I4" r:id="rId3" xr:uid="{00000000-0004-0000-0A00-000002000000}"/>
    <hyperlink ref="I5" r:id="rId4" xr:uid="{00000000-0004-0000-0A00-000003000000}"/>
    <hyperlink ref="I6" r:id="rId5" xr:uid="{00000000-0004-0000-0A00-000004000000}"/>
    <hyperlink ref="I7" r:id="rId6" xr:uid="{00000000-0004-0000-0A00-000005000000}"/>
    <hyperlink ref="I8" r:id="rId7" xr:uid="{00000000-0004-0000-0A00-000006000000}"/>
    <hyperlink ref="I9" r:id="rId8" xr:uid="{00000000-0004-0000-0A00-000007000000}"/>
    <hyperlink ref="I10" r:id="rId9" xr:uid="{00000000-0004-0000-0A00-000008000000}"/>
    <hyperlink ref="I11" r:id="rId10" xr:uid="{00000000-0004-0000-0A00-000009000000}"/>
    <hyperlink ref="I12" r:id="rId11" xr:uid="{00000000-0004-0000-0A00-00000A000000}"/>
    <hyperlink ref="I13" r:id="rId12" xr:uid="{00000000-0004-0000-0A00-00000B000000}"/>
    <hyperlink ref="I14" r:id="rId13" xr:uid="{00000000-0004-0000-0A00-00000C000000}"/>
    <hyperlink ref="I15" r:id="rId14" xr:uid="{00000000-0004-0000-0A00-00000D000000}"/>
    <hyperlink ref="I16" r:id="rId15" xr:uid="{00000000-0004-0000-0A00-00000E000000}"/>
    <hyperlink ref="I17" r:id="rId16" xr:uid="{00000000-0004-0000-0A00-00000F000000}"/>
    <hyperlink ref="I18" r:id="rId17" xr:uid="{00000000-0004-0000-0A00-000010000000}"/>
    <hyperlink ref="I19" r:id="rId18" xr:uid="{00000000-0004-0000-0A00-000011000000}"/>
    <hyperlink ref="I20" r:id="rId19" xr:uid="{00000000-0004-0000-0A00-000012000000}"/>
    <hyperlink ref="I21" r:id="rId20" xr:uid="{00000000-0004-0000-0A00-000013000000}"/>
    <hyperlink ref="I22" r:id="rId21" xr:uid="{00000000-0004-0000-0A00-000014000000}"/>
    <hyperlink ref="I23" r:id="rId22" xr:uid="{00000000-0004-0000-0A00-000015000000}"/>
    <hyperlink ref="I24" r:id="rId23" xr:uid="{00000000-0004-0000-0A00-000016000000}"/>
    <hyperlink ref="I25" r:id="rId24" xr:uid="{00000000-0004-0000-0A00-000017000000}"/>
    <hyperlink ref="I26" r:id="rId25" xr:uid="{00000000-0004-0000-0A00-000018000000}"/>
    <hyperlink ref="I27" r:id="rId26" xr:uid="{00000000-0004-0000-0A00-000019000000}"/>
    <hyperlink ref="I28" r:id="rId27" xr:uid="{00000000-0004-0000-0A00-00001A000000}"/>
    <hyperlink ref="I29" r:id="rId28" xr:uid="{00000000-0004-0000-0A00-00001B000000}"/>
    <hyperlink ref="I30" r:id="rId29" xr:uid="{00000000-0004-0000-0A00-00001C000000}"/>
    <hyperlink ref="I31" r:id="rId30" xr:uid="{00000000-0004-0000-0A00-00001D000000}"/>
  </hyperlinks>
  <pageMargins left="0.7" right="0.7" top="0.75" bottom="0.75" header="0.3" footer="0.3"/>
  <legacy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70"/>
  <sheetViews>
    <sheetView workbookViewId="0">
      <selection activeCell="B3" sqref="B3"/>
    </sheetView>
  </sheetViews>
  <sheetFormatPr baseColWidth="10" defaultColWidth="12.6640625" defaultRowHeight="15.75" customHeight="1"/>
  <cols>
    <col min="1" max="1" width="21.83203125" customWidth="1"/>
  </cols>
  <sheetData>
    <row r="1" spans="1:11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67" t="s">
        <v>9</v>
      </c>
      <c r="H1" s="68"/>
      <c r="I1" s="69"/>
      <c r="J1" s="67" t="s">
        <v>228</v>
      </c>
      <c r="K1" s="67" t="s">
        <v>229</v>
      </c>
    </row>
    <row r="2" spans="1:11" ht="15.75" customHeight="1">
      <c r="A2" s="34" t="s">
        <v>112</v>
      </c>
      <c r="B2" s="41">
        <v>462</v>
      </c>
      <c r="C2" s="41">
        <v>62</v>
      </c>
      <c r="D2" s="41">
        <v>17</v>
      </c>
      <c r="E2" s="41">
        <v>34</v>
      </c>
      <c r="F2" s="41">
        <v>53</v>
      </c>
      <c r="G2" s="41">
        <v>68</v>
      </c>
      <c r="H2" s="68">
        <v>45600</v>
      </c>
      <c r="I2" s="69" t="s">
        <v>266</v>
      </c>
      <c r="J2" s="67">
        <v>11</v>
      </c>
      <c r="K2" s="67">
        <v>29</v>
      </c>
    </row>
    <row r="3" spans="1:11" ht="15.75" customHeight="1">
      <c r="A3" s="34" t="s">
        <v>113</v>
      </c>
      <c r="B3" s="41">
        <v>228</v>
      </c>
      <c r="C3" s="41">
        <v>30</v>
      </c>
      <c r="D3" s="41">
        <v>18</v>
      </c>
      <c r="E3" s="41">
        <v>40</v>
      </c>
      <c r="F3" s="41">
        <v>56</v>
      </c>
      <c r="G3" s="41">
        <v>45</v>
      </c>
      <c r="H3" s="68">
        <v>45603</v>
      </c>
      <c r="I3" s="69" t="s">
        <v>267</v>
      </c>
      <c r="J3" s="67">
        <v>10</v>
      </c>
      <c r="K3" s="67">
        <v>15</v>
      </c>
    </row>
    <row r="4" spans="1:11" ht="15.75" customHeight="1">
      <c r="A4" s="34" t="s">
        <v>114</v>
      </c>
      <c r="B4" s="41">
        <v>289</v>
      </c>
      <c r="C4" s="41">
        <v>49</v>
      </c>
      <c r="D4" s="41">
        <v>18</v>
      </c>
      <c r="E4" s="41">
        <v>45</v>
      </c>
      <c r="F4" s="41">
        <v>60</v>
      </c>
      <c r="G4" s="41">
        <v>68</v>
      </c>
      <c r="H4" s="68">
        <v>45605</v>
      </c>
      <c r="I4" s="69" t="s">
        <v>268</v>
      </c>
      <c r="J4" s="67">
        <v>8</v>
      </c>
      <c r="K4" s="67">
        <v>16</v>
      </c>
    </row>
    <row r="5" spans="1:11" ht="15.75" customHeight="1">
      <c r="A5" s="34" t="s">
        <v>115</v>
      </c>
      <c r="B5" s="41">
        <v>332</v>
      </c>
      <c r="C5" s="41">
        <v>31</v>
      </c>
      <c r="D5" s="41">
        <v>17</v>
      </c>
      <c r="E5" s="41">
        <v>36</v>
      </c>
      <c r="F5" s="41">
        <v>41</v>
      </c>
      <c r="G5" s="41">
        <v>33</v>
      </c>
      <c r="H5" s="70">
        <v>45610</v>
      </c>
      <c r="I5" s="69" t="s">
        <v>269</v>
      </c>
      <c r="J5" s="67">
        <v>8</v>
      </c>
      <c r="K5" s="67">
        <v>11</v>
      </c>
    </row>
    <row r="6" spans="1:11" ht="15.75" customHeight="1">
      <c r="A6" s="34" t="s">
        <v>116</v>
      </c>
      <c r="B6" s="41">
        <v>338</v>
      </c>
      <c r="C6" s="41">
        <v>36</v>
      </c>
      <c r="D6" s="41">
        <v>18</v>
      </c>
      <c r="E6" s="41">
        <v>44</v>
      </c>
      <c r="F6" s="41">
        <v>50</v>
      </c>
      <c r="G6" s="41">
        <v>79</v>
      </c>
      <c r="H6" s="70">
        <v>45616</v>
      </c>
      <c r="I6" s="69" t="s">
        <v>270</v>
      </c>
      <c r="J6" s="67">
        <v>4</v>
      </c>
      <c r="K6" s="67">
        <v>16</v>
      </c>
    </row>
    <row r="7" spans="1:11" ht="15.75" customHeight="1">
      <c r="A7" s="34" t="s">
        <v>117</v>
      </c>
      <c r="B7" s="41">
        <v>431</v>
      </c>
      <c r="C7" s="41">
        <v>55</v>
      </c>
      <c r="D7" s="41">
        <v>19</v>
      </c>
      <c r="E7" s="41">
        <v>37</v>
      </c>
      <c r="F7" s="41">
        <v>53</v>
      </c>
      <c r="G7" s="41">
        <v>79</v>
      </c>
      <c r="H7" s="70">
        <v>45618</v>
      </c>
      <c r="I7" s="69" t="s">
        <v>271</v>
      </c>
      <c r="J7" s="67">
        <v>11</v>
      </c>
      <c r="K7" s="67">
        <v>24</v>
      </c>
    </row>
    <row r="8" spans="1:11" ht="15.75" customHeight="1">
      <c r="A8" s="34" t="s">
        <v>118</v>
      </c>
      <c r="B8" s="41">
        <v>395</v>
      </c>
      <c r="C8" s="41">
        <v>52</v>
      </c>
      <c r="D8" s="41">
        <v>21</v>
      </c>
      <c r="E8" s="41">
        <v>41</v>
      </c>
      <c r="F8" s="41">
        <v>55</v>
      </c>
      <c r="G8" s="41">
        <v>73</v>
      </c>
      <c r="H8" s="70">
        <v>45622</v>
      </c>
      <c r="I8" s="69" t="s">
        <v>272</v>
      </c>
      <c r="J8" s="67">
        <v>13</v>
      </c>
      <c r="K8" s="67">
        <v>22</v>
      </c>
    </row>
    <row r="9" spans="1:11" ht="15.75" customHeight="1">
      <c r="A9" s="34" t="s">
        <v>119</v>
      </c>
      <c r="B9" s="41">
        <v>493</v>
      </c>
      <c r="C9" s="41">
        <v>68</v>
      </c>
      <c r="D9" s="41">
        <v>18</v>
      </c>
      <c r="E9" s="41">
        <v>36</v>
      </c>
      <c r="F9" s="41">
        <v>51</v>
      </c>
      <c r="G9" s="41">
        <v>72</v>
      </c>
      <c r="H9" s="70">
        <v>45623</v>
      </c>
      <c r="I9" s="69" t="s">
        <v>273</v>
      </c>
      <c r="J9" s="67">
        <v>25</v>
      </c>
      <c r="K9" s="67">
        <v>32</v>
      </c>
    </row>
    <row r="10" spans="1:11" ht="15.75" customHeight="1">
      <c r="A10" s="34" t="s">
        <v>120</v>
      </c>
      <c r="B10" s="41">
        <v>385</v>
      </c>
      <c r="C10" s="41">
        <v>47</v>
      </c>
      <c r="D10" s="41">
        <v>18</v>
      </c>
      <c r="E10" s="41">
        <v>45</v>
      </c>
      <c r="F10" s="41">
        <v>64</v>
      </c>
      <c r="G10" s="41">
        <v>62</v>
      </c>
      <c r="H10" s="68">
        <v>45631</v>
      </c>
      <c r="I10" s="69" t="s">
        <v>274</v>
      </c>
      <c r="J10" s="67">
        <v>5</v>
      </c>
      <c r="K10" s="67">
        <v>22</v>
      </c>
    </row>
    <row r="11" spans="1:11" ht="15.75" customHeight="1">
      <c r="A11" s="34" t="s">
        <v>121</v>
      </c>
      <c r="B11" s="41">
        <v>366</v>
      </c>
      <c r="C11" s="41">
        <v>46</v>
      </c>
      <c r="D11" s="41">
        <v>20</v>
      </c>
      <c r="E11" s="41">
        <v>41</v>
      </c>
      <c r="F11" s="41">
        <v>54</v>
      </c>
      <c r="G11" s="41">
        <v>62</v>
      </c>
      <c r="H11" s="68">
        <v>45633</v>
      </c>
      <c r="I11" s="69" t="s">
        <v>275</v>
      </c>
      <c r="J11" s="67">
        <v>15</v>
      </c>
      <c r="K11" s="67">
        <v>22</v>
      </c>
    </row>
    <row r="12" spans="1:11" ht="15.75" customHeight="1">
      <c r="A12" s="34" t="s">
        <v>122</v>
      </c>
      <c r="B12" s="41">
        <v>438</v>
      </c>
      <c r="C12" s="41">
        <v>53</v>
      </c>
      <c r="D12" s="41">
        <v>18</v>
      </c>
      <c r="E12" s="41">
        <v>40</v>
      </c>
      <c r="F12" s="41">
        <v>64</v>
      </c>
      <c r="G12" s="41">
        <v>88</v>
      </c>
      <c r="H12" s="70">
        <v>45639</v>
      </c>
      <c r="I12" s="69" t="s">
        <v>276</v>
      </c>
      <c r="J12" s="67">
        <v>4</v>
      </c>
      <c r="K12" s="67">
        <v>26</v>
      </c>
    </row>
    <row r="13" spans="1:11" ht="15.75" customHeight="1">
      <c r="A13" s="34" t="s">
        <v>124</v>
      </c>
      <c r="B13" s="41">
        <v>363</v>
      </c>
      <c r="C13" s="41">
        <v>45</v>
      </c>
      <c r="D13" s="41">
        <v>17</v>
      </c>
      <c r="E13" s="41">
        <v>37</v>
      </c>
      <c r="F13" s="41">
        <v>55</v>
      </c>
      <c r="G13" s="41">
        <v>67</v>
      </c>
      <c r="H13" s="70">
        <v>45647</v>
      </c>
      <c r="I13" s="69" t="s">
        <v>277</v>
      </c>
      <c r="J13" s="67">
        <v>15</v>
      </c>
      <c r="K13" s="67">
        <v>22</v>
      </c>
    </row>
    <row r="14" spans="1:11" ht="15.75" customHeight="1">
      <c r="A14" s="34" t="s">
        <v>125</v>
      </c>
      <c r="B14" s="41">
        <v>464</v>
      </c>
      <c r="C14" s="41">
        <v>47</v>
      </c>
      <c r="D14" s="41">
        <v>19</v>
      </c>
      <c r="E14" s="41">
        <v>46</v>
      </c>
      <c r="F14" s="41">
        <v>60</v>
      </c>
      <c r="G14" s="41">
        <v>59</v>
      </c>
      <c r="H14" s="70">
        <v>45648</v>
      </c>
      <c r="I14" s="69" t="s">
        <v>278</v>
      </c>
      <c r="J14" s="67">
        <v>12</v>
      </c>
      <c r="K14" s="67">
        <v>20</v>
      </c>
    </row>
    <row r="15" spans="1:11" ht="15.75" customHeight="1">
      <c r="A15" s="34" t="s">
        <v>126</v>
      </c>
      <c r="B15" s="41">
        <v>398</v>
      </c>
      <c r="C15" s="41">
        <v>45</v>
      </c>
      <c r="D15" s="41">
        <v>17</v>
      </c>
      <c r="E15" s="41">
        <v>42</v>
      </c>
      <c r="F15" s="41">
        <v>56</v>
      </c>
      <c r="G15" s="41">
        <v>73</v>
      </c>
      <c r="H15" s="68">
        <v>45659</v>
      </c>
      <c r="I15" s="69" t="s">
        <v>279</v>
      </c>
      <c r="J15" s="67">
        <v>13</v>
      </c>
      <c r="K15" s="67">
        <v>25</v>
      </c>
    </row>
    <row r="16" spans="1:11" ht="15.75" customHeight="1">
      <c r="A16" s="34" t="s">
        <v>127</v>
      </c>
      <c r="B16" s="41">
        <v>226</v>
      </c>
      <c r="C16" s="41">
        <v>29</v>
      </c>
      <c r="D16" s="41">
        <v>17</v>
      </c>
      <c r="E16" s="41">
        <v>35</v>
      </c>
      <c r="F16" s="41">
        <v>54</v>
      </c>
      <c r="G16" s="41">
        <v>34</v>
      </c>
      <c r="H16" s="68">
        <v>45662</v>
      </c>
      <c r="I16" s="69" t="s">
        <v>280</v>
      </c>
      <c r="J16" s="67">
        <v>4</v>
      </c>
      <c r="K16" s="67">
        <v>14</v>
      </c>
    </row>
    <row r="17" spans="1:11" ht="15.75" customHeight="1">
      <c r="A17" s="34" t="s">
        <v>128</v>
      </c>
      <c r="B17" s="41">
        <v>427</v>
      </c>
      <c r="C17" s="41">
        <v>48</v>
      </c>
      <c r="D17" s="41">
        <v>20</v>
      </c>
      <c r="E17" s="41">
        <v>45</v>
      </c>
      <c r="F17" s="41">
        <v>59</v>
      </c>
      <c r="G17" s="41">
        <v>76</v>
      </c>
      <c r="H17" s="68">
        <v>45666</v>
      </c>
      <c r="I17" s="69" t="s">
        <v>281</v>
      </c>
      <c r="J17" s="67">
        <v>15</v>
      </c>
      <c r="K17" s="67">
        <v>24</v>
      </c>
    </row>
    <row r="18" spans="1:11" ht="15.75" customHeight="1">
      <c r="A18" s="34" t="s">
        <v>129</v>
      </c>
      <c r="B18" s="41">
        <v>370</v>
      </c>
      <c r="C18" s="41">
        <v>39</v>
      </c>
      <c r="D18" s="41">
        <v>18</v>
      </c>
      <c r="E18" s="41">
        <v>35</v>
      </c>
      <c r="F18" s="41">
        <v>51</v>
      </c>
      <c r="G18" s="41">
        <v>47</v>
      </c>
      <c r="H18" s="68">
        <v>45669</v>
      </c>
      <c r="I18" s="69" t="s">
        <v>282</v>
      </c>
      <c r="J18" s="67">
        <v>11</v>
      </c>
      <c r="K18" s="67">
        <v>18</v>
      </c>
    </row>
    <row r="19" spans="1:11" ht="15.75" customHeight="1">
      <c r="A19" s="34" t="s">
        <v>130</v>
      </c>
      <c r="B19" s="41">
        <v>288</v>
      </c>
      <c r="C19" s="41">
        <v>45</v>
      </c>
      <c r="D19" s="41">
        <v>18</v>
      </c>
      <c r="E19" s="41">
        <v>39</v>
      </c>
      <c r="F19" s="41">
        <v>59</v>
      </c>
      <c r="G19" s="41">
        <v>62</v>
      </c>
      <c r="H19" s="68">
        <v>45673</v>
      </c>
      <c r="I19" s="69" t="s">
        <v>283</v>
      </c>
      <c r="J19" s="67">
        <v>6</v>
      </c>
      <c r="K19" s="67">
        <v>17</v>
      </c>
    </row>
    <row r="20" spans="1:11" ht="15.75" customHeight="1">
      <c r="A20" s="34" t="s">
        <v>131</v>
      </c>
      <c r="B20" s="41">
        <v>378</v>
      </c>
      <c r="C20" s="41">
        <v>46</v>
      </c>
      <c r="D20" s="41">
        <v>22</v>
      </c>
      <c r="E20" s="41">
        <v>48</v>
      </c>
      <c r="F20" s="41">
        <v>62</v>
      </c>
      <c r="G20" s="41">
        <v>95</v>
      </c>
      <c r="H20" s="68">
        <v>45676</v>
      </c>
      <c r="I20" s="69" t="s">
        <v>284</v>
      </c>
      <c r="J20" s="67">
        <v>10</v>
      </c>
      <c r="K20" s="67">
        <v>22</v>
      </c>
    </row>
    <row r="21" spans="1:11" ht="15.75" customHeight="1">
      <c r="A21" s="34" t="s">
        <v>122</v>
      </c>
      <c r="B21" s="41">
        <v>396</v>
      </c>
      <c r="C21" s="41">
        <v>65</v>
      </c>
      <c r="D21" s="41">
        <v>20</v>
      </c>
      <c r="E21" s="41">
        <v>49</v>
      </c>
      <c r="F21" s="41">
        <v>66</v>
      </c>
      <c r="G21" s="41">
        <v>76</v>
      </c>
      <c r="H21" s="68">
        <v>45680</v>
      </c>
      <c r="I21" s="69" t="s">
        <v>285</v>
      </c>
      <c r="J21" s="67">
        <v>9</v>
      </c>
      <c r="K21" s="67">
        <v>20</v>
      </c>
    </row>
    <row r="22" spans="1:11" ht="15.75" customHeight="1">
      <c r="A22" s="34" t="s">
        <v>132</v>
      </c>
      <c r="B22" s="41">
        <v>313</v>
      </c>
      <c r="C22" s="41">
        <v>35</v>
      </c>
      <c r="D22" s="41">
        <v>20</v>
      </c>
      <c r="E22" s="41">
        <v>42</v>
      </c>
      <c r="F22" s="41">
        <v>52</v>
      </c>
      <c r="G22" s="41">
        <v>51</v>
      </c>
      <c r="H22" s="68">
        <v>45687</v>
      </c>
      <c r="I22" s="69" t="s">
        <v>286</v>
      </c>
      <c r="J22" s="67">
        <v>14</v>
      </c>
      <c r="K22" s="67">
        <v>19</v>
      </c>
    </row>
    <row r="23" spans="1:11" ht="15.75" customHeight="1">
      <c r="A23" s="34" t="s">
        <v>134</v>
      </c>
      <c r="B23" s="41">
        <v>534</v>
      </c>
      <c r="C23" s="41">
        <v>74</v>
      </c>
      <c r="D23" s="41">
        <v>19</v>
      </c>
      <c r="E23" s="41">
        <v>41</v>
      </c>
      <c r="F23" s="41">
        <v>51</v>
      </c>
      <c r="G23" s="41">
        <v>79</v>
      </c>
      <c r="H23" s="68">
        <v>45694</v>
      </c>
      <c r="I23" s="69" t="s">
        <v>287</v>
      </c>
      <c r="J23" s="67">
        <v>15</v>
      </c>
      <c r="K23" s="67">
        <v>34</v>
      </c>
    </row>
    <row r="24" spans="1:11" ht="15.75" customHeight="1">
      <c r="A24" s="34" t="s">
        <v>136</v>
      </c>
      <c r="B24" s="41">
        <v>404</v>
      </c>
      <c r="C24" s="41">
        <v>42</v>
      </c>
      <c r="D24" s="41">
        <v>20</v>
      </c>
      <c r="E24" s="41">
        <v>43</v>
      </c>
      <c r="F24" s="41">
        <v>65</v>
      </c>
      <c r="G24" s="41">
        <v>90</v>
      </c>
      <c r="H24" s="68">
        <v>45697</v>
      </c>
      <c r="I24" s="69" t="s">
        <v>288</v>
      </c>
      <c r="J24" s="67">
        <v>10</v>
      </c>
      <c r="K24" s="67">
        <v>24</v>
      </c>
    </row>
    <row r="25" spans="1:11" ht="15.75" customHeight="1">
      <c r="A25" s="34" t="s">
        <v>137</v>
      </c>
      <c r="B25" s="41">
        <v>518</v>
      </c>
      <c r="C25" s="41">
        <v>67</v>
      </c>
      <c r="D25" s="41">
        <v>20</v>
      </c>
      <c r="E25" s="41">
        <v>37</v>
      </c>
      <c r="F25" s="41">
        <v>55</v>
      </c>
      <c r="G25" s="41">
        <v>50</v>
      </c>
      <c r="H25" s="68">
        <v>45701</v>
      </c>
      <c r="I25" s="69" t="s">
        <v>289</v>
      </c>
      <c r="J25" s="67">
        <v>21</v>
      </c>
      <c r="K25" s="67">
        <v>28</v>
      </c>
    </row>
    <row r="26" spans="1:11" ht="15.75" customHeight="1">
      <c r="A26" s="34" t="s">
        <v>138</v>
      </c>
      <c r="B26" s="41">
        <v>377</v>
      </c>
      <c r="C26" s="41">
        <v>48</v>
      </c>
      <c r="D26" s="41">
        <v>17</v>
      </c>
      <c r="E26" s="41">
        <v>41</v>
      </c>
      <c r="F26" s="41">
        <v>57</v>
      </c>
      <c r="G26" s="41">
        <v>60</v>
      </c>
      <c r="H26" s="68">
        <v>45704</v>
      </c>
      <c r="I26" s="69" t="s">
        <v>290</v>
      </c>
      <c r="J26" s="67">
        <v>12</v>
      </c>
      <c r="K26" s="67">
        <v>17</v>
      </c>
    </row>
    <row r="27" spans="1:11" ht="15.75" customHeight="1">
      <c r="A27" s="34" t="s">
        <v>139</v>
      </c>
      <c r="B27" s="41">
        <v>382</v>
      </c>
      <c r="C27" s="41">
        <v>50</v>
      </c>
      <c r="D27" s="41">
        <v>16</v>
      </c>
      <c r="E27" s="41">
        <v>39</v>
      </c>
      <c r="F27" s="41">
        <v>58</v>
      </c>
      <c r="G27" s="41">
        <v>50</v>
      </c>
      <c r="H27" s="68">
        <v>45708</v>
      </c>
      <c r="I27" s="69" t="s">
        <v>291</v>
      </c>
      <c r="J27" s="67">
        <v>18</v>
      </c>
      <c r="K27" s="67">
        <v>24</v>
      </c>
    </row>
    <row r="28" spans="1:11" ht="15.75" customHeight="1">
      <c r="A28" s="34" t="s">
        <v>140</v>
      </c>
      <c r="B28" s="41">
        <v>228</v>
      </c>
      <c r="C28" s="41">
        <v>28</v>
      </c>
      <c r="D28" s="41">
        <v>19</v>
      </c>
      <c r="E28" s="41">
        <v>37</v>
      </c>
      <c r="F28" s="41">
        <v>54</v>
      </c>
      <c r="G28" s="41">
        <v>38</v>
      </c>
      <c r="H28" s="68">
        <v>45711</v>
      </c>
      <c r="I28" s="69" t="s">
        <v>292</v>
      </c>
      <c r="J28" s="67">
        <v>8</v>
      </c>
      <c r="K28" s="67">
        <v>13</v>
      </c>
    </row>
    <row r="29" spans="1:11" ht="15.75" customHeight="1">
      <c r="A29" s="34" t="s">
        <v>142</v>
      </c>
      <c r="B29" s="41">
        <v>484</v>
      </c>
      <c r="C29" s="41">
        <v>70</v>
      </c>
      <c r="D29" s="41">
        <v>16</v>
      </c>
      <c r="E29" s="41">
        <v>38</v>
      </c>
      <c r="F29" s="41">
        <v>61</v>
      </c>
      <c r="G29" s="41">
        <v>55</v>
      </c>
      <c r="H29" s="68">
        <v>45715</v>
      </c>
      <c r="I29" s="69" t="s">
        <v>293</v>
      </c>
      <c r="J29" s="67">
        <v>24</v>
      </c>
      <c r="K29" s="67">
        <v>34</v>
      </c>
    </row>
    <row r="30" spans="1:11" ht="15.75" customHeight="1">
      <c r="A30" s="34" t="s">
        <v>143</v>
      </c>
      <c r="B30" s="41">
        <v>425</v>
      </c>
      <c r="C30" s="41">
        <v>59</v>
      </c>
      <c r="D30" s="41">
        <v>19</v>
      </c>
      <c r="E30" s="41">
        <v>43</v>
      </c>
      <c r="F30" s="41">
        <v>62</v>
      </c>
      <c r="G30" s="41">
        <v>85</v>
      </c>
      <c r="H30" s="68">
        <v>45718</v>
      </c>
      <c r="I30" s="69" t="s">
        <v>294</v>
      </c>
      <c r="J30" s="67">
        <v>26</v>
      </c>
      <c r="K30" s="67">
        <v>26</v>
      </c>
    </row>
    <row r="31" spans="1:11" ht="15.75" customHeight="1">
      <c r="A31" s="34" t="s">
        <v>139</v>
      </c>
      <c r="B31" s="41">
        <v>471</v>
      </c>
      <c r="C31" s="41">
        <v>52</v>
      </c>
      <c r="D31" s="41">
        <v>19</v>
      </c>
      <c r="E31" s="41">
        <v>44</v>
      </c>
      <c r="F31" s="41">
        <v>68</v>
      </c>
      <c r="G31" s="41">
        <v>79</v>
      </c>
      <c r="H31" s="68">
        <v>45722</v>
      </c>
      <c r="I31" s="69" t="s">
        <v>295</v>
      </c>
      <c r="J31" s="67">
        <v>16</v>
      </c>
      <c r="K31" s="67">
        <v>28</v>
      </c>
    </row>
    <row r="32" spans="1:11" ht="15.75" customHeight="1">
      <c r="A32" s="34" t="s">
        <v>136</v>
      </c>
      <c r="B32" s="41">
        <v>468</v>
      </c>
      <c r="C32" s="41">
        <v>65</v>
      </c>
      <c r="D32" s="41">
        <v>19</v>
      </c>
      <c r="E32" s="41">
        <v>45</v>
      </c>
      <c r="F32" s="41">
        <v>70</v>
      </c>
      <c r="G32" s="41">
        <v>70</v>
      </c>
      <c r="H32" s="68">
        <v>45723</v>
      </c>
      <c r="I32" s="69" t="s">
        <v>296</v>
      </c>
      <c r="J32" s="67">
        <v>13</v>
      </c>
      <c r="K32" s="67">
        <v>27</v>
      </c>
    </row>
    <row r="34" spans="1:11" ht="15.75" customHeight="1">
      <c r="A34" s="1" t="s">
        <v>260</v>
      </c>
      <c r="B34" s="1">
        <f t="shared" ref="B34:G34" si="0">SUM(B3:B32)</f>
        <v>11609</v>
      </c>
      <c r="C34" s="1">
        <f t="shared" si="0"/>
        <v>1466</v>
      </c>
      <c r="D34" s="1">
        <f t="shared" si="0"/>
        <v>557</v>
      </c>
      <c r="E34" s="1">
        <f t="shared" si="0"/>
        <v>1231</v>
      </c>
      <c r="F34" s="1">
        <f t="shared" si="0"/>
        <v>1723</v>
      </c>
      <c r="G34" s="1">
        <f t="shared" si="0"/>
        <v>1957</v>
      </c>
      <c r="I34" s="1">
        <f>COUNTA(I3:I32)</f>
        <v>30</v>
      </c>
      <c r="K34" s="1">
        <f>SUM(K3:K32)</f>
        <v>662</v>
      </c>
    </row>
    <row r="35" spans="1:11" ht="15.75" customHeight="1">
      <c r="G35" s="66"/>
      <c r="H35" s="66"/>
      <c r="I35" s="62"/>
      <c r="J35" s="59"/>
      <c r="K35" s="59"/>
    </row>
    <row r="36" spans="1:11" ht="15.75" customHeight="1">
      <c r="A36" s="1" t="s">
        <v>261</v>
      </c>
      <c r="B36" s="1">
        <f t="shared" ref="B36:G36" si="1">B34/$I$34</f>
        <v>386.96666666666664</v>
      </c>
      <c r="C36" s="1">
        <f t="shared" si="1"/>
        <v>48.866666666666667</v>
      </c>
      <c r="D36" s="1">
        <f t="shared" si="1"/>
        <v>18.566666666666666</v>
      </c>
      <c r="E36" s="1">
        <f t="shared" si="1"/>
        <v>41.033333333333331</v>
      </c>
      <c r="F36" s="1">
        <f t="shared" si="1"/>
        <v>57.43333333333333</v>
      </c>
      <c r="G36" s="1">
        <f t="shared" si="1"/>
        <v>65.233333333333334</v>
      </c>
      <c r="I36" s="1" t="s">
        <v>262</v>
      </c>
      <c r="J36" s="1">
        <f>K34/I34</f>
        <v>22.066666666666666</v>
      </c>
    </row>
    <row r="37" spans="1:11" ht="15.75" customHeight="1">
      <c r="A37" s="1" t="s">
        <v>297</v>
      </c>
      <c r="B37" s="1">
        <f t="shared" ref="B37:G37" si="2">B34/$K$34</f>
        <v>17.536253776435046</v>
      </c>
      <c r="C37" s="1">
        <f t="shared" si="2"/>
        <v>2.214501510574018</v>
      </c>
      <c r="D37" s="1">
        <f t="shared" si="2"/>
        <v>0.84138972809667678</v>
      </c>
      <c r="E37" s="1">
        <f t="shared" si="2"/>
        <v>1.8595166163141994</v>
      </c>
      <c r="F37" s="1">
        <f t="shared" si="2"/>
        <v>2.6027190332326282</v>
      </c>
      <c r="G37" s="1">
        <f t="shared" si="2"/>
        <v>2.9561933534743203</v>
      </c>
    </row>
    <row r="38" spans="1:11" ht="15.75" customHeight="1">
      <c r="A38" s="1" t="s">
        <v>264</v>
      </c>
      <c r="B38" s="1">
        <f t="shared" ref="B38:G38" si="3">MAX(B2:B32)</f>
        <v>534</v>
      </c>
      <c r="C38" s="1">
        <f t="shared" si="3"/>
        <v>74</v>
      </c>
      <c r="D38" s="1">
        <f t="shared" si="3"/>
        <v>22</v>
      </c>
      <c r="E38" s="1">
        <f t="shared" si="3"/>
        <v>49</v>
      </c>
      <c r="F38" s="1">
        <f t="shared" si="3"/>
        <v>70</v>
      </c>
      <c r="G38" s="1">
        <f t="shared" si="3"/>
        <v>95</v>
      </c>
    </row>
    <row r="39" spans="1:11" ht="15.75" customHeight="1">
      <c r="A39" s="1" t="s">
        <v>265</v>
      </c>
      <c r="B39" s="1">
        <f t="shared" ref="B39:G39" si="4">STDEV(B2:B32)</f>
        <v>81.823255626321242</v>
      </c>
      <c r="C39" s="1">
        <f t="shared" si="4"/>
        <v>12.538456971486028</v>
      </c>
      <c r="D39" s="1">
        <f t="shared" si="4"/>
        <v>1.434595593234913</v>
      </c>
      <c r="E39" s="1">
        <f t="shared" si="4"/>
        <v>4.0118105209386421</v>
      </c>
      <c r="F39" s="1">
        <f t="shared" si="4"/>
        <v>6.1492197249575131</v>
      </c>
      <c r="G39" s="1">
        <f t="shared" si="4"/>
        <v>16.302120714341015</v>
      </c>
    </row>
    <row r="40" spans="1:11" ht="15.75" customHeight="1">
      <c r="A40" s="34"/>
      <c r="B40" s="41"/>
      <c r="C40" s="41"/>
      <c r="D40" s="34"/>
      <c r="E40" s="41"/>
      <c r="F40" s="41"/>
    </row>
    <row r="41" spans="1:11" ht="15.75" customHeight="1">
      <c r="A41" s="34"/>
      <c r="B41" s="41"/>
      <c r="C41" s="41"/>
      <c r="D41" s="34"/>
      <c r="E41" s="41"/>
      <c r="F41" s="41"/>
    </row>
    <row r="42" spans="1:11" ht="15.75" customHeight="1">
      <c r="A42" s="34"/>
      <c r="B42" s="41"/>
      <c r="C42" s="41"/>
      <c r="D42" s="34"/>
      <c r="E42" s="41"/>
      <c r="F42" s="41"/>
    </row>
    <row r="43" spans="1:11" ht="15.75" customHeight="1">
      <c r="A43" s="34"/>
      <c r="B43" s="41"/>
      <c r="C43" s="41"/>
      <c r="D43" s="34"/>
      <c r="E43" s="41"/>
      <c r="F43" s="41"/>
    </row>
    <row r="44" spans="1:11" ht="15.75" customHeight="1">
      <c r="A44" s="34"/>
      <c r="B44" s="41"/>
      <c r="C44" s="41"/>
      <c r="D44" s="34"/>
      <c r="E44" s="41"/>
      <c r="F44" s="41"/>
    </row>
    <row r="45" spans="1:11" ht="15.75" customHeight="1">
      <c r="A45" s="34"/>
      <c r="B45" s="41"/>
      <c r="C45" s="41"/>
      <c r="D45" s="34"/>
      <c r="E45" s="41"/>
      <c r="F45" s="41"/>
    </row>
    <row r="46" spans="1:11" ht="15.75" customHeight="1">
      <c r="A46" s="34"/>
      <c r="B46" s="41"/>
      <c r="C46" s="41"/>
      <c r="D46" s="34"/>
      <c r="E46" s="41"/>
      <c r="F46" s="41"/>
    </row>
    <row r="47" spans="1:11" ht="15.75" customHeight="1">
      <c r="A47" s="34"/>
      <c r="B47" s="41"/>
      <c r="C47" s="41"/>
      <c r="D47" s="34"/>
      <c r="E47" s="41"/>
      <c r="F47" s="41"/>
    </row>
    <row r="48" spans="1:11" ht="15.75" customHeight="1">
      <c r="A48" s="34"/>
      <c r="B48" s="41"/>
      <c r="C48" s="41"/>
      <c r="D48" s="34"/>
      <c r="E48" s="41"/>
      <c r="F48" s="41"/>
    </row>
    <row r="49" spans="1:6" ht="15.75" customHeight="1">
      <c r="A49" s="34"/>
      <c r="B49" s="41"/>
      <c r="C49" s="41"/>
      <c r="D49" s="34"/>
      <c r="E49" s="41"/>
      <c r="F49" s="41"/>
    </row>
    <row r="50" spans="1:6" ht="15.75" customHeight="1">
      <c r="A50" s="34"/>
      <c r="B50" s="41"/>
      <c r="C50" s="41"/>
      <c r="D50" s="34"/>
      <c r="E50" s="41"/>
      <c r="F50" s="41"/>
    </row>
    <row r="51" spans="1:6" ht="13">
      <c r="A51" s="34"/>
      <c r="B51" s="41"/>
      <c r="C51" s="41"/>
      <c r="D51" s="34"/>
      <c r="E51" s="41"/>
      <c r="F51" s="41"/>
    </row>
    <row r="52" spans="1:6" ht="13">
      <c r="A52" s="34"/>
      <c r="B52" s="41"/>
      <c r="C52" s="41"/>
      <c r="D52" s="34"/>
      <c r="E52" s="41"/>
      <c r="F52" s="41"/>
    </row>
    <row r="53" spans="1:6" ht="13">
      <c r="A53" s="34"/>
      <c r="B53" s="41"/>
      <c r="C53" s="41"/>
      <c r="D53" s="34"/>
      <c r="E53" s="41"/>
      <c r="F53" s="41"/>
    </row>
    <row r="54" spans="1:6" ht="13">
      <c r="A54" s="34"/>
      <c r="B54" s="41"/>
      <c r="C54" s="41"/>
      <c r="D54" s="34"/>
      <c r="E54" s="41"/>
      <c r="F54" s="41"/>
    </row>
    <row r="55" spans="1:6" ht="13">
      <c r="A55" s="34"/>
      <c r="B55" s="41"/>
      <c r="C55" s="41"/>
      <c r="D55" s="34"/>
      <c r="E55" s="41"/>
      <c r="F55" s="41"/>
    </row>
    <row r="56" spans="1:6" ht="13">
      <c r="A56" s="34"/>
      <c r="B56" s="41"/>
      <c r="C56" s="41"/>
      <c r="D56" s="34"/>
      <c r="E56" s="41"/>
      <c r="F56" s="41"/>
    </row>
    <row r="57" spans="1:6" ht="13">
      <c r="A57" s="34"/>
      <c r="B57" s="41"/>
      <c r="C57" s="41"/>
      <c r="D57" s="34"/>
      <c r="E57" s="41"/>
      <c r="F57" s="41"/>
    </row>
    <row r="58" spans="1:6" ht="13">
      <c r="A58" s="34"/>
      <c r="B58" s="41"/>
      <c r="C58" s="41"/>
      <c r="D58" s="34"/>
      <c r="E58" s="41"/>
      <c r="F58" s="41"/>
    </row>
    <row r="59" spans="1:6" ht="13">
      <c r="A59" s="34"/>
      <c r="B59" s="41"/>
      <c r="C59" s="41"/>
      <c r="D59" s="34"/>
      <c r="E59" s="41"/>
      <c r="F59" s="41"/>
    </row>
    <row r="60" spans="1:6" ht="13">
      <c r="A60" s="34"/>
      <c r="B60" s="41"/>
      <c r="C60" s="41"/>
      <c r="D60" s="34"/>
      <c r="E60" s="41"/>
      <c r="F60" s="41"/>
    </row>
    <row r="61" spans="1:6" ht="13">
      <c r="A61" s="34"/>
      <c r="B61" s="41"/>
      <c r="C61" s="41"/>
      <c r="D61" s="34"/>
      <c r="E61" s="41"/>
      <c r="F61" s="41"/>
    </row>
    <row r="62" spans="1:6" ht="13">
      <c r="A62" s="34"/>
      <c r="B62" s="41"/>
      <c r="C62" s="41"/>
      <c r="D62" s="34"/>
      <c r="E62" s="41"/>
      <c r="F62" s="41"/>
    </row>
    <row r="63" spans="1:6" ht="13">
      <c r="A63" s="34"/>
      <c r="B63" s="41"/>
      <c r="C63" s="41"/>
      <c r="D63" s="34"/>
      <c r="E63" s="41"/>
      <c r="F63" s="41"/>
    </row>
    <row r="64" spans="1:6" ht="13">
      <c r="A64" s="34"/>
      <c r="B64" s="41"/>
      <c r="C64" s="41"/>
      <c r="D64" s="34"/>
      <c r="E64" s="41"/>
      <c r="F64" s="41"/>
    </row>
    <row r="65" spans="1:6" ht="13">
      <c r="A65" s="34"/>
      <c r="B65" s="41"/>
      <c r="C65" s="41"/>
      <c r="D65" s="34"/>
      <c r="E65" s="41"/>
      <c r="F65" s="41"/>
    </row>
    <row r="66" spans="1:6" ht="13">
      <c r="A66" s="34"/>
      <c r="B66" s="41"/>
      <c r="C66" s="41"/>
      <c r="D66" s="34"/>
      <c r="E66" s="41"/>
      <c r="F66" s="41"/>
    </row>
    <row r="67" spans="1:6" ht="13">
      <c r="A67" s="34"/>
      <c r="B67" s="41"/>
      <c r="C67" s="41"/>
      <c r="D67" s="34"/>
      <c r="E67" s="41"/>
      <c r="F67" s="41"/>
    </row>
    <row r="68" spans="1:6" ht="13">
      <c r="A68" s="34"/>
      <c r="B68" s="41"/>
      <c r="C68" s="41"/>
      <c r="D68" s="34"/>
      <c r="E68" s="41"/>
      <c r="F68" s="41"/>
    </row>
    <row r="69" spans="1:6" ht="13">
      <c r="A69" s="34"/>
      <c r="B69" s="41"/>
      <c r="C69" s="41"/>
      <c r="D69" s="34"/>
      <c r="E69" s="41"/>
      <c r="F69" s="41"/>
    </row>
    <row r="70" spans="1:6" ht="13">
      <c r="A70" s="34"/>
      <c r="B70" s="41"/>
      <c r="C70" s="41"/>
      <c r="D70" s="41"/>
      <c r="E70" s="41"/>
      <c r="F70" s="41"/>
    </row>
  </sheetData>
  <hyperlinks>
    <hyperlink ref="I2" r:id="rId1" xr:uid="{00000000-0004-0000-0B00-000000000000}"/>
    <hyperlink ref="I3" r:id="rId2" xr:uid="{00000000-0004-0000-0B00-000001000000}"/>
    <hyperlink ref="I4" r:id="rId3" xr:uid="{00000000-0004-0000-0B00-000002000000}"/>
    <hyperlink ref="I5" r:id="rId4" xr:uid="{00000000-0004-0000-0B00-000003000000}"/>
    <hyperlink ref="I6" r:id="rId5" xr:uid="{00000000-0004-0000-0B00-000004000000}"/>
    <hyperlink ref="I7" r:id="rId6" xr:uid="{00000000-0004-0000-0B00-000005000000}"/>
    <hyperlink ref="I8" r:id="rId7" xr:uid="{00000000-0004-0000-0B00-000006000000}"/>
    <hyperlink ref="I9" r:id="rId8" xr:uid="{00000000-0004-0000-0B00-000007000000}"/>
    <hyperlink ref="I10" r:id="rId9" xr:uid="{00000000-0004-0000-0B00-000008000000}"/>
    <hyperlink ref="I11" r:id="rId10" xr:uid="{00000000-0004-0000-0B00-000009000000}"/>
    <hyperlink ref="I12" r:id="rId11" xr:uid="{00000000-0004-0000-0B00-00000A000000}"/>
    <hyperlink ref="I13" r:id="rId12" xr:uid="{00000000-0004-0000-0B00-00000B000000}"/>
    <hyperlink ref="I14" r:id="rId13" xr:uid="{00000000-0004-0000-0B00-00000C000000}"/>
    <hyperlink ref="I15" r:id="rId14" xr:uid="{00000000-0004-0000-0B00-00000D000000}"/>
    <hyperlink ref="I16" r:id="rId15" xr:uid="{00000000-0004-0000-0B00-00000E000000}"/>
    <hyperlink ref="I17" r:id="rId16" xr:uid="{00000000-0004-0000-0B00-00000F000000}"/>
    <hyperlink ref="I18" r:id="rId17" xr:uid="{00000000-0004-0000-0B00-000010000000}"/>
    <hyperlink ref="I19" r:id="rId18" xr:uid="{00000000-0004-0000-0B00-000011000000}"/>
    <hyperlink ref="I20" r:id="rId19" xr:uid="{00000000-0004-0000-0B00-000012000000}"/>
    <hyperlink ref="I21" r:id="rId20" xr:uid="{00000000-0004-0000-0B00-000013000000}"/>
    <hyperlink ref="I22" r:id="rId21" xr:uid="{00000000-0004-0000-0B00-000014000000}"/>
    <hyperlink ref="I23" r:id="rId22" xr:uid="{00000000-0004-0000-0B00-000015000000}"/>
    <hyperlink ref="I24" r:id="rId23" xr:uid="{00000000-0004-0000-0B00-000016000000}"/>
    <hyperlink ref="I25" r:id="rId24" xr:uid="{00000000-0004-0000-0B00-000017000000}"/>
    <hyperlink ref="I26" r:id="rId25" xr:uid="{00000000-0004-0000-0B00-000018000000}"/>
    <hyperlink ref="I27" r:id="rId26" xr:uid="{00000000-0004-0000-0B00-000019000000}"/>
    <hyperlink ref="I28" r:id="rId27" xr:uid="{00000000-0004-0000-0B00-00001A000000}"/>
    <hyperlink ref="I29" r:id="rId28" xr:uid="{00000000-0004-0000-0B00-00001B000000}"/>
    <hyperlink ref="I30" r:id="rId29" xr:uid="{00000000-0004-0000-0B00-00001C000000}"/>
    <hyperlink ref="I31" r:id="rId30" xr:uid="{00000000-0004-0000-0B00-00001D000000}"/>
    <hyperlink ref="I32" r:id="rId31" xr:uid="{00000000-0004-0000-0B00-00001E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61"/>
  <sheetViews>
    <sheetView workbookViewId="0">
      <selection activeCell="B3" sqref="B3"/>
    </sheetView>
  </sheetViews>
  <sheetFormatPr baseColWidth="10" defaultColWidth="12.6640625" defaultRowHeight="15.75" customHeight="1"/>
  <cols>
    <col min="1" max="1" width="16" customWidth="1"/>
  </cols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 t="s">
        <v>228</v>
      </c>
      <c r="K1" s="51" t="s">
        <v>229</v>
      </c>
      <c r="L1" s="54"/>
      <c r="M1" s="51"/>
      <c r="N1" s="51"/>
      <c r="O1" s="51"/>
      <c r="P1" s="51"/>
      <c r="Q1" s="51"/>
      <c r="R1" s="51"/>
      <c r="S1" s="51"/>
      <c r="T1" s="51"/>
    </row>
    <row r="2" spans="1:20" ht="15.75" customHeight="1">
      <c r="A2" s="34" t="s">
        <v>113</v>
      </c>
      <c r="B2" s="41">
        <v>276</v>
      </c>
      <c r="C2" s="41">
        <v>32</v>
      </c>
      <c r="D2" s="41">
        <v>17</v>
      </c>
      <c r="E2" s="41">
        <v>40</v>
      </c>
      <c r="F2" s="41">
        <v>54</v>
      </c>
      <c r="G2" s="41">
        <v>41</v>
      </c>
      <c r="H2" s="61">
        <v>45603</v>
      </c>
      <c r="I2" s="63" t="s">
        <v>298</v>
      </c>
      <c r="J2" s="51">
        <v>2</v>
      </c>
      <c r="K2" s="51">
        <v>13</v>
      </c>
      <c r="L2" s="54"/>
      <c r="M2" s="51"/>
      <c r="N2" s="51"/>
      <c r="O2" s="51">
        <v>6</v>
      </c>
      <c r="P2" s="51"/>
      <c r="Q2" s="51"/>
      <c r="R2" s="51"/>
      <c r="S2" s="51">
        <v>0</v>
      </c>
      <c r="T2" s="51">
        <v>0</v>
      </c>
    </row>
    <row r="3" spans="1:20" ht="15.75" customHeight="1">
      <c r="A3" s="34" t="s">
        <v>114</v>
      </c>
      <c r="B3" s="41">
        <v>281</v>
      </c>
      <c r="C3" s="41">
        <v>41</v>
      </c>
      <c r="D3" s="41">
        <v>17</v>
      </c>
      <c r="E3" s="41">
        <v>35</v>
      </c>
      <c r="F3" s="41">
        <v>50</v>
      </c>
      <c r="G3" s="41">
        <v>32</v>
      </c>
      <c r="H3" s="61">
        <v>45605</v>
      </c>
      <c r="I3" s="63" t="s">
        <v>299</v>
      </c>
      <c r="J3" s="51">
        <v>3</v>
      </c>
      <c r="K3" s="51">
        <v>15</v>
      </c>
      <c r="L3" s="54"/>
      <c r="M3" s="51"/>
      <c r="N3" s="54"/>
      <c r="O3" s="51">
        <v>1</v>
      </c>
      <c r="P3" s="51"/>
      <c r="Q3" s="51"/>
      <c r="R3" s="51"/>
      <c r="S3" s="51">
        <v>0</v>
      </c>
      <c r="T3" s="51">
        <v>1</v>
      </c>
    </row>
    <row r="4" spans="1:20" ht="15.75" customHeight="1">
      <c r="A4" s="34" t="s">
        <v>115</v>
      </c>
      <c r="B4" s="41">
        <v>488</v>
      </c>
      <c r="C4" s="41">
        <v>63</v>
      </c>
      <c r="D4" s="41">
        <v>18</v>
      </c>
      <c r="E4" s="41">
        <v>44</v>
      </c>
      <c r="F4" s="41">
        <v>45</v>
      </c>
      <c r="G4" s="41">
        <v>56</v>
      </c>
      <c r="H4" s="64">
        <v>45610</v>
      </c>
      <c r="I4" s="63" t="s">
        <v>300</v>
      </c>
      <c r="J4" s="51">
        <v>2</v>
      </c>
      <c r="K4" s="51">
        <v>20</v>
      </c>
      <c r="L4" s="54"/>
      <c r="M4" s="51"/>
      <c r="N4" s="51"/>
      <c r="O4" s="51">
        <v>1</v>
      </c>
      <c r="P4" s="51"/>
      <c r="Q4" s="51"/>
      <c r="R4" s="51"/>
      <c r="S4" s="51">
        <v>1</v>
      </c>
      <c r="T4" s="51">
        <v>0</v>
      </c>
    </row>
    <row r="5" spans="1:20" ht="15.75" customHeight="1">
      <c r="A5" s="34" t="s">
        <v>116</v>
      </c>
      <c r="B5" s="41">
        <v>215</v>
      </c>
      <c r="C5" s="41">
        <v>37</v>
      </c>
      <c r="D5" s="41">
        <v>18</v>
      </c>
      <c r="E5" s="41">
        <v>36</v>
      </c>
      <c r="F5" s="41">
        <v>51</v>
      </c>
      <c r="G5" s="41">
        <v>51</v>
      </c>
      <c r="H5" s="64">
        <v>45616</v>
      </c>
      <c r="I5" s="63" t="s">
        <v>301</v>
      </c>
      <c r="J5" s="51">
        <v>0</v>
      </c>
      <c r="K5" s="51">
        <v>13</v>
      </c>
      <c r="L5" s="51"/>
      <c r="M5" s="51"/>
      <c r="N5" s="51"/>
      <c r="O5" s="51">
        <v>6</v>
      </c>
      <c r="P5" s="51"/>
      <c r="Q5" s="51"/>
      <c r="R5" s="51"/>
      <c r="S5" s="51">
        <v>0</v>
      </c>
      <c r="T5" s="51">
        <v>2</v>
      </c>
    </row>
    <row r="6" spans="1:20" ht="15.75" customHeight="1">
      <c r="A6" s="34" t="s">
        <v>117</v>
      </c>
      <c r="B6" s="41">
        <v>355</v>
      </c>
      <c r="C6" s="41">
        <v>62</v>
      </c>
      <c r="D6" s="41">
        <v>18</v>
      </c>
      <c r="E6" s="41">
        <v>42</v>
      </c>
      <c r="F6" s="41">
        <v>57</v>
      </c>
      <c r="G6" s="41">
        <v>93</v>
      </c>
      <c r="H6" s="64">
        <v>45618</v>
      </c>
      <c r="I6" s="63" t="s">
        <v>302</v>
      </c>
      <c r="J6" s="51">
        <v>0</v>
      </c>
      <c r="K6" s="51">
        <v>15</v>
      </c>
      <c r="L6" s="51"/>
      <c r="M6" s="51"/>
      <c r="N6" s="51"/>
      <c r="O6" s="51">
        <v>2</v>
      </c>
      <c r="P6" s="51"/>
      <c r="Q6" s="51"/>
      <c r="R6" s="51"/>
      <c r="S6" s="51">
        <v>3</v>
      </c>
      <c r="T6" s="51">
        <v>3</v>
      </c>
    </row>
    <row r="7" spans="1:20" ht="15.75" customHeight="1">
      <c r="A7" s="34" t="s">
        <v>120</v>
      </c>
      <c r="B7" s="41">
        <v>213</v>
      </c>
      <c r="C7" s="41">
        <v>37</v>
      </c>
      <c r="D7" s="41">
        <v>21</v>
      </c>
      <c r="E7" s="41">
        <v>39</v>
      </c>
      <c r="F7" s="41">
        <v>55</v>
      </c>
      <c r="G7" s="41">
        <v>50</v>
      </c>
      <c r="H7" s="61">
        <v>45631</v>
      </c>
      <c r="I7" s="63" t="s">
        <v>303</v>
      </c>
      <c r="J7" s="51">
        <v>0</v>
      </c>
      <c r="K7" s="51">
        <v>9</v>
      </c>
      <c r="L7" s="51"/>
      <c r="M7" s="51"/>
      <c r="N7" s="51"/>
      <c r="O7" s="51">
        <v>0</v>
      </c>
      <c r="P7" s="51"/>
      <c r="Q7" s="51"/>
      <c r="R7" s="51"/>
      <c r="S7" s="51">
        <v>2</v>
      </c>
      <c r="T7" s="51">
        <v>3</v>
      </c>
    </row>
    <row r="8" spans="1:20" ht="15.75" customHeight="1">
      <c r="A8" s="34" t="s">
        <v>121</v>
      </c>
      <c r="B8" s="41">
        <v>309</v>
      </c>
      <c r="C8" s="41">
        <v>35</v>
      </c>
      <c r="D8" s="41">
        <v>18</v>
      </c>
      <c r="E8" s="41">
        <v>45</v>
      </c>
      <c r="F8" s="41">
        <v>61</v>
      </c>
      <c r="G8" s="41">
        <v>62</v>
      </c>
      <c r="H8" s="61">
        <v>45633</v>
      </c>
      <c r="I8" s="63" t="s">
        <v>304</v>
      </c>
      <c r="J8" s="51">
        <v>2</v>
      </c>
      <c r="K8" s="51">
        <v>16</v>
      </c>
      <c r="L8" s="51"/>
      <c r="M8" s="51"/>
      <c r="N8" s="54"/>
      <c r="O8" s="51">
        <v>3</v>
      </c>
      <c r="P8" s="51"/>
      <c r="Q8" s="51"/>
      <c r="R8" s="51"/>
      <c r="S8" s="51">
        <v>0</v>
      </c>
      <c r="T8" s="51">
        <v>2</v>
      </c>
    </row>
    <row r="9" spans="1:20" ht="15.75" customHeight="1">
      <c r="A9" s="34" t="s">
        <v>122</v>
      </c>
      <c r="B9" s="41">
        <v>334</v>
      </c>
      <c r="C9" s="41">
        <v>31</v>
      </c>
      <c r="D9" s="41">
        <v>19</v>
      </c>
      <c r="E9" s="41">
        <v>40</v>
      </c>
      <c r="F9" s="41">
        <v>61</v>
      </c>
      <c r="G9" s="41">
        <v>57</v>
      </c>
      <c r="H9" s="64">
        <v>45639</v>
      </c>
      <c r="I9" s="63" t="s">
        <v>305</v>
      </c>
      <c r="J9" s="51">
        <v>3</v>
      </c>
      <c r="K9" s="51">
        <v>18</v>
      </c>
      <c r="L9" s="54"/>
      <c r="M9" s="54"/>
      <c r="N9" s="51"/>
      <c r="O9" s="51">
        <v>6</v>
      </c>
      <c r="P9" s="51"/>
      <c r="Q9" s="51"/>
      <c r="R9" s="51"/>
      <c r="S9" s="51">
        <v>0</v>
      </c>
      <c r="T9" s="51">
        <v>2</v>
      </c>
    </row>
    <row r="10" spans="1:20" ht="15.75" customHeight="1">
      <c r="A10" s="34" t="s">
        <v>124</v>
      </c>
      <c r="B10" s="41">
        <v>473</v>
      </c>
      <c r="C10" s="41">
        <v>66</v>
      </c>
      <c r="D10" s="41">
        <v>19</v>
      </c>
      <c r="E10" s="41">
        <v>38</v>
      </c>
      <c r="F10" s="41">
        <v>55</v>
      </c>
      <c r="G10" s="41">
        <v>69</v>
      </c>
      <c r="H10" s="64">
        <v>45647</v>
      </c>
      <c r="I10" s="63" t="s">
        <v>306</v>
      </c>
      <c r="J10" s="51">
        <v>3</v>
      </c>
      <c r="K10" s="51">
        <v>28</v>
      </c>
      <c r="L10" s="54"/>
      <c r="M10" s="51"/>
      <c r="N10" s="54"/>
      <c r="O10" s="51">
        <v>6</v>
      </c>
      <c r="P10" s="51"/>
      <c r="Q10" s="51"/>
      <c r="R10" s="51"/>
      <c r="S10" s="51">
        <v>0</v>
      </c>
      <c r="T10" s="51">
        <v>1</v>
      </c>
    </row>
    <row r="11" spans="1:20" ht="15.75" customHeight="1">
      <c r="A11" s="34" t="s">
        <v>125</v>
      </c>
      <c r="B11" s="41">
        <v>534</v>
      </c>
      <c r="C11" s="41">
        <v>66</v>
      </c>
      <c r="D11" s="41">
        <v>19</v>
      </c>
      <c r="E11" s="41">
        <v>45</v>
      </c>
      <c r="F11" s="41">
        <v>64</v>
      </c>
      <c r="G11" s="41">
        <v>54</v>
      </c>
      <c r="H11" s="64">
        <v>45648</v>
      </c>
      <c r="I11" s="63" t="s">
        <v>307</v>
      </c>
      <c r="J11" s="51">
        <v>1</v>
      </c>
      <c r="K11" s="51">
        <v>23</v>
      </c>
      <c r="L11" s="51"/>
      <c r="M11" s="51"/>
      <c r="N11" s="54"/>
      <c r="O11" s="51">
        <v>5</v>
      </c>
      <c r="P11" s="51"/>
      <c r="Q11" s="51"/>
      <c r="R11" s="51"/>
      <c r="S11" s="51">
        <v>1</v>
      </c>
      <c r="T11" s="51">
        <v>1</v>
      </c>
    </row>
    <row r="12" spans="1:20" ht="15.75" customHeight="1">
      <c r="A12" s="34" t="s">
        <v>126</v>
      </c>
      <c r="B12" s="41">
        <v>158</v>
      </c>
      <c r="C12" s="41">
        <v>18</v>
      </c>
      <c r="D12" s="41">
        <v>17</v>
      </c>
      <c r="E12" s="41">
        <v>35</v>
      </c>
      <c r="F12" s="41" t="s">
        <v>308</v>
      </c>
      <c r="G12" s="41">
        <v>35</v>
      </c>
      <c r="H12" s="61">
        <v>45659</v>
      </c>
      <c r="I12" s="63" t="s">
        <v>309</v>
      </c>
      <c r="J12" s="51">
        <v>0</v>
      </c>
      <c r="K12" s="51">
        <v>9</v>
      </c>
      <c r="L12" s="51"/>
      <c r="M12" s="51"/>
      <c r="N12" s="51"/>
      <c r="O12" s="51">
        <v>1</v>
      </c>
      <c r="P12" s="51"/>
      <c r="Q12" s="51"/>
      <c r="R12" s="51"/>
      <c r="S12" s="51">
        <v>4</v>
      </c>
      <c r="T12" s="51">
        <v>2</v>
      </c>
    </row>
    <row r="13" spans="1:20" ht="15.75" customHeight="1">
      <c r="A13" s="34" t="s">
        <v>127</v>
      </c>
      <c r="B13" s="41">
        <v>398</v>
      </c>
      <c r="C13" s="41">
        <v>46</v>
      </c>
      <c r="D13" s="41">
        <v>18</v>
      </c>
      <c r="E13" s="41">
        <v>40</v>
      </c>
      <c r="F13" s="41">
        <v>55</v>
      </c>
      <c r="G13" s="41">
        <v>62</v>
      </c>
      <c r="H13" s="61">
        <v>45662</v>
      </c>
      <c r="I13" s="63" t="s">
        <v>310</v>
      </c>
      <c r="J13" s="51">
        <v>4</v>
      </c>
      <c r="K13" s="51">
        <v>24</v>
      </c>
      <c r="L13" s="54"/>
      <c r="M13" s="51"/>
      <c r="N13" s="54"/>
      <c r="O13" s="51">
        <v>9</v>
      </c>
      <c r="P13" s="51"/>
      <c r="Q13" s="51"/>
      <c r="R13" s="51"/>
      <c r="S13" s="51">
        <v>1</v>
      </c>
      <c r="T13" s="51">
        <v>1</v>
      </c>
    </row>
    <row r="14" spans="1:20" ht="15.75" customHeight="1">
      <c r="A14" s="34" t="s">
        <v>128</v>
      </c>
      <c r="B14" s="41">
        <v>428</v>
      </c>
      <c r="C14" s="41">
        <v>56</v>
      </c>
      <c r="D14" s="41">
        <v>19</v>
      </c>
      <c r="E14" s="41">
        <v>46</v>
      </c>
      <c r="F14" s="41">
        <v>59</v>
      </c>
      <c r="G14" s="41">
        <v>71</v>
      </c>
      <c r="H14" s="61">
        <v>45666</v>
      </c>
      <c r="I14" s="63" t="s">
        <v>311</v>
      </c>
      <c r="J14" s="51">
        <v>1</v>
      </c>
      <c r="K14" s="51">
        <v>23</v>
      </c>
      <c r="L14" s="51"/>
      <c r="M14" s="51"/>
      <c r="N14" s="54"/>
      <c r="O14" s="51">
        <v>6</v>
      </c>
      <c r="P14" s="51"/>
      <c r="Q14" s="51"/>
      <c r="R14" s="51"/>
      <c r="S14" s="51">
        <v>1</v>
      </c>
      <c r="T14" s="51">
        <v>1</v>
      </c>
    </row>
    <row r="15" spans="1:20" ht="15.75" customHeight="1">
      <c r="A15" s="34" t="s">
        <v>129</v>
      </c>
      <c r="B15" s="41">
        <v>309</v>
      </c>
      <c r="C15" s="41">
        <v>30</v>
      </c>
      <c r="D15" s="41">
        <v>19</v>
      </c>
      <c r="E15" s="41">
        <v>42</v>
      </c>
      <c r="F15" s="41">
        <v>59</v>
      </c>
      <c r="G15" s="41">
        <v>42</v>
      </c>
      <c r="H15" s="61">
        <v>45669</v>
      </c>
      <c r="I15" s="63" t="s">
        <v>312</v>
      </c>
      <c r="J15" s="51">
        <v>0</v>
      </c>
      <c r="K15" s="51">
        <v>14</v>
      </c>
      <c r="L15" s="51"/>
      <c r="M15" s="51"/>
      <c r="N15" s="51"/>
      <c r="O15" s="51">
        <v>3</v>
      </c>
      <c r="P15" s="51"/>
      <c r="Q15" s="51"/>
      <c r="R15" s="51"/>
      <c r="S15" s="51">
        <v>1</v>
      </c>
      <c r="T15" s="51">
        <v>1</v>
      </c>
    </row>
    <row r="16" spans="1:20" ht="15.75" customHeight="1">
      <c r="A16" s="34" t="s">
        <v>130</v>
      </c>
      <c r="B16" s="41">
        <v>119</v>
      </c>
      <c r="C16" s="41">
        <v>15</v>
      </c>
      <c r="D16" s="41">
        <v>17</v>
      </c>
      <c r="E16" s="41">
        <v>35</v>
      </c>
      <c r="F16" s="41">
        <v>39</v>
      </c>
      <c r="G16" s="41">
        <v>19</v>
      </c>
      <c r="H16" s="61">
        <v>45673</v>
      </c>
      <c r="I16" s="63" t="s">
        <v>313</v>
      </c>
      <c r="J16" s="51">
        <v>0</v>
      </c>
      <c r="K16" s="51">
        <v>12</v>
      </c>
      <c r="L16" s="51"/>
      <c r="M16" s="51"/>
      <c r="N16" s="51"/>
      <c r="O16" s="51">
        <v>1</v>
      </c>
      <c r="P16" s="51"/>
      <c r="Q16" s="51"/>
      <c r="R16" s="51"/>
      <c r="S16" s="51">
        <v>1</v>
      </c>
      <c r="T16" s="51">
        <v>2</v>
      </c>
    </row>
    <row r="17" spans="1:20" ht="15.75" customHeight="1">
      <c r="A17" s="34" t="s">
        <v>131</v>
      </c>
      <c r="B17" s="41">
        <v>212</v>
      </c>
      <c r="C17" s="41">
        <v>26</v>
      </c>
      <c r="D17" s="41">
        <v>19</v>
      </c>
      <c r="E17" s="41">
        <v>39</v>
      </c>
      <c r="F17" s="41">
        <v>61</v>
      </c>
      <c r="G17" s="41">
        <v>49</v>
      </c>
      <c r="H17" s="61">
        <v>45676</v>
      </c>
      <c r="I17" s="63" t="s">
        <v>314</v>
      </c>
      <c r="J17" s="51">
        <v>0</v>
      </c>
      <c r="K17" s="51">
        <v>10</v>
      </c>
      <c r="L17" s="51"/>
      <c r="M17" s="51"/>
      <c r="N17" s="51"/>
      <c r="O17" s="51">
        <v>2</v>
      </c>
      <c r="P17" s="51"/>
      <c r="Q17" s="51"/>
      <c r="R17" s="51"/>
      <c r="S17" s="51">
        <v>1</v>
      </c>
      <c r="T17" s="51">
        <v>1</v>
      </c>
    </row>
    <row r="18" spans="1:20" ht="15.75" customHeight="1">
      <c r="A18" s="34" t="s">
        <v>315</v>
      </c>
      <c r="B18" s="41">
        <v>354</v>
      </c>
      <c r="C18" s="41">
        <v>37</v>
      </c>
      <c r="D18" s="41">
        <v>17</v>
      </c>
      <c r="E18" s="41">
        <v>35</v>
      </c>
      <c r="F18" s="41">
        <v>48</v>
      </c>
      <c r="G18" s="41">
        <v>35</v>
      </c>
      <c r="H18" s="61">
        <v>45680</v>
      </c>
      <c r="I18" s="63" t="s">
        <v>316</v>
      </c>
      <c r="J18" s="51">
        <v>1</v>
      </c>
      <c r="K18" s="51">
        <v>18</v>
      </c>
      <c r="L18" s="51"/>
      <c r="M18" s="51"/>
      <c r="N18" s="54"/>
      <c r="O18" s="51">
        <v>5</v>
      </c>
      <c r="P18" s="51"/>
      <c r="Q18" s="51"/>
      <c r="R18" s="51"/>
      <c r="S18" s="51">
        <v>2</v>
      </c>
      <c r="T18" s="51">
        <v>1</v>
      </c>
    </row>
    <row r="19" spans="1:20" ht="15.75" customHeight="1">
      <c r="A19" s="34" t="s">
        <v>132</v>
      </c>
      <c r="B19" s="41">
        <v>196</v>
      </c>
      <c r="C19" s="41">
        <v>32</v>
      </c>
      <c r="D19" s="41">
        <v>17</v>
      </c>
      <c r="E19" s="41">
        <v>38</v>
      </c>
      <c r="F19" s="41">
        <v>63</v>
      </c>
      <c r="G19" s="41">
        <v>30</v>
      </c>
      <c r="H19" s="61">
        <v>45687</v>
      </c>
      <c r="I19" s="63" t="s">
        <v>317</v>
      </c>
      <c r="J19" s="51">
        <v>2</v>
      </c>
      <c r="K19" s="51">
        <v>11</v>
      </c>
      <c r="L19" s="51"/>
      <c r="M19" s="51"/>
      <c r="N19" s="54"/>
      <c r="O19" s="51">
        <v>2</v>
      </c>
      <c r="P19" s="51"/>
      <c r="Q19" s="51"/>
      <c r="R19" s="51"/>
      <c r="S19" s="51">
        <v>2</v>
      </c>
      <c r="T19" s="51">
        <v>2</v>
      </c>
    </row>
    <row r="20" spans="1:20" ht="15.75" customHeight="1">
      <c r="A20" s="34" t="s">
        <v>134</v>
      </c>
      <c r="B20" s="41">
        <v>285</v>
      </c>
      <c r="C20" s="41">
        <v>34</v>
      </c>
      <c r="D20" s="41">
        <v>21</v>
      </c>
      <c r="E20" s="41">
        <v>40</v>
      </c>
      <c r="F20" s="41">
        <v>65</v>
      </c>
      <c r="G20" s="41">
        <v>67</v>
      </c>
      <c r="H20" s="61">
        <v>45694</v>
      </c>
      <c r="I20" s="63" t="s">
        <v>318</v>
      </c>
      <c r="J20" s="51">
        <v>0</v>
      </c>
      <c r="K20" s="51">
        <v>15</v>
      </c>
      <c r="L20" s="51"/>
      <c r="M20" s="51"/>
      <c r="N20" s="51"/>
      <c r="O20" s="51">
        <v>2</v>
      </c>
      <c r="P20" s="51"/>
      <c r="Q20" s="51"/>
      <c r="R20" s="51"/>
      <c r="S20" s="51">
        <v>0</v>
      </c>
      <c r="T20" s="51">
        <v>4</v>
      </c>
    </row>
    <row r="21" spans="1:20" ht="15.75" customHeight="1">
      <c r="A21" s="34" t="s">
        <v>136</v>
      </c>
      <c r="B21" s="41">
        <v>292</v>
      </c>
      <c r="C21" s="41">
        <v>34</v>
      </c>
      <c r="D21" s="41">
        <v>22</v>
      </c>
      <c r="E21" s="41">
        <v>45</v>
      </c>
      <c r="F21" s="41">
        <v>72</v>
      </c>
      <c r="G21" s="41">
        <v>75</v>
      </c>
      <c r="H21" s="61">
        <v>45697</v>
      </c>
      <c r="I21" s="63" t="s">
        <v>319</v>
      </c>
      <c r="J21" s="51">
        <v>3</v>
      </c>
      <c r="K21" s="51">
        <v>14</v>
      </c>
      <c r="L21" s="54"/>
      <c r="M21" s="54"/>
      <c r="N21" s="51"/>
      <c r="O21" s="51">
        <v>3</v>
      </c>
      <c r="P21" s="51"/>
      <c r="Q21" s="51"/>
      <c r="R21" s="51"/>
      <c r="S21" s="51">
        <v>1</v>
      </c>
      <c r="T21" s="51">
        <v>4</v>
      </c>
    </row>
    <row r="22" spans="1:20" ht="15.75" customHeight="1">
      <c r="A22" s="34" t="s">
        <v>137</v>
      </c>
      <c r="B22" s="41">
        <v>311</v>
      </c>
      <c r="C22" s="41">
        <v>37</v>
      </c>
      <c r="D22" s="41">
        <v>17</v>
      </c>
      <c r="E22" s="41">
        <v>44</v>
      </c>
      <c r="F22" s="41">
        <v>25</v>
      </c>
      <c r="G22" s="41">
        <v>49</v>
      </c>
      <c r="H22" s="61">
        <v>45701</v>
      </c>
      <c r="I22" s="63" t="s">
        <v>320</v>
      </c>
      <c r="J22" s="51">
        <v>6</v>
      </c>
      <c r="K22" s="51">
        <v>11</v>
      </c>
      <c r="L22" s="54"/>
      <c r="M22" s="51"/>
      <c r="N22" s="54"/>
      <c r="O22" s="51">
        <v>3</v>
      </c>
      <c r="P22" s="51"/>
      <c r="Q22" s="51"/>
      <c r="R22" s="51"/>
      <c r="S22" s="51">
        <v>0</v>
      </c>
      <c r="T22" s="51">
        <v>0</v>
      </c>
    </row>
    <row r="23" spans="1:20" ht="15.75" customHeight="1">
      <c r="A23" s="34" t="s">
        <v>138</v>
      </c>
      <c r="B23" s="41">
        <v>340</v>
      </c>
      <c r="C23" s="41">
        <v>34</v>
      </c>
      <c r="D23" s="41">
        <v>18</v>
      </c>
      <c r="E23" s="41">
        <v>39</v>
      </c>
      <c r="F23" s="41">
        <v>60</v>
      </c>
      <c r="G23" s="41">
        <v>74</v>
      </c>
      <c r="H23" s="61">
        <v>45704</v>
      </c>
      <c r="I23" s="63" t="s">
        <v>321</v>
      </c>
      <c r="J23" s="51">
        <v>4</v>
      </c>
      <c r="K23" s="51">
        <v>14</v>
      </c>
      <c r="L23" s="54"/>
      <c r="M23" s="51"/>
      <c r="N23" s="54"/>
      <c r="O23" s="51">
        <v>1</v>
      </c>
      <c r="P23" s="51"/>
      <c r="Q23" s="51"/>
      <c r="R23" s="51"/>
      <c r="S23" s="51">
        <v>0</v>
      </c>
      <c r="T23" s="51">
        <v>0</v>
      </c>
    </row>
    <row r="24" spans="1:20" ht="15.75" customHeight="1">
      <c r="A24" s="34" t="s">
        <v>140</v>
      </c>
      <c r="B24" s="41">
        <v>430</v>
      </c>
      <c r="C24" s="41">
        <v>46</v>
      </c>
      <c r="D24" s="41">
        <v>18</v>
      </c>
      <c r="E24" s="41">
        <v>41</v>
      </c>
      <c r="F24" s="41">
        <v>64</v>
      </c>
      <c r="G24" s="41">
        <v>63</v>
      </c>
      <c r="H24" s="61">
        <v>45711</v>
      </c>
      <c r="I24" s="63" t="s">
        <v>322</v>
      </c>
      <c r="J24" s="51">
        <v>5</v>
      </c>
      <c r="K24" s="51">
        <v>24</v>
      </c>
      <c r="L24" s="54"/>
      <c r="M24" s="54"/>
      <c r="N24" s="51"/>
      <c r="O24" s="51">
        <v>1</v>
      </c>
      <c r="P24" s="51"/>
      <c r="Q24" s="51"/>
      <c r="R24" s="51"/>
      <c r="S24" s="51">
        <v>1</v>
      </c>
      <c r="T24" s="51">
        <v>0</v>
      </c>
    </row>
    <row r="25" spans="1:20" ht="15.75" customHeight="1">
      <c r="A25" s="34" t="s">
        <v>142</v>
      </c>
      <c r="B25" s="41">
        <v>328</v>
      </c>
      <c r="C25" s="41">
        <v>34</v>
      </c>
      <c r="D25" s="41">
        <v>18</v>
      </c>
      <c r="E25" s="41">
        <v>41</v>
      </c>
      <c r="F25" s="41">
        <v>61</v>
      </c>
      <c r="G25" s="41">
        <v>55</v>
      </c>
      <c r="H25" s="61">
        <v>45715</v>
      </c>
      <c r="I25" s="63" t="s">
        <v>323</v>
      </c>
      <c r="J25" s="51">
        <v>3</v>
      </c>
      <c r="K25" s="51">
        <v>18</v>
      </c>
      <c r="L25" s="54"/>
      <c r="M25" s="51"/>
      <c r="N25" s="54"/>
      <c r="O25" s="51">
        <v>3</v>
      </c>
      <c r="P25" s="51"/>
      <c r="Q25" s="51"/>
      <c r="R25" s="51"/>
      <c r="S25" s="51">
        <v>1</v>
      </c>
      <c r="T25" s="51">
        <v>4</v>
      </c>
    </row>
    <row r="26" spans="1:20" ht="15.75" customHeight="1">
      <c r="A26" s="34" t="s">
        <v>143</v>
      </c>
      <c r="B26" s="41">
        <v>295</v>
      </c>
      <c r="C26" s="41">
        <v>30</v>
      </c>
      <c r="D26" s="41">
        <v>17</v>
      </c>
      <c r="E26" s="41">
        <v>41</v>
      </c>
      <c r="F26" s="41">
        <v>56</v>
      </c>
      <c r="G26" s="41">
        <v>49</v>
      </c>
      <c r="H26" s="61">
        <v>45718</v>
      </c>
      <c r="I26" s="63" t="s">
        <v>324</v>
      </c>
      <c r="J26" s="51">
        <v>3</v>
      </c>
      <c r="K26" s="51">
        <v>18</v>
      </c>
      <c r="L26" s="54"/>
      <c r="M26" s="54"/>
      <c r="N26" s="51"/>
      <c r="O26" s="51">
        <v>4</v>
      </c>
      <c r="P26" s="51"/>
      <c r="Q26" s="51"/>
      <c r="R26" s="51"/>
      <c r="S26" s="51">
        <v>0</v>
      </c>
      <c r="T26" s="51">
        <v>3</v>
      </c>
    </row>
    <row r="27" spans="1:20" ht="15.75" customHeight="1">
      <c r="A27" s="34" t="s">
        <v>139</v>
      </c>
      <c r="B27" s="41">
        <v>521</v>
      </c>
      <c r="C27" s="41">
        <v>61</v>
      </c>
      <c r="D27" s="41">
        <v>20</v>
      </c>
      <c r="E27" s="41">
        <v>43</v>
      </c>
      <c r="F27" s="41">
        <v>59</v>
      </c>
      <c r="G27" s="41">
        <v>129</v>
      </c>
      <c r="H27" s="61">
        <v>45722</v>
      </c>
      <c r="I27" s="63" t="s">
        <v>325</v>
      </c>
      <c r="J27" s="51">
        <v>4</v>
      </c>
      <c r="K27" s="51">
        <v>27</v>
      </c>
      <c r="L27" s="54"/>
      <c r="M27" s="51"/>
      <c r="N27" s="54"/>
      <c r="O27" s="51">
        <v>5</v>
      </c>
      <c r="P27" s="51"/>
      <c r="Q27" s="51"/>
      <c r="R27" s="51"/>
      <c r="S27" s="51">
        <v>0</v>
      </c>
      <c r="T27" s="51">
        <v>1</v>
      </c>
    </row>
    <row r="28" spans="1:20" ht="15.75" customHeight="1">
      <c r="P28" s="51"/>
      <c r="Q28" s="51"/>
      <c r="R28" s="51"/>
      <c r="S28" s="51">
        <v>0</v>
      </c>
      <c r="T28" s="51">
        <v>1</v>
      </c>
    </row>
    <row r="29" spans="1:20" ht="15.75" customHeight="1">
      <c r="A29" s="1" t="s">
        <v>260</v>
      </c>
      <c r="B29" s="1">
        <f t="shared" ref="B29:G29" si="0">SUM(B2:B27)</f>
        <v>8454</v>
      </c>
      <c r="C29" s="1">
        <f t="shared" si="0"/>
        <v>1040</v>
      </c>
      <c r="D29" s="1">
        <f t="shared" si="0"/>
        <v>478</v>
      </c>
      <c r="E29" s="1">
        <f t="shared" si="0"/>
        <v>1048</v>
      </c>
      <c r="F29" s="1">
        <f t="shared" si="0"/>
        <v>1399</v>
      </c>
      <c r="G29" s="1">
        <f t="shared" si="0"/>
        <v>1469</v>
      </c>
      <c r="I29" s="1">
        <f>COUNTA(I2:I27)</f>
        <v>26</v>
      </c>
      <c r="K29" s="1">
        <f>SUM(K2:K27)</f>
        <v>432</v>
      </c>
      <c r="P29" s="51"/>
      <c r="Q29" s="51"/>
      <c r="R29" s="51"/>
      <c r="S29" s="51">
        <v>2</v>
      </c>
      <c r="T29" s="51">
        <v>1</v>
      </c>
    </row>
    <row r="30" spans="1:20" ht="15.75" customHeight="1">
      <c r="A30" s="1" t="s">
        <v>17</v>
      </c>
      <c r="B30" s="1">
        <f t="shared" ref="B30:G30" si="1">B29/$I$29</f>
        <v>325.15384615384613</v>
      </c>
      <c r="C30" s="1">
        <f t="shared" si="1"/>
        <v>40</v>
      </c>
      <c r="D30" s="1">
        <f t="shared" si="1"/>
        <v>18.384615384615383</v>
      </c>
      <c r="E30" s="1">
        <f t="shared" si="1"/>
        <v>40.307692307692307</v>
      </c>
      <c r="F30" s="1">
        <f t="shared" si="1"/>
        <v>53.807692307692307</v>
      </c>
      <c r="G30" s="1">
        <f t="shared" si="1"/>
        <v>56.5</v>
      </c>
      <c r="P30" s="51"/>
      <c r="Q30" s="51"/>
      <c r="R30" s="51"/>
      <c r="S30" s="51">
        <v>2</v>
      </c>
      <c r="T30" s="51">
        <v>2</v>
      </c>
    </row>
    <row r="31" spans="1:20" ht="15.75" customHeight="1">
      <c r="A31" s="1" t="s">
        <v>58</v>
      </c>
      <c r="B31" s="1">
        <f t="shared" ref="B31:G31" si="2">B29/$K$29</f>
        <v>19.569444444444443</v>
      </c>
      <c r="C31" s="1">
        <f t="shared" si="2"/>
        <v>2.4074074074074074</v>
      </c>
      <c r="D31" s="1">
        <f t="shared" si="2"/>
        <v>1.1064814814814814</v>
      </c>
      <c r="E31" s="1">
        <f t="shared" si="2"/>
        <v>2.425925925925926</v>
      </c>
      <c r="F31" s="1">
        <f t="shared" si="2"/>
        <v>3.238425925925926</v>
      </c>
      <c r="G31" s="1">
        <f t="shared" si="2"/>
        <v>3.4004629629629628</v>
      </c>
      <c r="H31" s="66"/>
      <c r="I31" s="62" t="s">
        <v>262</v>
      </c>
      <c r="J31" s="59">
        <f>K29/I29</f>
        <v>16.615384615384617</v>
      </c>
      <c r="K31" s="59"/>
      <c r="L31" s="59"/>
      <c r="M31" s="59"/>
      <c r="N31" s="59"/>
      <c r="O31" s="59"/>
      <c r="P31" s="59"/>
      <c r="Q31" s="51"/>
      <c r="R31" s="51"/>
      <c r="S31" s="51">
        <v>1</v>
      </c>
      <c r="T31" s="51">
        <v>3</v>
      </c>
    </row>
    <row r="32" spans="1:20" ht="15.75" customHeight="1">
      <c r="A32" s="1" t="s">
        <v>264</v>
      </c>
      <c r="B32" s="1">
        <f t="shared" ref="B32:G32" si="3">MAX(B2:B27)</f>
        <v>534</v>
      </c>
      <c r="C32" s="1">
        <f t="shared" si="3"/>
        <v>66</v>
      </c>
      <c r="D32" s="1">
        <f t="shared" si="3"/>
        <v>22</v>
      </c>
      <c r="E32" s="1">
        <f t="shared" si="3"/>
        <v>46</v>
      </c>
      <c r="F32" s="1">
        <f t="shared" si="3"/>
        <v>72</v>
      </c>
      <c r="G32" s="1">
        <f t="shared" si="3"/>
        <v>129</v>
      </c>
      <c r="Q32" s="59"/>
      <c r="R32" s="59"/>
      <c r="S32" s="59">
        <v>1</v>
      </c>
      <c r="T32" s="59">
        <v>3</v>
      </c>
    </row>
    <row r="33" spans="1:7" ht="15.75" customHeight="1">
      <c r="A33" s="1" t="s">
        <v>265</v>
      </c>
      <c r="B33" s="1">
        <f t="shared" ref="B33:G33" si="4">STDEV(B2:B27)</f>
        <v>108.18528266180839</v>
      </c>
      <c r="C33" s="1">
        <f t="shared" si="4"/>
        <v>14.218298069740976</v>
      </c>
      <c r="D33" s="1">
        <f t="shared" si="4"/>
        <v>1.3878594475500199</v>
      </c>
      <c r="E33" s="1">
        <f t="shared" si="4"/>
        <v>3.391391817755427</v>
      </c>
      <c r="F33" s="1">
        <f t="shared" si="4"/>
        <v>9.4889409314211814</v>
      </c>
      <c r="G33" s="1">
        <f t="shared" si="4"/>
        <v>22.045861289593564</v>
      </c>
    </row>
    <row r="34" spans="1:7" ht="15.75" customHeight="1">
      <c r="A34" s="34"/>
      <c r="B34" s="41"/>
      <c r="C34" s="41"/>
      <c r="D34" s="41"/>
      <c r="E34" s="41"/>
      <c r="F34" s="41"/>
    </row>
    <row r="35" spans="1:7" ht="15.75" customHeight="1">
      <c r="A35" s="34"/>
      <c r="B35" s="41"/>
      <c r="C35" s="41"/>
      <c r="D35" s="41"/>
      <c r="E35" s="41"/>
      <c r="F35" s="41"/>
    </row>
    <row r="36" spans="1:7" ht="15.75" customHeight="1">
      <c r="A36" s="34"/>
      <c r="B36" s="41"/>
      <c r="C36" s="41"/>
      <c r="D36" s="34"/>
      <c r="E36" s="41"/>
      <c r="F36" s="41"/>
    </row>
    <row r="37" spans="1:7" ht="15.75" customHeight="1">
      <c r="A37" s="34"/>
      <c r="B37" s="41"/>
      <c r="C37" s="41"/>
      <c r="D37" s="34"/>
      <c r="E37" s="41"/>
      <c r="F37" s="41"/>
    </row>
    <row r="38" spans="1:7" ht="15.75" customHeight="1">
      <c r="A38" s="34"/>
      <c r="B38" s="41"/>
      <c r="C38" s="41"/>
      <c r="D38" s="34"/>
      <c r="E38" s="41"/>
      <c r="F38" s="41"/>
    </row>
    <row r="39" spans="1:7" ht="15.75" customHeight="1">
      <c r="A39" s="34"/>
      <c r="B39" s="41"/>
      <c r="C39" s="41"/>
      <c r="D39" s="34"/>
      <c r="E39" s="41"/>
      <c r="F39" s="41"/>
    </row>
    <row r="40" spans="1:7" ht="15.75" customHeight="1">
      <c r="A40" s="34"/>
      <c r="B40" s="41"/>
      <c r="C40" s="41"/>
      <c r="D40" s="34"/>
      <c r="E40" s="41"/>
      <c r="F40" s="41"/>
    </row>
    <row r="41" spans="1:7" ht="15.75" customHeight="1">
      <c r="A41" s="34"/>
      <c r="B41" s="41"/>
      <c r="C41" s="41"/>
      <c r="D41" s="34"/>
      <c r="E41" s="41"/>
      <c r="F41" s="41"/>
    </row>
    <row r="42" spans="1:7" ht="15.75" customHeight="1">
      <c r="A42" s="34"/>
      <c r="B42" s="41"/>
      <c r="C42" s="41"/>
      <c r="D42" s="34"/>
      <c r="E42" s="41"/>
      <c r="F42" s="41"/>
    </row>
    <row r="43" spans="1:7" ht="15.75" customHeight="1">
      <c r="A43" s="34"/>
      <c r="B43" s="41"/>
      <c r="C43" s="41"/>
      <c r="D43" s="34"/>
      <c r="E43" s="41"/>
      <c r="F43" s="41"/>
    </row>
    <row r="44" spans="1:7" ht="15.75" customHeight="1">
      <c r="A44" s="34"/>
      <c r="B44" s="41"/>
      <c r="C44" s="41"/>
      <c r="D44" s="34"/>
      <c r="E44" s="41"/>
      <c r="F44" s="41"/>
    </row>
    <row r="45" spans="1:7" ht="15.75" customHeight="1">
      <c r="A45" s="34"/>
      <c r="B45" s="41"/>
      <c r="C45" s="41"/>
      <c r="D45" s="34"/>
      <c r="E45" s="41"/>
      <c r="F45" s="41"/>
    </row>
    <row r="46" spans="1:7" ht="15.75" customHeight="1">
      <c r="A46" s="34"/>
      <c r="B46" s="41"/>
      <c r="C46" s="41"/>
      <c r="D46" s="34"/>
      <c r="E46" s="41"/>
      <c r="F46" s="41"/>
    </row>
    <row r="47" spans="1:7" ht="15.75" customHeight="1">
      <c r="A47" s="34"/>
      <c r="B47" s="41"/>
      <c r="C47" s="41"/>
      <c r="D47" s="34"/>
      <c r="E47" s="41"/>
      <c r="F47" s="41"/>
    </row>
    <row r="48" spans="1:7" ht="15.75" customHeight="1">
      <c r="A48" s="34"/>
      <c r="B48" s="41"/>
      <c r="C48" s="41"/>
      <c r="D48" s="34"/>
      <c r="E48" s="41"/>
      <c r="F48" s="41"/>
    </row>
    <row r="49" spans="1:6" ht="15.75" customHeight="1">
      <c r="A49" s="34"/>
      <c r="B49" s="41"/>
      <c r="C49" s="41"/>
      <c r="D49" s="34"/>
      <c r="E49" s="41"/>
      <c r="F49" s="41"/>
    </row>
    <row r="50" spans="1:6" ht="15.75" customHeight="1">
      <c r="A50" s="34"/>
      <c r="B50" s="41"/>
      <c r="C50" s="41"/>
      <c r="D50" s="34"/>
      <c r="E50" s="41"/>
      <c r="F50" s="41"/>
    </row>
    <row r="51" spans="1:6" ht="13">
      <c r="A51" s="34"/>
      <c r="B51" s="41"/>
      <c r="C51" s="41"/>
      <c r="D51" s="34"/>
      <c r="E51" s="41"/>
      <c r="F51" s="41"/>
    </row>
    <row r="52" spans="1:6" ht="13">
      <c r="A52" s="34"/>
      <c r="B52" s="41"/>
      <c r="C52" s="41"/>
      <c r="D52" s="34"/>
      <c r="E52" s="41"/>
      <c r="F52" s="41"/>
    </row>
    <row r="53" spans="1:6" ht="13">
      <c r="A53" s="34"/>
      <c r="B53" s="41"/>
      <c r="C53" s="41"/>
      <c r="D53" s="34"/>
      <c r="E53" s="41"/>
      <c r="F53" s="41"/>
    </row>
    <row r="54" spans="1:6" ht="13">
      <c r="A54" s="34"/>
      <c r="B54" s="41"/>
      <c r="C54" s="41"/>
      <c r="D54" s="34"/>
      <c r="E54" s="41"/>
      <c r="F54" s="41"/>
    </row>
    <row r="55" spans="1:6" ht="13">
      <c r="A55" s="34"/>
      <c r="B55" s="41"/>
      <c r="C55" s="41"/>
      <c r="D55" s="34"/>
      <c r="E55" s="41"/>
      <c r="F55" s="41"/>
    </row>
    <row r="56" spans="1:6" ht="13">
      <c r="A56" s="34"/>
      <c r="B56" s="41"/>
      <c r="C56" s="41"/>
      <c r="D56" s="34"/>
      <c r="E56" s="41"/>
      <c r="F56" s="41"/>
    </row>
    <row r="57" spans="1:6" ht="13">
      <c r="A57" s="34"/>
      <c r="B57" s="41"/>
      <c r="C57" s="41"/>
      <c r="D57" s="34"/>
      <c r="E57" s="41"/>
      <c r="F57" s="41"/>
    </row>
    <row r="58" spans="1:6" ht="13">
      <c r="A58" s="34"/>
      <c r="B58" s="41"/>
      <c r="C58" s="41"/>
      <c r="D58" s="34"/>
      <c r="E58" s="41"/>
      <c r="F58" s="41"/>
    </row>
    <row r="59" spans="1:6" ht="13">
      <c r="A59" s="34"/>
      <c r="B59" s="41"/>
      <c r="C59" s="41"/>
      <c r="D59" s="34"/>
      <c r="E59" s="41"/>
      <c r="F59" s="41"/>
    </row>
    <row r="60" spans="1:6" ht="13">
      <c r="D60" s="34"/>
      <c r="E60" s="41"/>
    </row>
    <row r="61" spans="1:6" ht="13">
      <c r="D61" s="34"/>
      <c r="E61" s="41"/>
    </row>
  </sheetData>
  <hyperlinks>
    <hyperlink ref="I2" r:id="rId1" xr:uid="{00000000-0004-0000-0C00-000000000000}"/>
    <hyperlink ref="I3" r:id="rId2" xr:uid="{00000000-0004-0000-0C00-000001000000}"/>
    <hyperlink ref="I4" r:id="rId3" xr:uid="{00000000-0004-0000-0C00-000002000000}"/>
    <hyperlink ref="I5" r:id="rId4" xr:uid="{00000000-0004-0000-0C00-000003000000}"/>
    <hyperlink ref="I6" r:id="rId5" xr:uid="{00000000-0004-0000-0C00-000004000000}"/>
    <hyperlink ref="I7" r:id="rId6" xr:uid="{00000000-0004-0000-0C00-000005000000}"/>
    <hyperlink ref="I8" r:id="rId7" xr:uid="{00000000-0004-0000-0C00-000006000000}"/>
    <hyperlink ref="I9" r:id="rId8" xr:uid="{00000000-0004-0000-0C00-000007000000}"/>
    <hyperlink ref="I10" r:id="rId9" xr:uid="{00000000-0004-0000-0C00-000008000000}"/>
    <hyperlink ref="I11" r:id="rId10" xr:uid="{00000000-0004-0000-0C00-000009000000}"/>
    <hyperlink ref="I12" r:id="rId11" xr:uid="{00000000-0004-0000-0C00-00000A000000}"/>
    <hyperlink ref="I13" r:id="rId12" xr:uid="{00000000-0004-0000-0C00-00000B000000}"/>
    <hyperlink ref="I14" r:id="rId13" xr:uid="{00000000-0004-0000-0C00-00000C000000}"/>
    <hyperlink ref="I15" r:id="rId14" xr:uid="{00000000-0004-0000-0C00-00000D000000}"/>
    <hyperlink ref="I16" r:id="rId15" xr:uid="{00000000-0004-0000-0C00-00000E000000}"/>
    <hyperlink ref="I17" r:id="rId16" xr:uid="{00000000-0004-0000-0C00-00000F000000}"/>
    <hyperlink ref="I18" r:id="rId17" xr:uid="{00000000-0004-0000-0C00-000010000000}"/>
    <hyperlink ref="I19" r:id="rId18" xr:uid="{00000000-0004-0000-0C00-000011000000}"/>
    <hyperlink ref="I20" r:id="rId19" xr:uid="{00000000-0004-0000-0C00-000012000000}"/>
    <hyperlink ref="I21" r:id="rId20" xr:uid="{00000000-0004-0000-0C00-000013000000}"/>
    <hyperlink ref="I22" r:id="rId21" xr:uid="{00000000-0004-0000-0C00-000014000000}"/>
    <hyperlink ref="I23" r:id="rId22" xr:uid="{00000000-0004-0000-0C00-000015000000}"/>
    <hyperlink ref="I24" r:id="rId23" xr:uid="{00000000-0004-0000-0C00-000016000000}"/>
    <hyperlink ref="I25" r:id="rId24" xr:uid="{00000000-0004-0000-0C00-000017000000}"/>
    <hyperlink ref="I26" r:id="rId25" xr:uid="{00000000-0004-0000-0C00-000018000000}"/>
    <hyperlink ref="I27" r:id="rId26" xr:uid="{00000000-0004-0000-0C00-00001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66"/>
  <sheetViews>
    <sheetView workbookViewId="0">
      <selection activeCell="B3" sqref="B3"/>
    </sheetView>
  </sheetViews>
  <sheetFormatPr baseColWidth="10" defaultColWidth="12.6640625" defaultRowHeight="15.75" customHeight="1"/>
  <cols>
    <col min="1" max="1" width="15.1640625" customWidth="1"/>
  </cols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 t="s">
        <v>228</v>
      </c>
      <c r="K1" s="51" t="s">
        <v>229</v>
      </c>
      <c r="L1" s="54"/>
      <c r="M1" s="54"/>
      <c r="N1" s="54"/>
      <c r="O1" s="51"/>
      <c r="P1" s="51"/>
      <c r="Q1" s="51"/>
      <c r="R1" s="51"/>
      <c r="S1" s="51"/>
      <c r="T1" s="51"/>
    </row>
    <row r="2" spans="1:20" ht="15.75" customHeight="1">
      <c r="A2" s="34" t="s">
        <v>112</v>
      </c>
      <c r="B2" s="41">
        <v>397</v>
      </c>
      <c r="C2" s="41">
        <v>19</v>
      </c>
      <c r="D2" s="41">
        <v>16</v>
      </c>
      <c r="E2" s="41">
        <v>37</v>
      </c>
      <c r="F2" s="41">
        <v>58</v>
      </c>
      <c r="G2" s="41">
        <v>19</v>
      </c>
      <c r="H2" s="61">
        <v>45600</v>
      </c>
      <c r="I2" s="63" t="s">
        <v>326</v>
      </c>
      <c r="J2" s="51">
        <v>17</v>
      </c>
      <c r="K2" s="51">
        <v>26</v>
      </c>
      <c r="L2" s="54"/>
      <c r="M2" s="54"/>
      <c r="N2" s="54"/>
      <c r="O2" s="51"/>
      <c r="P2" s="51"/>
      <c r="Q2" s="51"/>
      <c r="R2" s="51"/>
      <c r="S2" s="51"/>
      <c r="T2" s="51"/>
    </row>
    <row r="3" spans="1:20" ht="15.75" customHeight="1">
      <c r="A3" s="34" t="s">
        <v>113</v>
      </c>
      <c r="B3" s="41">
        <v>279</v>
      </c>
      <c r="C3" s="41">
        <v>18</v>
      </c>
      <c r="D3" s="41">
        <v>18</v>
      </c>
      <c r="E3" s="41">
        <v>37</v>
      </c>
      <c r="F3" s="41">
        <v>57</v>
      </c>
      <c r="G3" s="41">
        <v>30</v>
      </c>
      <c r="H3" s="61">
        <v>45603</v>
      </c>
      <c r="I3" s="63" t="s">
        <v>327</v>
      </c>
      <c r="J3" s="51">
        <v>6</v>
      </c>
      <c r="K3" s="51">
        <v>18</v>
      </c>
      <c r="L3" s="54"/>
      <c r="M3" s="54"/>
      <c r="N3" s="54"/>
      <c r="O3" s="51"/>
      <c r="P3" s="51"/>
      <c r="Q3" s="51"/>
      <c r="R3" s="51"/>
      <c r="S3" s="51"/>
      <c r="T3" s="51"/>
    </row>
    <row r="4" spans="1:20" ht="15.75" customHeight="1">
      <c r="A4" s="34" t="s">
        <v>114</v>
      </c>
      <c r="B4" s="41">
        <v>265</v>
      </c>
      <c r="C4" s="41">
        <v>27</v>
      </c>
      <c r="D4" s="41">
        <v>18</v>
      </c>
      <c r="E4" s="41">
        <v>43</v>
      </c>
      <c r="F4" s="41">
        <v>57</v>
      </c>
      <c r="G4" s="41">
        <v>38</v>
      </c>
      <c r="H4" s="61">
        <v>45605</v>
      </c>
      <c r="I4" s="63" t="s">
        <v>328</v>
      </c>
      <c r="J4" s="51">
        <v>10</v>
      </c>
      <c r="K4" s="51">
        <v>21</v>
      </c>
      <c r="L4" s="54"/>
      <c r="M4" s="51"/>
      <c r="N4" s="54"/>
      <c r="O4" s="51"/>
      <c r="P4" s="51"/>
      <c r="Q4" s="51"/>
      <c r="R4" s="51"/>
      <c r="S4" s="51"/>
      <c r="T4" s="51"/>
    </row>
    <row r="5" spans="1:20" ht="15.75" customHeight="1">
      <c r="A5" s="34" t="s">
        <v>115</v>
      </c>
      <c r="B5" s="41">
        <v>698</v>
      </c>
      <c r="C5" s="41">
        <v>56</v>
      </c>
      <c r="D5" s="41">
        <v>18</v>
      </c>
      <c r="E5" s="41">
        <v>42</v>
      </c>
      <c r="F5" s="41">
        <v>61</v>
      </c>
      <c r="G5" s="41">
        <v>55</v>
      </c>
      <c r="H5" s="64">
        <v>45610</v>
      </c>
      <c r="I5" s="63" t="s">
        <v>329</v>
      </c>
      <c r="J5" s="51">
        <v>14</v>
      </c>
      <c r="K5" s="51">
        <v>35</v>
      </c>
      <c r="L5" s="54"/>
      <c r="M5" s="51"/>
      <c r="N5" s="51"/>
      <c r="O5" s="51"/>
      <c r="P5" s="51"/>
      <c r="Q5" s="51"/>
      <c r="R5" s="51"/>
      <c r="S5" s="51"/>
      <c r="T5" s="51"/>
    </row>
    <row r="6" spans="1:20" ht="15.75" customHeight="1">
      <c r="A6" s="34" t="s">
        <v>116</v>
      </c>
      <c r="B6" s="41">
        <v>359</v>
      </c>
      <c r="C6" s="41">
        <v>28</v>
      </c>
      <c r="D6" s="41">
        <v>21</v>
      </c>
      <c r="E6" s="41">
        <v>46</v>
      </c>
      <c r="F6" s="41">
        <v>62</v>
      </c>
      <c r="G6" s="41">
        <v>22</v>
      </c>
      <c r="H6" s="64">
        <v>45616</v>
      </c>
      <c r="I6" s="63" t="s">
        <v>330</v>
      </c>
      <c r="J6" s="51">
        <v>16</v>
      </c>
      <c r="K6" s="51">
        <v>22</v>
      </c>
      <c r="L6" s="54"/>
      <c r="M6" s="54"/>
      <c r="N6" s="54"/>
      <c r="O6" s="51"/>
      <c r="P6" s="51"/>
      <c r="Q6" s="51"/>
      <c r="R6" s="51"/>
      <c r="S6" s="51"/>
      <c r="T6" s="51"/>
    </row>
    <row r="7" spans="1:20" ht="15.75" customHeight="1">
      <c r="A7" s="34" t="s">
        <v>117</v>
      </c>
      <c r="B7" s="41">
        <v>411</v>
      </c>
      <c r="C7" s="41">
        <v>42</v>
      </c>
      <c r="D7" s="41">
        <v>18</v>
      </c>
      <c r="E7" s="41">
        <v>41</v>
      </c>
      <c r="F7" s="41">
        <v>60</v>
      </c>
      <c r="G7" s="41">
        <v>34</v>
      </c>
      <c r="H7" s="64">
        <v>45618</v>
      </c>
      <c r="I7" s="63" t="s">
        <v>331</v>
      </c>
      <c r="J7" s="51">
        <v>8</v>
      </c>
      <c r="K7" s="51">
        <v>25</v>
      </c>
      <c r="L7" s="54"/>
      <c r="M7" s="54"/>
      <c r="N7" s="51"/>
      <c r="O7" s="51"/>
      <c r="P7" s="51"/>
      <c r="Q7" s="51"/>
      <c r="R7" s="51"/>
      <c r="S7" s="51"/>
      <c r="T7" s="51"/>
    </row>
    <row r="8" spans="1:20" ht="15.75" customHeight="1">
      <c r="A8" s="34" t="s">
        <v>118</v>
      </c>
      <c r="B8" s="41">
        <v>618</v>
      </c>
      <c r="C8" s="41">
        <v>45</v>
      </c>
      <c r="D8" s="41">
        <v>19</v>
      </c>
      <c r="E8" s="41">
        <v>42</v>
      </c>
      <c r="F8" s="41">
        <v>59</v>
      </c>
      <c r="G8" s="41">
        <v>74</v>
      </c>
      <c r="H8" s="64">
        <v>45622</v>
      </c>
      <c r="I8" s="63" t="s">
        <v>332</v>
      </c>
      <c r="J8" s="51">
        <v>14</v>
      </c>
      <c r="K8" s="51">
        <v>38</v>
      </c>
      <c r="L8" s="54"/>
      <c r="M8" s="51"/>
      <c r="N8" s="51"/>
      <c r="O8" s="51"/>
      <c r="P8" s="51"/>
      <c r="Q8" s="51"/>
      <c r="R8" s="51"/>
      <c r="S8" s="51"/>
      <c r="T8" s="51"/>
    </row>
    <row r="9" spans="1:20" ht="15.75" customHeight="1">
      <c r="A9" s="34" t="s">
        <v>119</v>
      </c>
      <c r="B9" s="41">
        <v>258</v>
      </c>
      <c r="C9" s="41">
        <v>87</v>
      </c>
      <c r="D9" s="41">
        <v>14</v>
      </c>
      <c r="E9" s="41">
        <v>34</v>
      </c>
      <c r="F9" s="41">
        <v>51</v>
      </c>
      <c r="G9" s="41">
        <v>15</v>
      </c>
      <c r="H9" s="64">
        <v>45623</v>
      </c>
      <c r="I9" s="63" t="s">
        <v>333</v>
      </c>
      <c r="J9" s="51">
        <v>4</v>
      </c>
      <c r="K9" s="51">
        <v>19</v>
      </c>
      <c r="L9" s="54"/>
      <c r="M9" s="54"/>
      <c r="N9" s="54"/>
      <c r="O9" s="51"/>
      <c r="P9" s="51"/>
      <c r="Q9" s="51"/>
      <c r="R9" s="51"/>
      <c r="S9" s="51"/>
      <c r="T9" s="51"/>
    </row>
    <row r="10" spans="1:20" ht="15.75" customHeight="1">
      <c r="A10" s="34" t="s">
        <v>120</v>
      </c>
      <c r="B10" s="41">
        <v>569</v>
      </c>
      <c r="C10" s="41">
        <v>51</v>
      </c>
      <c r="D10" s="41">
        <v>18</v>
      </c>
      <c r="E10" s="41">
        <v>44</v>
      </c>
      <c r="F10" s="41">
        <v>63</v>
      </c>
      <c r="G10" s="41">
        <v>37</v>
      </c>
      <c r="H10" s="61">
        <v>45631</v>
      </c>
      <c r="I10" s="63" t="s">
        <v>334</v>
      </c>
      <c r="J10" s="51">
        <v>16</v>
      </c>
      <c r="K10" s="51">
        <v>32</v>
      </c>
      <c r="L10" s="54"/>
      <c r="M10" s="51"/>
      <c r="N10" s="51"/>
      <c r="O10" s="51"/>
      <c r="P10" s="51"/>
      <c r="Q10" s="51"/>
      <c r="R10" s="51"/>
      <c r="S10" s="51"/>
      <c r="T10" s="51"/>
    </row>
    <row r="11" spans="1:20" ht="15.75" customHeight="1">
      <c r="A11" s="34" t="s">
        <v>121</v>
      </c>
      <c r="B11" s="41">
        <v>502</v>
      </c>
      <c r="C11" s="41">
        <v>41</v>
      </c>
      <c r="D11" s="41">
        <v>17</v>
      </c>
      <c r="E11" s="41">
        <v>34</v>
      </c>
      <c r="F11" s="41">
        <v>49</v>
      </c>
      <c r="G11" s="41">
        <v>40</v>
      </c>
      <c r="H11" s="61">
        <v>45633</v>
      </c>
      <c r="I11" s="63" t="s">
        <v>335</v>
      </c>
      <c r="J11" s="51">
        <v>21</v>
      </c>
      <c r="K11" s="51">
        <v>31</v>
      </c>
      <c r="L11" s="54"/>
      <c r="M11" s="54"/>
      <c r="N11" s="51"/>
      <c r="O11" s="51"/>
      <c r="P11" s="51"/>
      <c r="Q11" s="51"/>
      <c r="R11" s="51"/>
      <c r="S11" s="51"/>
      <c r="T11" s="51"/>
    </row>
    <row r="12" spans="1:20" ht="15.75" customHeight="1">
      <c r="A12" s="34" t="s">
        <v>122</v>
      </c>
      <c r="B12" s="41">
        <v>513</v>
      </c>
      <c r="C12" s="41">
        <v>49</v>
      </c>
      <c r="D12" s="41">
        <v>18</v>
      </c>
      <c r="E12" s="41">
        <v>41</v>
      </c>
      <c r="F12" s="41">
        <v>65</v>
      </c>
      <c r="G12" s="41">
        <v>46</v>
      </c>
      <c r="H12" s="64">
        <v>45639</v>
      </c>
      <c r="I12" s="63" t="s">
        <v>336</v>
      </c>
      <c r="J12" s="51">
        <v>21</v>
      </c>
      <c r="K12" s="51">
        <v>31</v>
      </c>
      <c r="L12" s="54"/>
      <c r="M12" s="54"/>
      <c r="N12" s="54"/>
      <c r="O12" s="51"/>
      <c r="P12" s="51"/>
      <c r="Q12" s="51"/>
      <c r="R12" s="51"/>
      <c r="S12" s="51"/>
      <c r="T12" s="51"/>
    </row>
    <row r="13" spans="1:20" ht="15.75" customHeight="1">
      <c r="A13" s="34" t="s">
        <v>125</v>
      </c>
      <c r="B13" s="41">
        <v>62</v>
      </c>
      <c r="C13" s="41">
        <v>0</v>
      </c>
      <c r="D13" s="41">
        <v>4</v>
      </c>
      <c r="E13" s="41">
        <v>9</v>
      </c>
      <c r="F13" s="41">
        <v>11</v>
      </c>
      <c r="G13" s="41">
        <v>1</v>
      </c>
      <c r="H13" s="61">
        <v>45659</v>
      </c>
      <c r="I13" s="63" t="s">
        <v>337</v>
      </c>
      <c r="J13" s="51">
        <v>12</v>
      </c>
      <c r="K13" s="51">
        <v>35</v>
      </c>
      <c r="L13" s="54"/>
      <c r="M13" s="54"/>
      <c r="N13" s="54"/>
      <c r="O13" s="51"/>
      <c r="P13" s="51"/>
      <c r="Q13" s="51"/>
      <c r="R13" s="51"/>
      <c r="S13" s="51"/>
      <c r="T13" s="51"/>
    </row>
    <row r="14" spans="1:20" ht="15.75" customHeight="1">
      <c r="A14" s="34" t="s">
        <v>126</v>
      </c>
      <c r="B14" s="41">
        <v>524</v>
      </c>
      <c r="C14" s="41">
        <v>44</v>
      </c>
      <c r="D14" s="41">
        <v>19</v>
      </c>
      <c r="E14" s="41">
        <v>43</v>
      </c>
      <c r="F14" s="41">
        <v>63</v>
      </c>
      <c r="G14" s="41">
        <v>56</v>
      </c>
      <c r="H14" s="61">
        <v>45662</v>
      </c>
      <c r="I14" s="63" t="s">
        <v>338</v>
      </c>
      <c r="J14" s="51">
        <v>19</v>
      </c>
      <c r="K14" s="51">
        <v>24</v>
      </c>
      <c r="L14" s="54"/>
      <c r="M14" s="54"/>
      <c r="N14" s="54"/>
      <c r="O14" s="51"/>
      <c r="P14" s="51"/>
      <c r="Q14" s="51"/>
      <c r="R14" s="51"/>
      <c r="S14" s="51"/>
      <c r="T14" s="51"/>
    </row>
    <row r="15" spans="1:20" ht="15.75" customHeight="1">
      <c r="A15" s="34" t="s">
        <v>127</v>
      </c>
      <c r="B15" s="41">
        <v>382</v>
      </c>
      <c r="C15" s="41">
        <v>43</v>
      </c>
      <c r="D15" s="41">
        <v>18</v>
      </c>
      <c r="E15" s="41">
        <v>42</v>
      </c>
      <c r="F15" s="41">
        <v>59</v>
      </c>
      <c r="G15" s="41">
        <v>41</v>
      </c>
      <c r="H15" s="61">
        <v>45666</v>
      </c>
      <c r="I15" s="63" t="s">
        <v>339</v>
      </c>
      <c r="J15" s="51">
        <v>17</v>
      </c>
      <c r="K15" s="51">
        <v>29</v>
      </c>
      <c r="L15" s="54"/>
      <c r="M15" s="51"/>
      <c r="N15" s="51"/>
      <c r="O15" s="51"/>
      <c r="P15" s="51"/>
      <c r="Q15" s="51"/>
      <c r="R15" s="51"/>
      <c r="S15" s="51"/>
      <c r="T15" s="51"/>
    </row>
    <row r="16" spans="1:20" ht="15.75" customHeight="1">
      <c r="A16" s="34" t="s">
        <v>128</v>
      </c>
      <c r="B16" s="41">
        <v>476</v>
      </c>
      <c r="C16" s="41">
        <v>51</v>
      </c>
      <c r="D16" s="41">
        <v>17</v>
      </c>
      <c r="E16" s="41">
        <v>39</v>
      </c>
      <c r="F16" s="41">
        <v>55</v>
      </c>
      <c r="G16" s="41">
        <v>40</v>
      </c>
      <c r="H16" s="61">
        <v>45669</v>
      </c>
      <c r="I16" s="63" t="s">
        <v>340</v>
      </c>
      <c r="J16" s="51">
        <v>17</v>
      </c>
      <c r="K16" s="51">
        <v>28</v>
      </c>
      <c r="L16" s="54"/>
      <c r="M16" s="54"/>
      <c r="N16" s="51"/>
      <c r="O16" s="51"/>
      <c r="P16" s="51"/>
      <c r="Q16" s="51"/>
      <c r="R16" s="51"/>
      <c r="S16" s="51"/>
      <c r="T16" s="51"/>
    </row>
    <row r="17" spans="1:20" ht="15.75" customHeight="1">
      <c r="A17" s="34" t="s">
        <v>129</v>
      </c>
      <c r="B17" s="41">
        <v>597</v>
      </c>
      <c r="C17" s="41">
        <v>54</v>
      </c>
      <c r="D17" s="41">
        <v>18</v>
      </c>
      <c r="E17" s="41">
        <v>41</v>
      </c>
      <c r="F17" s="41">
        <v>60</v>
      </c>
      <c r="G17" s="41">
        <v>59</v>
      </c>
      <c r="H17" s="61">
        <v>45673</v>
      </c>
      <c r="I17" s="63" t="s">
        <v>341</v>
      </c>
      <c r="J17" s="51">
        <v>4</v>
      </c>
      <c r="K17" s="51">
        <v>29</v>
      </c>
      <c r="L17" s="54"/>
      <c r="M17" s="54"/>
      <c r="N17" s="54"/>
      <c r="O17" s="51"/>
      <c r="P17" s="51"/>
      <c r="Q17" s="51"/>
      <c r="R17" s="51"/>
      <c r="S17" s="51"/>
      <c r="T17" s="51"/>
    </row>
    <row r="18" spans="1:20" ht="15.75" customHeight="1">
      <c r="A18" s="34" t="s">
        <v>130</v>
      </c>
      <c r="B18" s="41">
        <v>487</v>
      </c>
      <c r="C18" s="41">
        <v>56</v>
      </c>
      <c r="D18" s="41">
        <v>18</v>
      </c>
      <c r="E18" s="41">
        <v>41</v>
      </c>
      <c r="F18" s="41">
        <v>63</v>
      </c>
      <c r="G18" s="41">
        <v>40</v>
      </c>
      <c r="H18" s="61">
        <v>45676</v>
      </c>
      <c r="I18" s="63" t="s">
        <v>342</v>
      </c>
      <c r="J18" s="51">
        <v>16</v>
      </c>
      <c r="K18" s="51">
        <v>30</v>
      </c>
      <c r="L18" s="54"/>
      <c r="M18" s="51"/>
      <c r="N18" s="54"/>
      <c r="O18" s="51"/>
      <c r="P18" s="51"/>
      <c r="Q18" s="51"/>
      <c r="R18" s="51"/>
      <c r="S18" s="51"/>
      <c r="T18" s="51"/>
    </row>
    <row r="19" spans="1:20" ht="15.75" customHeight="1">
      <c r="A19" s="34" t="s">
        <v>131</v>
      </c>
      <c r="B19" s="41">
        <v>592</v>
      </c>
      <c r="C19" s="41">
        <v>50</v>
      </c>
      <c r="D19" s="41">
        <v>18</v>
      </c>
      <c r="E19" s="41">
        <v>43</v>
      </c>
      <c r="F19" s="41">
        <v>59</v>
      </c>
      <c r="G19" s="41">
        <v>49</v>
      </c>
      <c r="H19" s="61">
        <v>45680</v>
      </c>
      <c r="I19" s="63" t="s">
        <v>343</v>
      </c>
      <c r="J19" s="51">
        <v>13</v>
      </c>
      <c r="K19" s="51">
        <v>26</v>
      </c>
      <c r="L19" s="54"/>
      <c r="M19" s="51"/>
      <c r="N19" s="54"/>
      <c r="O19" s="51"/>
      <c r="P19" s="51"/>
      <c r="Q19" s="51"/>
      <c r="R19" s="51"/>
      <c r="S19" s="51"/>
      <c r="T19" s="51"/>
    </row>
    <row r="20" spans="1:20" ht="15.75" customHeight="1">
      <c r="A20" s="34" t="s">
        <v>122</v>
      </c>
      <c r="B20" s="41">
        <v>474</v>
      </c>
      <c r="C20" s="41">
        <v>55</v>
      </c>
      <c r="D20" s="41">
        <v>18</v>
      </c>
      <c r="E20" s="41">
        <v>47</v>
      </c>
      <c r="F20" s="41">
        <v>66</v>
      </c>
      <c r="G20" s="41">
        <v>52</v>
      </c>
      <c r="H20" s="61">
        <v>45687</v>
      </c>
      <c r="I20" s="63" t="s">
        <v>344</v>
      </c>
      <c r="J20" s="51">
        <v>8</v>
      </c>
      <c r="K20" s="51">
        <v>33</v>
      </c>
      <c r="L20" s="54"/>
      <c r="M20" s="54"/>
      <c r="N20" s="54"/>
      <c r="O20" s="51"/>
      <c r="P20" s="51"/>
      <c r="Q20" s="51"/>
      <c r="R20" s="51"/>
      <c r="S20" s="51"/>
      <c r="T20" s="51"/>
    </row>
    <row r="21" spans="1:20" ht="15.75" customHeight="1">
      <c r="A21" s="34" t="s">
        <v>132</v>
      </c>
      <c r="B21" s="41">
        <v>499</v>
      </c>
      <c r="C21" s="41">
        <v>60</v>
      </c>
      <c r="D21" s="41">
        <v>18</v>
      </c>
      <c r="E21" s="41">
        <v>43</v>
      </c>
      <c r="F21" s="41">
        <v>58</v>
      </c>
      <c r="G21" s="41">
        <v>68</v>
      </c>
      <c r="H21" s="61">
        <v>45694</v>
      </c>
      <c r="I21" s="63" t="s">
        <v>345</v>
      </c>
      <c r="J21" s="51">
        <v>11</v>
      </c>
      <c r="K21" s="51">
        <v>26</v>
      </c>
      <c r="L21" s="54"/>
      <c r="M21" s="54"/>
      <c r="N21" s="51"/>
      <c r="O21" s="51"/>
      <c r="P21" s="51"/>
      <c r="Q21" s="51"/>
      <c r="R21" s="51"/>
      <c r="S21" s="51"/>
      <c r="T21" s="51"/>
    </row>
    <row r="22" spans="1:20" ht="15.75" customHeight="1">
      <c r="A22" s="34" t="s">
        <v>134</v>
      </c>
      <c r="B22" s="41">
        <v>419</v>
      </c>
      <c r="C22" s="41">
        <v>49</v>
      </c>
      <c r="D22" s="41">
        <v>19</v>
      </c>
      <c r="E22" s="41">
        <v>42</v>
      </c>
      <c r="F22" s="41">
        <v>64</v>
      </c>
      <c r="G22" s="41">
        <v>54</v>
      </c>
      <c r="H22" s="61">
        <v>45697</v>
      </c>
      <c r="I22" s="63" t="s">
        <v>346</v>
      </c>
      <c r="J22" s="51">
        <v>10</v>
      </c>
      <c r="K22" s="51">
        <v>32</v>
      </c>
      <c r="L22" s="54"/>
      <c r="M22" s="51"/>
      <c r="N22" s="51"/>
      <c r="O22" s="51"/>
      <c r="P22" s="51"/>
      <c r="Q22" s="51"/>
      <c r="R22" s="51"/>
      <c r="S22" s="51"/>
      <c r="T22" s="51"/>
    </row>
    <row r="23" spans="1:20" ht="15.75" customHeight="1">
      <c r="A23" s="34" t="s">
        <v>136</v>
      </c>
      <c r="B23" s="41">
        <v>540</v>
      </c>
      <c r="C23" s="41">
        <v>57</v>
      </c>
      <c r="D23" s="41">
        <v>21</v>
      </c>
      <c r="E23" s="41">
        <v>45</v>
      </c>
      <c r="F23" s="41">
        <v>70</v>
      </c>
      <c r="G23" s="41">
        <v>73</v>
      </c>
      <c r="H23" s="61">
        <v>45701</v>
      </c>
      <c r="I23" s="63" t="s">
        <v>347</v>
      </c>
      <c r="J23" s="51">
        <v>18</v>
      </c>
      <c r="K23" s="51">
        <v>38</v>
      </c>
      <c r="L23" s="54"/>
      <c r="M23" s="51"/>
      <c r="N23" s="51"/>
      <c r="O23" s="51"/>
      <c r="P23" s="51"/>
      <c r="Q23" s="51"/>
      <c r="R23" s="51"/>
      <c r="S23" s="51"/>
      <c r="T23" s="51"/>
    </row>
    <row r="24" spans="1:20" ht="15.75" customHeight="1">
      <c r="A24" s="34" t="s">
        <v>137</v>
      </c>
      <c r="B24" s="41">
        <v>668</v>
      </c>
      <c r="C24" s="41">
        <v>47</v>
      </c>
      <c r="D24" s="41">
        <v>20</v>
      </c>
      <c r="E24" s="41">
        <v>44</v>
      </c>
      <c r="F24" s="41">
        <v>68</v>
      </c>
      <c r="G24" s="41">
        <v>57</v>
      </c>
      <c r="H24" s="61">
        <v>45704</v>
      </c>
      <c r="I24" s="63" t="s">
        <v>348</v>
      </c>
      <c r="J24" s="51">
        <v>16</v>
      </c>
      <c r="K24" s="51">
        <v>31</v>
      </c>
      <c r="L24" s="54"/>
      <c r="M24" s="54"/>
      <c r="N24" s="54"/>
      <c r="O24" s="51"/>
      <c r="P24" s="51"/>
      <c r="Q24" s="51"/>
      <c r="R24" s="51"/>
      <c r="S24" s="51"/>
      <c r="T24" s="51"/>
    </row>
    <row r="25" spans="1:20" ht="15.75" customHeight="1">
      <c r="A25" s="34" t="s">
        <v>138</v>
      </c>
      <c r="B25" s="41">
        <v>591</v>
      </c>
      <c r="C25" s="41">
        <v>63</v>
      </c>
      <c r="D25" s="41">
        <v>18</v>
      </c>
      <c r="E25" s="41">
        <v>43</v>
      </c>
      <c r="F25" s="41">
        <v>62</v>
      </c>
      <c r="G25" s="41">
        <v>80</v>
      </c>
      <c r="H25" s="61">
        <v>45708</v>
      </c>
      <c r="I25" s="63" t="s">
        <v>349</v>
      </c>
      <c r="J25" s="51">
        <v>7</v>
      </c>
      <c r="K25" s="51">
        <v>36</v>
      </c>
      <c r="L25" s="54"/>
      <c r="M25" s="54"/>
      <c r="N25" s="54"/>
      <c r="O25" s="51"/>
      <c r="P25" s="51"/>
      <c r="Q25" s="51"/>
      <c r="R25" s="51"/>
      <c r="S25" s="51"/>
      <c r="T25" s="51"/>
    </row>
    <row r="26" spans="1:20" ht="15.75" customHeight="1">
      <c r="A26" s="34" t="s">
        <v>139</v>
      </c>
      <c r="B26" s="41">
        <v>557</v>
      </c>
      <c r="C26" s="41">
        <v>48</v>
      </c>
      <c r="D26" s="41">
        <v>19</v>
      </c>
      <c r="E26" s="41">
        <v>45</v>
      </c>
      <c r="F26" s="41">
        <v>66</v>
      </c>
      <c r="G26" s="41">
        <v>84</v>
      </c>
      <c r="H26" s="61">
        <v>45711</v>
      </c>
      <c r="I26" s="63" t="s">
        <v>350</v>
      </c>
      <c r="J26" s="51">
        <v>20</v>
      </c>
      <c r="K26" s="51">
        <v>38</v>
      </c>
      <c r="L26" s="54"/>
      <c r="M26" s="54"/>
      <c r="N26" s="54"/>
      <c r="O26" s="51"/>
      <c r="P26" s="51"/>
      <c r="Q26" s="51"/>
      <c r="R26" s="51"/>
      <c r="S26" s="51"/>
      <c r="T26" s="51"/>
    </row>
    <row r="27" spans="1:20" ht="15.75" customHeight="1">
      <c r="A27" s="34" t="s">
        <v>140</v>
      </c>
      <c r="B27" s="41">
        <v>628</v>
      </c>
      <c r="C27" s="41">
        <v>57</v>
      </c>
      <c r="D27" s="41">
        <v>18</v>
      </c>
      <c r="E27" s="41">
        <v>40</v>
      </c>
      <c r="F27" s="41">
        <v>61</v>
      </c>
      <c r="G27" s="41">
        <v>60</v>
      </c>
      <c r="H27" s="61">
        <v>45715</v>
      </c>
      <c r="I27" s="63" t="s">
        <v>351</v>
      </c>
      <c r="J27" s="51">
        <v>8</v>
      </c>
      <c r="K27" s="51">
        <v>30</v>
      </c>
      <c r="L27" s="54"/>
      <c r="M27" s="51"/>
      <c r="N27" s="54"/>
      <c r="O27" s="51"/>
      <c r="P27" s="51"/>
      <c r="Q27" s="51"/>
      <c r="R27" s="51"/>
      <c r="S27" s="51"/>
      <c r="T27" s="51"/>
    </row>
    <row r="28" spans="1:20" ht="15.75" customHeight="1">
      <c r="A28" s="34" t="s">
        <v>142</v>
      </c>
      <c r="B28" s="41">
        <v>443</v>
      </c>
      <c r="C28" s="41">
        <v>42</v>
      </c>
      <c r="D28" s="41">
        <v>18</v>
      </c>
      <c r="E28" s="41">
        <v>39</v>
      </c>
      <c r="F28" s="41">
        <v>60</v>
      </c>
      <c r="G28" s="41">
        <v>34</v>
      </c>
      <c r="H28" s="61">
        <v>45718</v>
      </c>
      <c r="I28" s="63" t="s">
        <v>352</v>
      </c>
      <c r="J28" s="51">
        <v>16</v>
      </c>
      <c r="K28" s="51">
        <v>34</v>
      </c>
      <c r="L28" s="54"/>
      <c r="M28" s="54"/>
      <c r="N28" s="51"/>
      <c r="O28" s="51"/>
      <c r="P28" s="51"/>
      <c r="Q28" s="51"/>
      <c r="R28" s="51"/>
      <c r="S28" s="51"/>
      <c r="T28" s="51"/>
    </row>
    <row r="29" spans="1:20" ht="15.75" customHeight="1">
      <c r="A29" s="34" t="s">
        <v>143</v>
      </c>
      <c r="B29" s="41">
        <v>504</v>
      </c>
      <c r="C29" s="41">
        <v>43</v>
      </c>
      <c r="D29" s="41">
        <v>18</v>
      </c>
      <c r="E29" s="41">
        <v>43</v>
      </c>
      <c r="F29" s="41">
        <v>64</v>
      </c>
      <c r="G29" s="41">
        <v>68</v>
      </c>
      <c r="H29" s="61">
        <v>45722</v>
      </c>
      <c r="I29" s="63" t="s">
        <v>353</v>
      </c>
      <c r="J29" s="51">
        <v>16</v>
      </c>
      <c r="K29" s="51">
        <v>33</v>
      </c>
      <c r="L29" s="54"/>
      <c r="M29" s="54"/>
      <c r="N29" s="54"/>
      <c r="O29" s="51"/>
      <c r="P29" s="51"/>
      <c r="Q29" s="51"/>
      <c r="R29" s="51"/>
      <c r="S29" s="51"/>
      <c r="T29" s="51"/>
    </row>
    <row r="30" spans="1:20" ht="15.75" customHeight="1">
      <c r="A30" s="34" t="s">
        <v>136</v>
      </c>
      <c r="B30" s="41">
        <v>220</v>
      </c>
      <c r="C30" s="41">
        <v>23</v>
      </c>
      <c r="D30" s="41">
        <v>19</v>
      </c>
      <c r="E30" s="41">
        <v>48</v>
      </c>
      <c r="F30" s="41">
        <v>77</v>
      </c>
      <c r="G30" s="41">
        <v>38</v>
      </c>
      <c r="H30" s="66">
        <v>45723</v>
      </c>
      <c r="I30" s="63" t="s">
        <v>354</v>
      </c>
      <c r="J30" s="59">
        <v>14</v>
      </c>
      <c r="K30" s="59">
        <v>32</v>
      </c>
      <c r="L30" s="54"/>
      <c r="M30" s="54"/>
      <c r="N30" s="54"/>
      <c r="O30" s="51"/>
      <c r="P30" s="51"/>
      <c r="Q30" s="51"/>
      <c r="R30" s="51"/>
      <c r="S30" s="51"/>
      <c r="T30" s="51"/>
    </row>
    <row r="31" spans="1:20" ht="15.75" customHeight="1">
      <c r="A31" s="34"/>
      <c r="B31" s="41"/>
      <c r="C31" s="71"/>
      <c r="D31" s="71"/>
      <c r="L31" s="54"/>
      <c r="M31" s="54"/>
      <c r="N31" s="51"/>
      <c r="O31" s="51"/>
      <c r="P31" s="51"/>
      <c r="Q31" s="51"/>
      <c r="R31" s="51"/>
      <c r="S31" s="51"/>
      <c r="T31" s="51"/>
    </row>
    <row r="32" spans="1:20" ht="15.75" customHeight="1">
      <c r="L32" s="54"/>
      <c r="M32" s="54"/>
      <c r="N32" s="51"/>
      <c r="O32" s="51"/>
      <c r="P32" s="51"/>
      <c r="Q32" s="51"/>
      <c r="R32" s="51"/>
      <c r="S32" s="51"/>
      <c r="T32" s="51"/>
    </row>
    <row r="33" spans="1:20" ht="15.75" customHeight="1">
      <c r="A33" s="1" t="s">
        <v>355</v>
      </c>
      <c r="B33" s="1">
        <f t="shared" ref="B33:G33" si="0">SUM(B3:B31)</f>
        <v>13135</v>
      </c>
      <c r="C33" s="1">
        <f t="shared" si="0"/>
        <v>1286</v>
      </c>
      <c r="D33" s="1">
        <f t="shared" si="0"/>
        <v>497</v>
      </c>
      <c r="E33" s="1">
        <f t="shared" si="0"/>
        <v>1141</v>
      </c>
      <c r="F33" s="1">
        <f t="shared" si="0"/>
        <v>1670</v>
      </c>
      <c r="G33" s="1">
        <f t="shared" si="0"/>
        <v>1345</v>
      </c>
      <c r="H33" s="66"/>
      <c r="I33" s="62">
        <f>COUNTA(I2:I30)</f>
        <v>29</v>
      </c>
      <c r="J33" s="59"/>
      <c r="K33" s="59">
        <f>SUM(K2:K30)</f>
        <v>862</v>
      </c>
      <c r="L33" s="60"/>
      <c r="M33" s="60"/>
      <c r="N33" s="60"/>
      <c r="O33" s="59"/>
      <c r="P33" s="59"/>
      <c r="Q33" s="59"/>
      <c r="R33" s="59"/>
      <c r="S33" s="59"/>
      <c r="T33" s="59"/>
    </row>
    <row r="34" spans="1:20" ht="15.75" customHeight="1">
      <c r="A34" s="1" t="s">
        <v>17</v>
      </c>
      <c r="B34" s="1">
        <f t="shared" ref="B34:G34" si="1">B33/$I$33</f>
        <v>452.93103448275861</v>
      </c>
      <c r="C34" s="1">
        <f t="shared" si="1"/>
        <v>44.344827586206897</v>
      </c>
      <c r="D34" s="1">
        <f t="shared" si="1"/>
        <v>17.137931034482758</v>
      </c>
      <c r="E34" s="1">
        <f t="shared" si="1"/>
        <v>39.344827586206897</v>
      </c>
      <c r="F34" s="1">
        <f t="shared" si="1"/>
        <v>57.586206896551722</v>
      </c>
      <c r="G34" s="1">
        <f t="shared" si="1"/>
        <v>46.379310344827587</v>
      </c>
    </row>
    <row r="35" spans="1:20" ht="15.75" customHeight="1">
      <c r="A35" s="1" t="s">
        <v>58</v>
      </c>
      <c r="B35" s="1">
        <f t="shared" ref="B35:G35" si="2">B33/$K$33</f>
        <v>15.237819025522041</v>
      </c>
      <c r="C35" s="1">
        <f t="shared" si="2"/>
        <v>1.4918793503480279</v>
      </c>
      <c r="D35" s="1">
        <f t="shared" si="2"/>
        <v>0.57656612529002316</v>
      </c>
      <c r="E35" s="1">
        <f t="shared" si="2"/>
        <v>1.3236658932714618</v>
      </c>
      <c r="F35" s="1">
        <f t="shared" si="2"/>
        <v>1.9373549883990719</v>
      </c>
      <c r="G35" s="1">
        <f t="shared" si="2"/>
        <v>1.5603248259860789</v>
      </c>
      <c r="H35" s="1" t="s">
        <v>262</v>
      </c>
      <c r="I35" s="1">
        <f>K33/I33</f>
        <v>29.724137931034484</v>
      </c>
    </row>
    <row r="36" spans="1:20" ht="15.75" customHeight="1">
      <c r="A36" s="1" t="s">
        <v>264</v>
      </c>
      <c r="B36" s="1">
        <f t="shared" ref="B36:G36" si="3">MAX(B2:B30)</f>
        <v>698</v>
      </c>
      <c r="C36" s="1">
        <f t="shared" si="3"/>
        <v>87</v>
      </c>
      <c r="D36" s="1">
        <f t="shared" si="3"/>
        <v>21</v>
      </c>
      <c r="E36" s="1">
        <f t="shared" si="3"/>
        <v>48</v>
      </c>
      <c r="F36" s="1">
        <f t="shared" si="3"/>
        <v>77</v>
      </c>
      <c r="G36" s="1">
        <f t="shared" si="3"/>
        <v>84</v>
      </c>
    </row>
    <row r="37" spans="1:20" ht="15.75" customHeight="1">
      <c r="A37" s="1" t="s">
        <v>265</v>
      </c>
      <c r="B37" s="1">
        <f t="shared" ref="B37:G37" si="4">STDEV(B2:B30)</f>
        <v>146.18906881967791</v>
      </c>
      <c r="C37" s="1">
        <f t="shared" si="4"/>
        <v>16.621844491082037</v>
      </c>
      <c r="D37" s="1">
        <f t="shared" si="4"/>
        <v>2.9411301068498714</v>
      </c>
      <c r="E37" s="1">
        <f t="shared" si="4"/>
        <v>6.9354873816967579</v>
      </c>
      <c r="F37" s="1">
        <f t="shared" si="4"/>
        <v>10.808453177884534</v>
      </c>
      <c r="G37" s="1">
        <f t="shared" si="4"/>
        <v>19.823295744834965</v>
      </c>
    </row>
    <row r="38" spans="1:20" ht="15.75" customHeight="1">
      <c r="A38" s="34"/>
      <c r="B38" s="41"/>
      <c r="C38" s="41"/>
      <c r="D38" s="34"/>
      <c r="E38" s="41"/>
      <c r="F38" s="41"/>
    </row>
    <row r="39" spans="1:20" ht="15.75" customHeight="1">
      <c r="A39" s="34"/>
      <c r="B39" s="41"/>
      <c r="C39" s="41"/>
      <c r="D39" s="34"/>
      <c r="E39" s="41"/>
      <c r="F39" s="41"/>
    </row>
    <row r="40" spans="1:20" ht="15.75" customHeight="1">
      <c r="A40" s="34"/>
      <c r="B40" s="41"/>
      <c r="C40" s="41"/>
      <c r="D40" s="34"/>
      <c r="E40" s="41"/>
      <c r="F40" s="41"/>
    </row>
    <row r="41" spans="1:20" ht="15.75" customHeight="1">
      <c r="A41" s="34"/>
      <c r="B41" s="41"/>
      <c r="C41" s="41"/>
      <c r="D41" s="34"/>
      <c r="E41" s="41"/>
      <c r="F41" s="41"/>
    </row>
    <row r="42" spans="1:20" ht="15.75" customHeight="1">
      <c r="A42" s="34"/>
      <c r="B42" s="41"/>
      <c r="C42" s="41"/>
      <c r="D42" s="34"/>
      <c r="E42" s="41"/>
      <c r="F42" s="41"/>
    </row>
    <row r="43" spans="1:20" ht="15.75" customHeight="1">
      <c r="A43" s="34"/>
      <c r="B43" s="41"/>
      <c r="C43" s="41"/>
      <c r="D43" s="34"/>
      <c r="E43" s="41"/>
      <c r="F43" s="41"/>
    </row>
    <row r="44" spans="1:20" ht="15.75" customHeight="1">
      <c r="A44" s="34"/>
      <c r="B44" s="41"/>
      <c r="C44" s="41"/>
      <c r="D44" s="34"/>
      <c r="E44" s="41"/>
      <c r="F44" s="41"/>
    </row>
    <row r="45" spans="1:20" ht="15.75" customHeight="1">
      <c r="A45" s="34"/>
      <c r="B45" s="41"/>
      <c r="C45" s="41"/>
      <c r="D45" s="34"/>
      <c r="E45" s="41"/>
      <c r="F45" s="41"/>
    </row>
    <row r="46" spans="1:20" ht="15.75" customHeight="1">
      <c r="A46" s="34"/>
      <c r="B46" s="41"/>
      <c r="C46" s="41"/>
      <c r="D46" s="34"/>
      <c r="E46" s="41"/>
      <c r="F46" s="41"/>
    </row>
    <row r="47" spans="1:20" ht="15.75" customHeight="1">
      <c r="A47" s="34"/>
      <c r="B47" s="41"/>
      <c r="C47" s="41"/>
      <c r="D47" s="34"/>
      <c r="E47" s="41"/>
      <c r="F47" s="41"/>
    </row>
    <row r="48" spans="1:20" ht="15.75" customHeight="1">
      <c r="A48" s="34"/>
      <c r="B48" s="41"/>
      <c r="C48" s="41"/>
      <c r="D48" s="34"/>
      <c r="E48" s="41"/>
      <c r="F48" s="41"/>
    </row>
    <row r="49" spans="1:6" ht="15.75" customHeight="1">
      <c r="A49" s="34"/>
      <c r="B49" s="41"/>
      <c r="C49" s="41"/>
      <c r="D49" s="34"/>
      <c r="E49" s="41"/>
      <c r="F49" s="41"/>
    </row>
    <row r="50" spans="1:6" ht="15.75" customHeight="1">
      <c r="A50" s="34"/>
      <c r="B50" s="41"/>
      <c r="C50" s="41"/>
      <c r="D50" s="34"/>
      <c r="E50" s="41"/>
      <c r="F50" s="41"/>
    </row>
    <row r="51" spans="1:6" ht="13">
      <c r="A51" s="34"/>
      <c r="B51" s="41"/>
      <c r="C51" s="41"/>
      <c r="D51" s="34"/>
      <c r="E51" s="41"/>
      <c r="F51" s="41"/>
    </row>
    <row r="52" spans="1:6" ht="13">
      <c r="A52" s="34"/>
      <c r="B52" s="41"/>
      <c r="C52" s="41"/>
      <c r="D52" s="34"/>
      <c r="E52" s="41"/>
      <c r="F52" s="41"/>
    </row>
    <row r="53" spans="1:6" ht="13">
      <c r="A53" s="34"/>
      <c r="B53" s="41"/>
      <c r="C53" s="41"/>
      <c r="D53" s="34"/>
      <c r="E53" s="41"/>
      <c r="F53" s="41"/>
    </row>
    <row r="54" spans="1:6" ht="13">
      <c r="A54" s="34"/>
      <c r="B54" s="41"/>
      <c r="C54" s="41"/>
      <c r="D54" s="34"/>
      <c r="E54" s="41"/>
      <c r="F54" s="41"/>
    </row>
    <row r="55" spans="1:6" ht="13">
      <c r="A55" s="34"/>
      <c r="B55" s="41"/>
      <c r="C55" s="41"/>
      <c r="D55" s="34"/>
      <c r="E55" s="41"/>
      <c r="F55" s="41"/>
    </row>
    <row r="56" spans="1:6" ht="13">
      <c r="A56" s="34"/>
      <c r="B56" s="41"/>
      <c r="C56" s="41"/>
      <c r="D56" s="34"/>
      <c r="E56" s="41"/>
      <c r="F56" s="41"/>
    </row>
    <row r="57" spans="1:6" ht="13">
      <c r="A57" s="34"/>
      <c r="B57" s="41"/>
      <c r="C57" s="41"/>
      <c r="D57" s="34"/>
      <c r="E57" s="41"/>
      <c r="F57" s="41"/>
    </row>
    <row r="58" spans="1:6" ht="13">
      <c r="A58" s="34"/>
      <c r="B58" s="41"/>
      <c r="C58" s="41"/>
      <c r="D58" s="34"/>
      <c r="E58" s="41"/>
      <c r="F58" s="41"/>
    </row>
    <row r="59" spans="1:6" ht="13">
      <c r="A59" s="34"/>
      <c r="B59" s="41"/>
      <c r="C59" s="41"/>
      <c r="D59" s="34"/>
      <c r="E59" s="41"/>
      <c r="F59" s="41"/>
    </row>
    <row r="60" spans="1:6" ht="13">
      <c r="A60" s="34"/>
      <c r="B60" s="41"/>
      <c r="C60" s="41"/>
      <c r="D60" s="34"/>
      <c r="E60" s="41"/>
      <c r="F60" s="41"/>
    </row>
    <row r="61" spans="1:6" ht="13">
      <c r="A61" s="34"/>
      <c r="B61" s="41"/>
      <c r="C61" s="41"/>
      <c r="D61" s="34"/>
      <c r="E61" s="41"/>
      <c r="F61" s="41"/>
    </row>
    <row r="62" spans="1:6" ht="13">
      <c r="A62" s="34"/>
      <c r="B62" s="41"/>
      <c r="C62" s="41"/>
      <c r="D62" s="34"/>
      <c r="E62" s="41"/>
      <c r="F62" s="41"/>
    </row>
    <row r="63" spans="1:6" ht="13">
      <c r="A63" s="34"/>
      <c r="B63" s="41"/>
      <c r="C63" s="41"/>
      <c r="D63" s="34"/>
      <c r="E63" s="41"/>
      <c r="F63" s="41"/>
    </row>
    <row r="64" spans="1:6" ht="13">
      <c r="A64" s="34"/>
      <c r="B64" s="41"/>
      <c r="C64" s="41"/>
      <c r="D64" s="34"/>
      <c r="E64" s="41"/>
      <c r="F64" s="41"/>
    </row>
    <row r="65" spans="1:6" ht="13">
      <c r="A65" s="34"/>
      <c r="B65" s="41"/>
      <c r="C65" s="41"/>
      <c r="D65" s="34"/>
      <c r="E65" s="41"/>
      <c r="F65" s="41"/>
    </row>
    <row r="66" spans="1:6" ht="13">
      <c r="A66" s="34"/>
      <c r="B66" s="41"/>
      <c r="C66" s="41"/>
      <c r="D66" s="34"/>
      <c r="E66" s="41"/>
      <c r="F66" s="41"/>
    </row>
  </sheetData>
  <hyperlinks>
    <hyperlink ref="I2" r:id="rId1" xr:uid="{00000000-0004-0000-0D00-000000000000}"/>
    <hyperlink ref="I3" r:id="rId2" xr:uid="{00000000-0004-0000-0D00-000001000000}"/>
    <hyperlink ref="I4" r:id="rId3" xr:uid="{00000000-0004-0000-0D00-000002000000}"/>
    <hyperlink ref="I5" r:id="rId4" xr:uid="{00000000-0004-0000-0D00-000003000000}"/>
    <hyperlink ref="I6" r:id="rId5" xr:uid="{00000000-0004-0000-0D00-000004000000}"/>
    <hyperlink ref="I7" r:id="rId6" xr:uid="{00000000-0004-0000-0D00-000005000000}"/>
    <hyperlink ref="I8" r:id="rId7" xr:uid="{00000000-0004-0000-0D00-000006000000}"/>
    <hyperlink ref="I9" r:id="rId8" xr:uid="{00000000-0004-0000-0D00-000007000000}"/>
    <hyperlink ref="I10" r:id="rId9" xr:uid="{00000000-0004-0000-0D00-000008000000}"/>
    <hyperlink ref="I11" r:id="rId10" xr:uid="{00000000-0004-0000-0D00-000009000000}"/>
    <hyperlink ref="I12" r:id="rId11" xr:uid="{00000000-0004-0000-0D00-00000A000000}"/>
    <hyperlink ref="I13" r:id="rId12" xr:uid="{00000000-0004-0000-0D00-00000B000000}"/>
    <hyperlink ref="I14" r:id="rId13" xr:uid="{00000000-0004-0000-0D00-00000C000000}"/>
    <hyperlink ref="I15" r:id="rId14" xr:uid="{00000000-0004-0000-0D00-00000D000000}"/>
    <hyperlink ref="I16" r:id="rId15" xr:uid="{00000000-0004-0000-0D00-00000E000000}"/>
    <hyperlink ref="I17" r:id="rId16" xr:uid="{00000000-0004-0000-0D00-00000F000000}"/>
    <hyperlink ref="I18" r:id="rId17" xr:uid="{00000000-0004-0000-0D00-000010000000}"/>
    <hyperlink ref="I19" r:id="rId18" xr:uid="{00000000-0004-0000-0D00-000011000000}"/>
    <hyperlink ref="I20" r:id="rId19" xr:uid="{00000000-0004-0000-0D00-000012000000}"/>
    <hyperlink ref="I21" r:id="rId20" xr:uid="{00000000-0004-0000-0D00-000013000000}"/>
    <hyperlink ref="I22" r:id="rId21" xr:uid="{00000000-0004-0000-0D00-000014000000}"/>
    <hyperlink ref="I23" r:id="rId22" xr:uid="{00000000-0004-0000-0D00-000015000000}"/>
    <hyperlink ref="I24" r:id="rId23" xr:uid="{00000000-0004-0000-0D00-000016000000}"/>
    <hyperlink ref="I25" r:id="rId24" xr:uid="{00000000-0004-0000-0D00-000017000000}"/>
    <hyperlink ref="I26" r:id="rId25" xr:uid="{00000000-0004-0000-0D00-000018000000}"/>
    <hyperlink ref="I27" r:id="rId26" xr:uid="{00000000-0004-0000-0D00-000019000000}"/>
    <hyperlink ref="I28" r:id="rId27" xr:uid="{00000000-0004-0000-0D00-00001A000000}"/>
    <hyperlink ref="I29" r:id="rId28" xr:uid="{00000000-0004-0000-0D00-00001B000000}"/>
    <hyperlink ref="I30" r:id="rId29" xr:uid="{00000000-0004-0000-0D00-00001C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69"/>
  <sheetViews>
    <sheetView workbookViewId="0">
      <selection activeCell="B3" sqref="B3"/>
    </sheetView>
  </sheetViews>
  <sheetFormatPr baseColWidth="10" defaultColWidth="12.6640625" defaultRowHeight="15.75" customHeight="1"/>
  <cols>
    <col min="1" max="1" width="16.83203125" customWidth="1"/>
  </cols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/>
      <c r="K1" s="51"/>
      <c r="L1" s="54"/>
      <c r="M1" s="54"/>
      <c r="N1" s="51"/>
      <c r="O1" s="51"/>
      <c r="P1" s="51"/>
      <c r="Q1" s="51"/>
      <c r="R1" s="51"/>
      <c r="S1" s="51"/>
      <c r="T1" s="51"/>
    </row>
    <row r="2" spans="1:20" ht="15.75" customHeight="1">
      <c r="A2" s="34" t="s">
        <v>112</v>
      </c>
      <c r="B2" s="41">
        <v>563</v>
      </c>
      <c r="C2" s="41">
        <v>98</v>
      </c>
      <c r="D2" s="41">
        <v>24</v>
      </c>
      <c r="E2" s="41">
        <v>49</v>
      </c>
      <c r="F2" s="41">
        <v>75</v>
      </c>
      <c r="G2" s="41">
        <v>170</v>
      </c>
      <c r="H2" s="61">
        <v>45600</v>
      </c>
      <c r="I2" s="63" t="s">
        <v>356</v>
      </c>
      <c r="J2" s="51">
        <v>9</v>
      </c>
      <c r="K2" s="51">
        <v>25</v>
      </c>
      <c r="L2" s="54"/>
      <c r="M2" s="54"/>
      <c r="N2" s="51"/>
      <c r="O2" s="51"/>
      <c r="P2" s="51"/>
      <c r="Q2" s="51"/>
      <c r="R2" s="51"/>
      <c r="S2" s="51"/>
      <c r="T2" s="51"/>
    </row>
    <row r="3" spans="1:20" ht="15.75" customHeight="1">
      <c r="A3" s="34" t="s">
        <v>113</v>
      </c>
      <c r="B3" s="41">
        <v>480</v>
      </c>
      <c r="C3" s="41">
        <v>46</v>
      </c>
      <c r="D3" s="41">
        <v>21</v>
      </c>
      <c r="E3" s="41">
        <v>43</v>
      </c>
      <c r="F3" s="41">
        <v>68</v>
      </c>
      <c r="G3" s="41">
        <v>114</v>
      </c>
      <c r="H3" s="61">
        <v>45603</v>
      </c>
      <c r="I3" s="63" t="s">
        <v>357</v>
      </c>
      <c r="J3" s="51">
        <v>11</v>
      </c>
      <c r="K3" s="51">
        <v>25</v>
      </c>
      <c r="L3" s="54"/>
      <c r="M3" s="54"/>
      <c r="N3" s="54"/>
      <c r="O3" s="51"/>
      <c r="P3" s="51"/>
      <c r="Q3" s="51"/>
      <c r="R3" s="51"/>
      <c r="S3" s="51"/>
      <c r="T3" s="51"/>
    </row>
    <row r="4" spans="1:20" ht="15.75" customHeight="1">
      <c r="A4" s="34" t="s">
        <v>114</v>
      </c>
      <c r="B4" s="41">
        <v>492</v>
      </c>
      <c r="C4" s="41">
        <v>62</v>
      </c>
      <c r="D4" s="41">
        <v>19</v>
      </c>
      <c r="E4" s="41">
        <v>42</v>
      </c>
      <c r="F4" s="41">
        <v>61</v>
      </c>
      <c r="G4" s="41">
        <v>120</v>
      </c>
      <c r="H4" s="61">
        <v>45605</v>
      </c>
      <c r="I4" s="63" t="s">
        <v>358</v>
      </c>
      <c r="J4" s="51">
        <v>16</v>
      </c>
      <c r="K4" s="51">
        <v>26</v>
      </c>
      <c r="L4" s="54"/>
      <c r="M4" s="54"/>
      <c r="N4" s="54"/>
      <c r="O4" s="51"/>
      <c r="P4" s="51"/>
      <c r="Q4" s="51"/>
      <c r="R4" s="51"/>
      <c r="S4" s="51"/>
      <c r="T4" s="51"/>
    </row>
    <row r="5" spans="1:20" ht="15.75" customHeight="1">
      <c r="A5" s="34" t="s">
        <v>115</v>
      </c>
      <c r="B5" s="41">
        <v>878</v>
      </c>
      <c r="C5" s="41">
        <v>59</v>
      </c>
      <c r="D5" s="41">
        <v>21</v>
      </c>
      <c r="E5" s="41">
        <v>49</v>
      </c>
      <c r="F5" s="41">
        <v>71</v>
      </c>
      <c r="G5" s="41">
        <v>209</v>
      </c>
      <c r="H5" s="64">
        <v>45610</v>
      </c>
      <c r="I5" s="63" t="s">
        <v>359</v>
      </c>
      <c r="J5" s="51">
        <v>25</v>
      </c>
      <c r="K5" s="51">
        <v>35</v>
      </c>
      <c r="L5" s="54"/>
      <c r="M5" s="54"/>
      <c r="N5" s="54"/>
      <c r="O5" s="51"/>
      <c r="P5" s="51"/>
      <c r="Q5" s="51"/>
      <c r="R5" s="51"/>
      <c r="S5" s="51"/>
      <c r="T5" s="51"/>
    </row>
    <row r="6" spans="1:20" ht="15.75" customHeight="1">
      <c r="A6" s="34" t="s">
        <v>116</v>
      </c>
      <c r="B6" s="41">
        <v>518</v>
      </c>
      <c r="C6" s="41">
        <v>66</v>
      </c>
      <c r="D6" s="41">
        <v>22</v>
      </c>
      <c r="E6" s="41">
        <v>47</v>
      </c>
      <c r="F6" s="41">
        <v>70</v>
      </c>
      <c r="G6" s="41">
        <v>169</v>
      </c>
      <c r="H6" s="64">
        <v>45616</v>
      </c>
      <c r="I6" s="63" t="s">
        <v>360</v>
      </c>
      <c r="J6" s="51">
        <v>8</v>
      </c>
      <c r="K6" s="51">
        <v>23</v>
      </c>
      <c r="L6" s="54"/>
      <c r="M6" s="51"/>
      <c r="N6" s="54"/>
      <c r="O6" s="51"/>
      <c r="P6" s="51"/>
      <c r="Q6" s="51"/>
      <c r="R6" s="51"/>
      <c r="S6" s="51"/>
      <c r="T6" s="51"/>
    </row>
    <row r="7" spans="1:20" ht="15.75" customHeight="1">
      <c r="A7" s="34" t="s">
        <v>117</v>
      </c>
      <c r="B7" s="41">
        <v>734</v>
      </c>
      <c r="C7" s="41">
        <v>74</v>
      </c>
      <c r="D7" s="41">
        <v>25</v>
      </c>
      <c r="E7" s="41">
        <v>48</v>
      </c>
      <c r="F7" s="41">
        <v>68</v>
      </c>
      <c r="G7" s="41">
        <v>214</v>
      </c>
      <c r="H7" s="64">
        <v>45618</v>
      </c>
      <c r="I7" s="63" t="s">
        <v>361</v>
      </c>
      <c r="J7" s="51">
        <v>7</v>
      </c>
      <c r="K7" s="51">
        <v>33</v>
      </c>
      <c r="L7" s="54"/>
      <c r="M7" s="54"/>
      <c r="N7" s="54"/>
      <c r="O7" s="51"/>
      <c r="P7" s="51"/>
      <c r="Q7" s="51"/>
      <c r="R7" s="51"/>
      <c r="S7" s="51"/>
      <c r="T7" s="51"/>
    </row>
    <row r="8" spans="1:20" ht="15.75" customHeight="1">
      <c r="A8" s="34" t="s">
        <v>118</v>
      </c>
      <c r="B8" s="41">
        <v>182</v>
      </c>
      <c r="C8" s="41">
        <v>16</v>
      </c>
      <c r="D8" s="41">
        <v>20</v>
      </c>
      <c r="E8" s="41">
        <v>43</v>
      </c>
      <c r="F8" s="41">
        <v>69</v>
      </c>
      <c r="G8" s="41">
        <v>74</v>
      </c>
      <c r="H8" s="64">
        <v>45622</v>
      </c>
      <c r="I8" s="63" t="s">
        <v>362</v>
      </c>
      <c r="J8" s="51">
        <v>3</v>
      </c>
      <c r="K8" s="51">
        <v>25</v>
      </c>
      <c r="L8" s="51"/>
      <c r="M8" s="51"/>
      <c r="N8" s="54"/>
      <c r="O8" s="51"/>
      <c r="P8" s="51"/>
      <c r="Q8" s="51"/>
      <c r="R8" s="51"/>
      <c r="S8" s="51"/>
      <c r="T8" s="51"/>
    </row>
    <row r="9" spans="1:20" ht="15.75" customHeight="1">
      <c r="A9" s="34" t="s">
        <v>119</v>
      </c>
      <c r="B9" s="41">
        <v>624</v>
      </c>
      <c r="C9" s="41">
        <v>80</v>
      </c>
      <c r="D9" s="41">
        <v>21</v>
      </c>
      <c r="E9" s="41">
        <v>48</v>
      </c>
      <c r="F9" s="41">
        <v>71</v>
      </c>
      <c r="G9" s="41">
        <v>190</v>
      </c>
      <c r="H9" s="64">
        <v>45623</v>
      </c>
      <c r="I9" s="63" t="s">
        <v>363</v>
      </c>
      <c r="J9" s="51">
        <v>7</v>
      </c>
      <c r="K9" s="51">
        <v>31</v>
      </c>
      <c r="L9" s="54"/>
      <c r="M9" s="51"/>
      <c r="N9" s="54"/>
      <c r="O9" s="51"/>
      <c r="P9" s="51"/>
      <c r="Q9" s="51"/>
      <c r="R9" s="51"/>
      <c r="S9" s="51"/>
      <c r="T9" s="51"/>
    </row>
    <row r="10" spans="1:20" ht="15.75" customHeight="1">
      <c r="A10" s="34" t="s">
        <v>120</v>
      </c>
      <c r="B10" s="41">
        <v>755</v>
      </c>
      <c r="C10" s="41">
        <v>79</v>
      </c>
      <c r="D10" s="41">
        <v>23</v>
      </c>
      <c r="E10" s="41">
        <v>55</v>
      </c>
      <c r="F10" s="41">
        <v>76</v>
      </c>
      <c r="G10" s="41">
        <v>238</v>
      </c>
      <c r="H10" s="61">
        <v>45631</v>
      </c>
      <c r="I10" s="63" t="s">
        <v>364</v>
      </c>
      <c r="J10" s="51">
        <v>21</v>
      </c>
      <c r="K10" s="51">
        <v>36</v>
      </c>
      <c r="L10" s="54"/>
      <c r="M10" s="54"/>
      <c r="N10" s="54"/>
      <c r="O10" s="51"/>
      <c r="P10" s="51"/>
      <c r="Q10" s="51"/>
      <c r="R10" s="51"/>
      <c r="S10" s="51"/>
      <c r="T10" s="51"/>
    </row>
    <row r="11" spans="1:20" ht="15.75" customHeight="1">
      <c r="A11" s="34" t="s">
        <v>121</v>
      </c>
      <c r="B11" s="41">
        <v>759</v>
      </c>
      <c r="C11" s="41">
        <v>94</v>
      </c>
      <c r="D11" s="41">
        <v>21</v>
      </c>
      <c r="E11" s="41">
        <v>43</v>
      </c>
      <c r="F11" s="41">
        <v>63</v>
      </c>
      <c r="G11" s="41">
        <v>224</v>
      </c>
      <c r="H11" s="61">
        <v>45633</v>
      </c>
      <c r="I11" s="63" t="s">
        <v>365</v>
      </c>
      <c r="J11" s="51">
        <v>5</v>
      </c>
      <c r="K11" s="51">
        <v>35</v>
      </c>
      <c r="L11" s="54"/>
      <c r="M11" s="51"/>
      <c r="N11" s="54"/>
      <c r="O11" s="51"/>
      <c r="P11" s="51"/>
      <c r="Q11" s="51"/>
      <c r="R11" s="51"/>
      <c r="S11" s="51"/>
      <c r="T11" s="51"/>
    </row>
    <row r="12" spans="1:20" ht="15.75" customHeight="1">
      <c r="A12" s="34" t="s">
        <v>122</v>
      </c>
      <c r="B12" s="41">
        <v>671</v>
      </c>
      <c r="C12" s="41">
        <v>71</v>
      </c>
      <c r="D12" s="41">
        <v>22</v>
      </c>
      <c r="E12" s="41">
        <v>47</v>
      </c>
      <c r="F12" s="41">
        <v>72</v>
      </c>
      <c r="G12" s="41">
        <v>198</v>
      </c>
      <c r="H12" s="64">
        <v>45639</v>
      </c>
      <c r="I12" s="63" t="s">
        <v>366</v>
      </c>
      <c r="J12" s="51">
        <v>13</v>
      </c>
      <c r="K12" s="51">
        <v>34</v>
      </c>
      <c r="L12" s="54"/>
      <c r="M12" s="54"/>
      <c r="N12" s="51"/>
      <c r="O12" s="51"/>
      <c r="P12" s="51"/>
      <c r="Q12" s="51"/>
      <c r="R12" s="51"/>
      <c r="S12" s="51"/>
      <c r="T12" s="51"/>
    </row>
    <row r="13" spans="1:20" ht="15.75" customHeight="1">
      <c r="A13" s="34" t="s">
        <v>124</v>
      </c>
      <c r="B13" s="41">
        <v>596</v>
      </c>
      <c r="C13" s="41">
        <v>89</v>
      </c>
      <c r="D13" s="41">
        <v>18</v>
      </c>
      <c r="E13" s="41">
        <v>42</v>
      </c>
      <c r="F13" s="41">
        <v>70</v>
      </c>
      <c r="G13" s="41">
        <v>154</v>
      </c>
      <c r="H13" s="64">
        <v>45647</v>
      </c>
      <c r="I13" s="63" t="s">
        <v>367</v>
      </c>
      <c r="J13" s="51">
        <v>8</v>
      </c>
      <c r="K13" s="51">
        <v>33</v>
      </c>
      <c r="L13" s="54"/>
      <c r="M13" s="54"/>
      <c r="N13" s="54"/>
      <c r="O13" s="51"/>
      <c r="P13" s="51"/>
      <c r="Q13" s="51"/>
      <c r="R13" s="51"/>
      <c r="S13" s="51"/>
      <c r="T13" s="51"/>
    </row>
    <row r="14" spans="1:20" ht="15.75" customHeight="1">
      <c r="A14" s="34" t="s">
        <v>125</v>
      </c>
      <c r="B14" s="41">
        <v>684</v>
      </c>
      <c r="C14" s="41">
        <v>52</v>
      </c>
      <c r="D14" s="41">
        <v>22</v>
      </c>
      <c r="E14" s="41">
        <v>48</v>
      </c>
      <c r="F14" s="41">
        <v>72</v>
      </c>
      <c r="G14" s="41">
        <v>141</v>
      </c>
      <c r="H14" s="64">
        <v>45648</v>
      </c>
      <c r="I14" s="63" t="s">
        <v>368</v>
      </c>
      <c r="J14" s="51">
        <v>17</v>
      </c>
      <c r="K14" s="51">
        <v>28</v>
      </c>
      <c r="L14" s="54"/>
      <c r="M14" s="54"/>
      <c r="N14" s="51"/>
      <c r="O14" s="51"/>
      <c r="P14" s="51"/>
      <c r="Q14" s="51"/>
      <c r="R14" s="51"/>
      <c r="S14" s="51"/>
      <c r="T14" s="51"/>
    </row>
    <row r="15" spans="1:20" ht="15.75" customHeight="1">
      <c r="A15" s="34" t="s">
        <v>126</v>
      </c>
      <c r="B15" s="41">
        <v>719</v>
      </c>
      <c r="C15" s="41">
        <v>100</v>
      </c>
      <c r="D15" s="41">
        <v>24</v>
      </c>
      <c r="E15" s="41">
        <v>48</v>
      </c>
      <c r="F15" s="41">
        <v>76</v>
      </c>
      <c r="G15" s="41">
        <v>242</v>
      </c>
      <c r="H15" s="61">
        <v>45659</v>
      </c>
      <c r="I15" s="63" t="s">
        <v>369</v>
      </c>
      <c r="J15" s="51">
        <v>8</v>
      </c>
      <c r="K15" s="51">
        <v>38</v>
      </c>
      <c r="L15" s="54"/>
      <c r="M15" s="54"/>
      <c r="N15" s="51"/>
      <c r="O15" s="51"/>
      <c r="P15" s="51"/>
      <c r="Q15" s="51"/>
      <c r="R15" s="51"/>
      <c r="S15" s="51"/>
      <c r="T15" s="51"/>
    </row>
    <row r="16" spans="1:20" ht="15.75" customHeight="1">
      <c r="A16" s="34" t="s">
        <v>127</v>
      </c>
      <c r="B16" s="41">
        <v>607</v>
      </c>
      <c r="C16" s="41">
        <v>79</v>
      </c>
      <c r="D16" s="41">
        <v>20</v>
      </c>
      <c r="E16" s="41">
        <v>49</v>
      </c>
      <c r="F16" s="41">
        <v>72</v>
      </c>
      <c r="G16" s="41">
        <v>151</v>
      </c>
      <c r="H16" s="61">
        <v>45662</v>
      </c>
      <c r="I16" s="63" t="s">
        <v>370</v>
      </c>
      <c r="J16" s="51">
        <v>17</v>
      </c>
      <c r="K16" s="51">
        <v>33</v>
      </c>
      <c r="L16" s="54"/>
      <c r="M16" s="51"/>
      <c r="N16" s="51"/>
      <c r="O16" s="51"/>
      <c r="P16" s="51"/>
      <c r="Q16" s="51"/>
      <c r="R16" s="51"/>
      <c r="S16" s="51"/>
      <c r="T16" s="51"/>
    </row>
    <row r="17" spans="1:20" ht="15.75" customHeight="1">
      <c r="A17" s="34" t="s">
        <v>128</v>
      </c>
      <c r="B17" s="41">
        <v>753</v>
      </c>
      <c r="C17" s="41">
        <v>75</v>
      </c>
      <c r="D17" s="41">
        <v>24</v>
      </c>
      <c r="E17" s="41">
        <v>45</v>
      </c>
      <c r="F17" s="41">
        <v>69</v>
      </c>
      <c r="G17" s="41">
        <v>201</v>
      </c>
      <c r="H17" s="61">
        <v>45666</v>
      </c>
      <c r="I17" s="63" t="s">
        <v>371</v>
      </c>
      <c r="J17" s="51">
        <v>15</v>
      </c>
      <c r="K17" s="51">
        <v>40</v>
      </c>
      <c r="L17" s="54"/>
      <c r="M17" s="54"/>
      <c r="N17" s="51"/>
      <c r="O17" s="51"/>
      <c r="P17" s="51"/>
      <c r="Q17" s="51"/>
      <c r="R17" s="51"/>
      <c r="S17" s="51"/>
      <c r="T17" s="51"/>
    </row>
    <row r="18" spans="1:20" ht="15.75" customHeight="1">
      <c r="A18" s="34" t="s">
        <v>129</v>
      </c>
      <c r="B18" s="41">
        <v>796</v>
      </c>
      <c r="C18" s="41">
        <v>73</v>
      </c>
      <c r="D18" s="41">
        <v>22</v>
      </c>
      <c r="E18" s="41">
        <v>48</v>
      </c>
      <c r="F18" s="41">
        <v>69</v>
      </c>
      <c r="G18" s="41">
        <v>218</v>
      </c>
      <c r="H18" s="61">
        <v>45669</v>
      </c>
      <c r="I18" s="63" t="s">
        <v>372</v>
      </c>
      <c r="J18" s="51">
        <v>7</v>
      </c>
      <c r="K18" s="51">
        <v>36</v>
      </c>
      <c r="L18" s="54"/>
      <c r="M18" s="54"/>
      <c r="N18" s="51"/>
      <c r="O18" s="51"/>
      <c r="P18" s="51"/>
      <c r="Q18" s="51"/>
      <c r="R18" s="51"/>
      <c r="S18" s="51"/>
      <c r="T18" s="51"/>
    </row>
    <row r="19" spans="1:20" ht="15.75" customHeight="1">
      <c r="A19" s="34" t="s">
        <v>130</v>
      </c>
      <c r="B19" s="41">
        <v>644</v>
      </c>
      <c r="C19" s="41">
        <v>88</v>
      </c>
      <c r="D19" s="41">
        <v>19</v>
      </c>
      <c r="E19" s="41">
        <v>47</v>
      </c>
      <c r="F19" s="41">
        <v>76</v>
      </c>
      <c r="G19" s="41">
        <v>166</v>
      </c>
      <c r="H19" s="61">
        <v>45673</v>
      </c>
      <c r="I19" s="63" t="s">
        <v>373</v>
      </c>
      <c r="J19" s="51">
        <v>8</v>
      </c>
      <c r="K19" s="51">
        <v>31</v>
      </c>
      <c r="L19" s="54"/>
      <c r="M19" s="54"/>
      <c r="N19" s="54"/>
      <c r="O19" s="51"/>
      <c r="P19" s="51"/>
      <c r="Q19" s="51"/>
      <c r="R19" s="51"/>
      <c r="S19" s="51"/>
      <c r="T19" s="51"/>
    </row>
    <row r="20" spans="1:20" ht="15.75" customHeight="1">
      <c r="A20" s="34" t="s">
        <v>131</v>
      </c>
      <c r="B20" s="41">
        <v>212</v>
      </c>
      <c r="C20" s="41">
        <v>20</v>
      </c>
      <c r="D20" s="41">
        <v>22</v>
      </c>
      <c r="E20" s="41">
        <v>39</v>
      </c>
      <c r="F20" s="41">
        <v>56</v>
      </c>
      <c r="G20" s="41">
        <v>47</v>
      </c>
      <c r="H20" s="61">
        <v>45676</v>
      </c>
      <c r="I20" s="63" t="s">
        <v>374</v>
      </c>
      <c r="J20" s="51">
        <v>7</v>
      </c>
      <c r="K20" s="51">
        <v>33</v>
      </c>
      <c r="L20" s="54"/>
      <c r="M20" s="54"/>
      <c r="N20" s="54"/>
      <c r="O20" s="51"/>
      <c r="P20" s="51"/>
      <c r="Q20" s="51"/>
      <c r="R20" s="51"/>
      <c r="S20" s="51"/>
      <c r="T20" s="51"/>
    </row>
    <row r="21" spans="1:20" ht="15.75" customHeight="1">
      <c r="A21" s="34" t="s">
        <v>122</v>
      </c>
      <c r="B21" s="41">
        <v>735</v>
      </c>
      <c r="C21" s="41">
        <v>84</v>
      </c>
      <c r="D21" s="41">
        <v>20</v>
      </c>
      <c r="E21" s="41">
        <v>46</v>
      </c>
      <c r="F21" s="41">
        <v>67</v>
      </c>
      <c r="G21" s="41">
        <v>186</v>
      </c>
      <c r="H21" s="61">
        <v>45680</v>
      </c>
      <c r="I21" s="63" t="s">
        <v>375</v>
      </c>
      <c r="J21" s="51">
        <v>18</v>
      </c>
      <c r="K21" s="51">
        <v>35</v>
      </c>
      <c r="L21" s="54"/>
      <c r="M21" s="54"/>
      <c r="N21" s="51"/>
      <c r="O21" s="51"/>
      <c r="P21" s="51"/>
      <c r="Q21" s="51"/>
      <c r="R21" s="51"/>
      <c r="S21" s="51"/>
      <c r="T21" s="51"/>
    </row>
    <row r="22" spans="1:20" ht="15.75" customHeight="1">
      <c r="A22" s="34" t="s">
        <v>132</v>
      </c>
      <c r="B22" s="41">
        <v>608</v>
      </c>
      <c r="C22" s="41">
        <v>93</v>
      </c>
      <c r="D22" s="41">
        <v>19</v>
      </c>
      <c r="E22" s="41">
        <v>49</v>
      </c>
      <c r="F22" s="41">
        <v>71</v>
      </c>
      <c r="G22" s="41">
        <v>171</v>
      </c>
      <c r="H22" s="61">
        <v>45687</v>
      </c>
      <c r="I22" s="63" t="s">
        <v>376</v>
      </c>
      <c r="J22" s="51">
        <v>2</v>
      </c>
      <c r="K22" s="51">
        <v>35</v>
      </c>
      <c r="L22" s="54"/>
      <c r="M22" s="54"/>
      <c r="N22" s="54"/>
      <c r="O22" s="51"/>
      <c r="P22" s="51"/>
      <c r="Q22" s="51"/>
      <c r="R22" s="51"/>
      <c r="S22" s="51"/>
      <c r="T22" s="51"/>
    </row>
    <row r="23" spans="1:20" ht="15.75" customHeight="1">
      <c r="A23" s="34" t="s">
        <v>134</v>
      </c>
      <c r="B23" s="41">
        <v>612</v>
      </c>
      <c r="C23" s="41">
        <v>76</v>
      </c>
      <c r="D23" s="41">
        <v>22</v>
      </c>
      <c r="E23" s="41">
        <v>48</v>
      </c>
      <c r="F23" s="41">
        <v>77</v>
      </c>
      <c r="G23" s="41">
        <v>187</v>
      </c>
      <c r="H23" s="61">
        <v>45694</v>
      </c>
      <c r="I23" s="63" t="s">
        <v>377</v>
      </c>
      <c r="J23" s="51">
        <v>10</v>
      </c>
      <c r="K23" s="51">
        <v>33</v>
      </c>
      <c r="L23" s="54"/>
      <c r="M23" s="51"/>
      <c r="N23" s="51"/>
      <c r="O23" s="51"/>
      <c r="P23" s="51"/>
      <c r="Q23" s="51"/>
      <c r="R23" s="51"/>
      <c r="S23" s="51"/>
      <c r="T23" s="51"/>
    </row>
    <row r="24" spans="1:20" ht="15.75" customHeight="1">
      <c r="A24" s="34" t="s">
        <v>136</v>
      </c>
      <c r="B24" s="41">
        <v>536</v>
      </c>
      <c r="C24" s="41">
        <v>54</v>
      </c>
      <c r="D24" s="41">
        <v>22</v>
      </c>
      <c r="E24" s="41">
        <v>50</v>
      </c>
      <c r="F24" s="41">
        <v>76</v>
      </c>
      <c r="G24" s="41">
        <v>182</v>
      </c>
      <c r="H24" s="61">
        <v>45697</v>
      </c>
      <c r="I24" s="63" t="s">
        <v>378</v>
      </c>
      <c r="J24" s="51">
        <v>6</v>
      </c>
      <c r="K24" s="51">
        <v>27</v>
      </c>
      <c r="L24" s="54"/>
      <c r="M24" s="51"/>
      <c r="N24" s="51"/>
      <c r="O24" s="51"/>
      <c r="P24" s="51"/>
      <c r="Q24" s="51"/>
      <c r="R24" s="51"/>
      <c r="S24" s="51"/>
      <c r="T24" s="51"/>
    </row>
    <row r="25" spans="1:20" ht="15.75" customHeight="1">
      <c r="A25" s="34" t="s">
        <v>137</v>
      </c>
      <c r="B25" s="41">
        <v>785</v>
      </c>
      <c r="C25" s="41">
        <v>79</v>
      </c>
      <c r="D25" s="41">
        <v>22</v>
      </c>
      <c r="E25" s="41">
        <v>48</v>
      </c>
      <c r="F25" s="41">
        <v>74</v>
      </c>
      <c r="G25" s="41">
        <v>177</v>
      </c>
      <c r="H25" s="61">
        <v>45701</v>
      </c>
      <c r="I25" s="63" t="s">
        <v>379</v>
      </c>
      <c r="J25" s="51">
        <v>8</v>
      </c>
      <c r="K25" s="51">
        <v>35</v>
      </c>
      <c r="L25" s="54"/>
      <c r="M25" s="54"/>
      <c r="N25" s="54"/>
      <c r="O25" s="51"/>
      <c r="P25" s="51"/>
      <c r="Q25" s="51"/>
      <c r="R25" s="51"/>
      <c r="S25" s="51"/>
      <c r="T25" s="51"/>
    </row>
    <row r="26" spans="1:20" ht="15.75" customHeight="1">
      <c r="A26" s="34" t="s">
        <v>138</v>
      </c>
      <c r="B26" s="41">
        <v>752</v>
      </c>
      <c r="C26" s="41">
        <v>91</v>
      </c>
      <c r="D26" s="41">
        <v>20</v>
      </c>
      <c r="E26" s="41">
        <v>52</v>
      </c>
      <c r="F26" s="41">
        <v>75</v>
      </c>
      <c r="G26" s="41">
        <v>194</v>
      </c>
      <c r="H26" s="61">
        <v>45704</v>
      </c>
      <c r="I26" s="63" t="s">
        <v>380</v>
      </c>
      <c r="J26" s="51">
        <v>21</v>
      </c>
      <c r="K26" s="51">
        <v>39</v>
      </c>
      <c r="L26" s="54"/>
      <c r="M26" s="54"/>
      <c r="N26" s="51"/>
      <c r="O26" s="51"/>
      <c r="P26" s="51"/>
      <c r="Q26" s="51"/>
      <c r="R26" s="51"/>
      <c r="S26" s="51"/>
      <c r="T26" s="51"/>
    </row>
    <row r="27" spans="1:20" ht="15.75" customHeight="1">
      <c r="A27" s="34" t="s">
        <v>139</v>
      </c>
      <c r="B27" s="41">
        <v>566</v>
      </c>
      <c r="C27" s="41">
        <v>74</v>
      </c>
      <c r="D27" s="41">
        <v>21</v>
      </c>
      <c r="E27" s="41">
        <v>44</v>
      </c>
      <c r="F27" s="41">
        <v>67</v>
      </c>
      <c r="G27" s="41">
        <v>146</v>
      </c>
      <c r="H27" s="61">
        <v>45708</v>
      </c>
      <c r="I27" s="63" t="s">
        <v>381</v>
      </c>
      <c r="J27" s="51">
        <v>14</v>
      </c>
      <c r="K27" s="51">
        <v>29</v>
      </c>
      <c r="L27" s="54"/>
      <c r="M27" s="51"/>
      <c r="N27" s="54"/>
      <c r="O27" s="51"/>
      <c r="P27" s="51"/>
      <c r="Q27" s="51"/>
      <c r="R27" s="51"/>
      <c r="S27" s="51"/>
      <c r="T27" s="51"/>
    </row>
    <row r="28" spans="1:20" ht="15.75" customHeight="1">
      <c r="A28" s="34" t="s">
        <v>140</v>
      </c>
      <c r="B28" s="41">
        <v>653</v>
      </c>
      <c r="C28" s="41">
        <v>81</v>
      </c>
      <c r="D28" s="41">
        <v>21</v>
      </c>
      <c r="E28" s="41">
        <v>51</v>
      </c>
      <c r="F28" s="41">
        <v>65</v>
      </c>
      <c r="G28" s="41">
        <v>195</v>
      </c>
      <c r="H28" s="61">
        <v>45711</v>
      </c>
      <c r="I28" s="63" t="s">
        <v>382</v>
      </c>
      <c r="J28" s="51">
        <v>17</v>
      </c>
      <c r="K28" s="51">
        <v>32</v>
      </c>
      <c r="L28" s="54"/>
      <c r="M28" s="54"/>
      <c r="N28" s="54"/>
      <c r="O28" s="51"/>
      <c r="P28" s="51"/>
      <c r="Q28" s="51"/>
      <c r="R28" s="51"/>
      <c r="S28" s="51"/>
      <c r="T28" s="51"/>
    </row>
    <row r="29" spans="1:20" ht="15.75" customHeight="1">
      <c r="A29" s="34" t="s">
        <v>142</v>
      </c>
      <c r="B29" s="41">
        <v>428</v>
      </c>
      <c r="C29" s="41">
        <v>54</v>
      </c>
      <c r="D29" s="41">
        <v>22</v>
      </c>
      <c r="E29" s="41">
        <v>51</v>
      </c>
      <c r="F29" s="41">
        <v>74</v>
      </c>
      <c r="G29" s="41">
        <v>120</v>
      </c>
      <c r="H29" s="61">
        <v>45715</v>
      </c>
      <c r="I29" s="63" t="s">
        <v>383</v>
      </c>
      <c r="J29" s="51">
        <v>7</v>
      </c>
      <c r="K29" s="51">
        <v>24</v>
      </c>
      <c r="L29" s="54"/>
      <c r="M29" s="54"/>
      <c r="N29" s="54"/>
      <c r="O29" s="51"/>
      <c r="P29" s="51"/>
      <c r="Q29" s="51"/>
      <c r="R29" s="51"/>
      <c r="S29" s="51"/>
      <c r="T29" s="51"/>
    </row>
    <row r="30" spans="1:20" ht="15.75" customHeight="1">
      <c r="A30" s="34" t="s">
        <v>143</v>
      </c>
      <c r="B30" s="41">
        <v>468</v>
      </c>
      <c r="C30" s="41">
        <v>68</v>
      </c>
      <c r="D30" s="41">
        <v>21</v>
      </c>
      <c r="E30" s="41">
        <v>49</v>
      </c>
      <c r="F30" s="41">
        <v>73</v>
      </c>
      <c r="G30" s="41">
        <v>140</v>
      </c>
      <c r="H30" s="61">
        <v>45718</v>
      </c>
      <c r="I30" s="63" t="s">
        <v>384</v>
      </c>
      <c r="J30" s="51">
        <v>11</v>
      </c>
      <c r="K30" s="51">
        <v>26</v>
      </c>
      <c r="L30" s="54"/>
      <c r="M30" s="54"/>
      <c r="N30" s="54"/>
      <c r="O30" s="51"/>
      <c r="P30" s="51"/>
      <c r="Q30" s="51"/>
      <c r="R30" s="51"/>
      <c r="S30" s="51"/>
      <c r="T30" s="51"/>
    </row>
    <row r="31" spans="1:20" ht="15.75" customHeight="1">
      <c r="A31" s="34" t="s">
        <v>139</v>
      </c>
      <c r="B31" s="41">
        <v>639</v>
      </c>
      <c r="C31" s="41">
        <v>107</v>
      </c>
      <c r="D31" s="41">
        <v>23</v>
      </c>
      <c r="E31" s="41">
        <v>54</v>
      </c>
      <c r="F31" s="41">
        <v>86</v>
      </c>
      <c r="G31" s="41">
        <v>221</v>
      </c>
      <c r="H31" s="61">
        <v>45722</v>
      </c>
      <c r="I31" s="63" t="s">
        <v>385</v>
      </c>
      <c r="J31" s="51">
        <v>12</v>
      </c>
      <c r="K31" s="51">
        <v>29</v>
      </c>
      <c r="L31" s="54"/>
      <c r="M31" s="54"/>
      <c r="N31" s="51"/>
      <c r="O31" s="51"/>
      <c r="P31" s="51"/>
      <c r="Q31" s="51"/>
      <c r="R31" s="51"/>
      <c r="S31" s="51"/>
      <c r="T31" s="51"/>
    </row>
    <row r="32" spans="1:20" ht="15.75" customHeight="1">
      <c r="A32" s="34" t="s">
        <v>136</v>
      </c>
      <c r="B32" s="41">
        <v>757</v>
      </c>
      <c r="C32" s="41">
        <v>63</v>
      </c>
      <c r="D32" s="41">
        <v>22</v>
      </c>
      <c r="E32" s="41">
        <v>51</v>
      </c>
      <c r="F32" s="41">
        <v>80</v>
      </c>
      <c r="G32" s="41">
        <v>227</v>
      </c>
      <c r="H32" s="72">
        <v>45723</v>
      </c>
      <c r="I32" s="63" t="s">
        <v>386</v>
      </c>
      <c r="J32" s="59">
        <v>14</v>
      </c>
      <c r="K32" s="59">
        <v>37</v>
      </c>
      <c r="L32" s="60"/>
      <c r="M32" s="60"/>
      <c r="N32" s="60"/>
      <c r="O32" s="59"/>
      <c r="P32" s="59"/>
      <c r="Q32" s="59"/>
      <c r="R32" s="59"/>
      <c r="S32" s="59"/>
      <c r="T32" s="59"/>
    </row>
    <row r="33" spans="1:20" ht="15.75" customHeight="1">
      <c r="L33" s="54"/>
      <c r="M33" s="54"/>
      <c r="N33" s="54"/>
      <c r="O33" s="51"/>
      <c r="P33" s="51"/>
      <c r="Q33" s="51"/>
      <c r="R33" s="51"/>
      <c r="S33" s="51"/>
      <c r="T33" s="51"/>
    </row>
    <row r="34" spans="1:20" ht="15.75" customHeight="1">
      <c r="A34" s="1" t="s">
        <v>355</v>
      </c>
      <c r="B34" s="1">
        <f t="shared" ref="B34:G34" si="0">SUM(B2:B32)</f>
        <v>19206</v>
      </c>
      <c r="C34" s="1">
        <f t="shared" si="0"/>
        <v>2245</v>
      </c>
      <c r="D34" s="1">
        <f t="shared" si="0"/>
        <v>665</v>
      </c>
      <c r="E34" s="1">
        <f t="shared" si="0"/>
        <v>1473</v>
      </c>
      <c r="F34" s="1">
        <f t="shared" si="0"/>
        <v>2209</v>
      </c>
      <c r="G34" s="1">
        <f t="shared" si="0"/>
        <v>5386</v>
      </c>
      <c r="H34" s="66"/>
      <c r="I34" s="62">
        <f>COUNTA(I2:I32)</f>
        <v>31</v>
      </c>
      <c r="J34" s="59"/>
      <c r="K34" s="59">
        <f>SUM(K2:K32)</f>
        <v>981</v>
      </c>
      <c r="L34" s="60"/>
      <c r="M34" s="60"/>
      <c r="N34" s="60"/>
      <c r="O34" s="59"/>
      <c r="P34" s="59"/>
      <c r="Q34" s="59"/>
      <c r="R34" s="59"/>
      <c r="S34" s="59"/>
      <c r="T34" s="59"/>
    </row>
    <row r="35" spans="1:20" ht="15.75" customHeight="1">
      <c r="A35" s="1" t="s">
        <v>17</v>
      </c>
      <c r="B35" s="1">
        <f t="shared" ref="B35:G35" si="1">B34/$I$34</f>
        <v>619.54838709677415</v>
      </c>
      <c r="C35" s="1">
        <f t="shared" si="1"/>
        <v>72.41935483870968</v>
      </c>
      <c r="D35" s="1">
        <f t="shared" si="1"/>
        <v>21.451612903225808</v>
      </c>
      <c r="E35" s="1">
        <f t="shared" si="1"/>
        <v>47.516129032258064</v>
      </c>
      <c r="F35" s="1">
        <f t="shared" si="1"/>
        <v>71.258064516129039</v>
      </c>
      <c r="G35" s="1">
        <f t="shared" si="1"/>
        <v>173.74193548387098</v>
      </c>
    </row>
    <row r="36" spans="1:20" ht="15.75" customHeight="1">
      <c r="A36" s="1" t="s">
        <v>58</v>
      </c>
      <c r="B36" s="1">
        <f t="shared" ref="B36:G36" si="2">B34/$K$34</f>
        <v>19.577981651376145</v>
      </c>
      <c r="C36" s="1">
        <f t="shared" si="2"/>
        <v>2.2884811416921509</v>
      </c>
      <c r="D36" s="1">
        <f t="shared" si="2"/>
        <v>0.67787971457696228</v>
      </c>
      <c r="E36" s="1">
        <f t="shared" si="2"/>
        <v>1.5015290519877675</v>
      </c>
      <c r="F36" s="1">
        <f t="shared" si="2"/>
        <v>2.2517838939857286</v>
      </c>
      <c r="G36" s="1">
        <f t="shared" si="2"/>
        <v>5.4903160040774717</v>
      </c>
      <c r="H36" s="1" t="s">
        <v>262</v>
      </c>
      <c r="I36" s="1">
        <f>K34/I34</f>
        <v>31.64516129032258</v>
      </c>
    </row>
    <row r="37" spans="1:20" ht="15.75" customHeight="1">
      <c r="A37" s="1" t="s">
        <v>264</v>
      </c>
      <c r="B37" s="1">
        <f t="shared" ref="B37:G37" si="3">MAX(B2:B32)</f>
        <v>878</v>
      </c>
      <c r="C37" s="1">
        <f t="shared" si="3"/>
        <v>107</v>
      </c>
      <c r="D37" s="1">
        <f t="shared" si="3"/>
        <v>25</v>
      </c>
      <c r="E37" s="1">
        <f t="shared" si="3"/>
        <v>55</v>
      </c>
      <c r="F37" s="1">
        <f t="shared" si="3"/>
        <v>86</v>
      </c>
      <c r="G37" s="1">
        <f t="shared" si="3"/>
        <v>242</v>
      </c>
    </row>
    <row r="38" spans="1:20" ht="15.75" customHeight="1">
      <c r="A38" s="34" t="s">
        <v>265</v>
      </c>
      <c r="B38" s="41">
        <f t="shared" ref="B38:G38" si="4">STDEV(B2:B32)</f>
        <v>157.03350782761356</v>
      </c>
      <c r="C38" s="41">
        <f t="shared" si="4"/>
        <v>20.774622649679092</v>
      </c>
      <c r="D38" s="41">
        <f t="shared" si="4"/>
        <v>1.6296975113482324</v>
      </c>
      <c r="E38" s="41">
        <f t="shared" si="4"/>
        <v>3.6043581744136319</v>
      </c>
      <c r="F38" s="41">
        <f t="shared" si="4"/>
        <v>5.7327581606964948</v>
      </c>
      <c r="G38" s="41">
        <f t="shared" si="4"/>
        <v>45.977507357355698</v>
      </c>
    </row>
    <row r="39" spans="1:20" ht="15.75" customHeight="1">
      <c r="A39" s="34"/>
      <c r="B39" s="41"/>
      <c r="C39" s="41"/>
      <c r="D39" s="34"/>
      <c r="E39" s="41"/>
      <c r="F39" s="41"/>
    </row>
    <row r="40" spans="1:20" ht="15.75" customHeight="1">
      <c r="A40" s="34"/>
      <c r="B40" s="41"/>
      <c r="C40" s="41"/>
      <c r="D40" s="34"/>
      <c r="E40" s="41"/>
      <c r="F40" s="41"/>
    </row>
    <row r="41" spans="1:20" ht="15.75" customHeight="1">
      <c r="A41" s="34"/>
      <c r="B41" s="41"/>
      <c r="C41" s="41"/>
      <c r="D41" s="34"/>
      <c r="E41" s="41"/>
      <c r="F41" s="41"/>
    </row>
    <row r="42" spans="1:20" ht="15.75" customHeight="1">
      <c r="A42" s="34"/>
      <c r="B42" s="41"/>
      <c r="C42" s="41"/>
      <c r="D42" s="34"/>
      <c r="E42" s="41"/>
      <c r="F42" s="41"/>
    </row>
    <row r="43" spans="1:20" ht="15.75" customHeight="1">
      <c r="A43" s="34"/>
      <c r="B43" s="41"/>
      <c r="C43" s="41"/>
      <c r="D43" s="34"/>
      <c r="E43" s="41"/>
      <c r="F43" s="41"/>
    </row>
    <row r="44" spans="1:20" ht="15.75" customHeight="1">
      <c r="A44" s="34"/>
      <c r="B44" s="41"/>
      <c r="C44" s="41"/>
      <c r="D44" s="34"/>
      <c r="E44" s="41"/>
      <c r="F44" s="41"/>
    </row>
    <row r="45" spans="1:20" ht="15.75" customHeight="1">
      <c r="A45" s="34"/>
      <c r="B45" s="41"/>
      <c r="C45" s="41"/>
      <c r="D45" s="34"/>
      <c r="E45" s="41"/>
      <c r="F45" s="41"/>
    </row>
    <row r="46" spans="1:20" ht="15.75" customHeight="1">
      <c r="A46" s="34"/>
      <c r="B46" s="41"/>
      <c r="C46" s="41"/>
      <c r="D46" s="34"/>
      <c r="E46" s="41"/>
      <c r="F46" s="41"/>
    </row>
    <row r="47" spans="1:20" ht="15.75" customHeight="1">
      <c r="A47" s="34"/>
      <c r="B47" s="41"/>
      <c r="C47" s="41"/>
      <c r="D47" s="34"/>
      <c r="E47" s="41"/>
      <c r="F47" s="41"/>
    </row>
    <row r="48" spans="1:20" ht="15.75" customHeight="1">
      <c r="A48" s="34"/>
      <c r="B48" s="41"/>
      <c r="C48" s="41"/>
      <c r="D48" s="34"/>
      <c r="E48" s="41"/>
      <c r="F48" s="41"/>
    </row>
    <row r="49" spans="1:6" ht="15.75" customHeight="1">
      <c r="A49" s="34"/>
      <c r="B49" s="41"/>
      <c r="C49" s="41"/>
      <c r="D49" s="34"/>
      <c r="E49" s="41"/>
      <c r="F49" s="41"/>
    </row>
    <row r="50" spans="1:6" ht="15.75" customHeight="1">
      <c r="A50" s="34"/>
      <c r="B50" s="41"/>
      <c r="C50" s="41"/>
      <c r="D50" s="34"/>
      <c r="E50" s="41"/>
      <c r="F50" s="41"/>
    </row>
    <row r="51" spans="1:6" ht="13">
      <c r="A51" s="34"/>
      <c r="B51" s="41"/>
      <c r="C51" s="41"/>
      <c r="D51" s="34"/>
      <c r="E51" s="41"/>
      <c r="F51" s="41"/>
    </row>
    <row r="52" spans="1:6" ht="13">
      <c r="A52" s="34"/>
      <c r="B52" s="41"/>
      <c r="C52" s="41"/>
      <c r="D52" s="34"/>
      <c r="E52" s="41"/>
      <c r="F52" s="41"/>
    </row>
    <row r="53" spans="1:6" ht="13">
      <c r="A53" s="34"/>
      <c r="B53" s="41"/>
      <c r="C53" s="41"/>
      <c r="D53" s="34"/>
      <c r="E53" s="41"/>
      <c r="F53" s="41"/>
    </row>
    <row r="54" spans="1:6" ht="13">
      <c r="A54" s="34"/>
      <c r="B54" s="41"/>
      <c r="C54" s="41"/>
      <c r="D54" s="34"/>
      <c r="E54" s="41"/>
      <c r="F54" s="41"/>
    </row>
    <row r="55" spans="1:6" ht="13">
      <c r="A55" s="34"/>
      <c r="B55" s="41"/>
      <c r="C55" s="41"/>
      <c r="D55" s="34"/>
      <c r="E55" s="41"/>
      <c r="F55" s="41"/>
    </row>
    <row r="56" spans="1:6" ht="13">
      <c r="A56" s="34"/>
      <c r="B56" s="41"/>
      <c r="C56" s="41"/>
      <c r="D56" s="34"/>
      <c r="E56" s="41"/>
      <c r="F56" s="41"/>
    </row>
    <row r="57" spans="1:6" ht="13">
      <c r="A57" s="34"/>
      <c r="B57" s="41"/>
      <c r="C57" s="41"/>
      <c r="D57" s="34"/>
      <c r="E57" s="41"/>
      <c r="F57" s="41"/>
    </row>
    <row r="58" spans="1:6" ht="13">
      <c r="A58" s="34"/>
      <c r="B58" s="41"/>
      <c r="C58" s="41"/>
      <c r="D58" s="34"/>
      <c r="E58" s="41"/>
      <c r="F58" s="41"/>
    </row>
    <row r="59" spans="1:6" ht="13">
      <c r="A59" s="34"/>
      <c r="B59" s="41"/>
      <c r="C59" s="41"/>
      <c r="D59" s="34"/>
      <c r="E59" s="41"/>
      <c r="F59" s="41"/>
    </row>
    <row r="60" spans="1:6" ht="13">
      <c r="A60" s="34"/>
      <c r="B60" s="41"/>
      <c r="C60" s="41"/>
      <c r="D60" s="34"/>
      <c r="E60" s="41"/>
      <c r="F60" s="41"/>
    </row>
    <row r="61" spans="1:6" ht="13">
      <c r="A61" s="34"/>
      <c r="B61" s="41"/>
      <c r="C61" s="41"/>
      <c r="D61" s="34"/>
      <c r="E61" s="41"/>
      <c r="F61" s="41"/>
    </row>
    <row r="62" spans="1:6" ht="13">
      <c r="A62" s="34"/>
      <c r="B62" s="41"/>
      <c r="C62" s="41"/>
      <c r="D62" s="34"/>
      <c r="E62" s="41"/>
      <c r="F62" s="41"/>
    </row>
    <row r="63" spans="1:6" ht="13">
      <c r="A63" s="34"/>
      <c r="B63" s="41"/>
      <c r="C63" s="41"/>
      <c r="D63" s="34"/>
      <c r="E63" s="41"/>
      <c r="F63" s="41"/>
    </row>
    <row r="64" spans="1:6" ht="13">
      <c r="A64" s="34"/>
      <c r="B64" s="41"/>
      <c r="C64" s="41"/>
      <c r="D64" s="34"/>
      <c r="E64" s="41"/>
      <c r="F64" s="41"/>
    </row>
    <row r="65" spans="1:6" ht="13">
      <c r="A65" s="34"/>
      <c r="B65" s="41"/>
      <c r="C65" s="41"/>
      <c r="D65" s="34"/>
      <c r="E65" s="41"/>
      <c r="F65" s="41"/>
    </row>
    <row r="66" spans="1:6" ht="13">
      <c r="A66" s="34"/>
      <c r="B66" s="41"/>
      <c r="C66" s="41"/>
      <c r="D66" s="34"/>
      <c r="E66" s="41"/>
      <c r="F66" s="41"/>
    </row>
    <row r="67" spans="1:6" ht="13">
      <c r="A67" s="34"/>
      <c r="B67" s="41"/>
      <c r="C67" s="41"/>
      <c r="D67" s="34"/>
      <c r="E67" s="41"/>
      <c r="F67" s="41"/>
    </row>
    <row r="68" spans="1:6" ht="13">
      <c r="A68" s="34"/>
      <c r="B68" s="41"/>
      <c r="C68" s="41"/>
      <c r="D68" s="34"/>
      <c r="E68" s="41"/>
      <c r="F68" s="41"/>
    </row>
    <row r="69" spans="1:6" ht="13">
      <c r="D69" s="34"/>
      <c r="E69" s="41"/>
    </row>
  </sheetData>
  <hyperlinks>
    <hyperlink ref="I2" r:id="rId1" xr:uid="{00000000-0004-0000-0E00-000000000000}"/>
    <hyperlink ref="I3" r:id="rId2" xr:uid="{00000000-0004-0000-0E00-000001000000}"/>
    <hyperlink ref="I4" r:id="rId3" xr:uid="{00000000-0004-0000-0E00-000002000000}"/>
    <hyperlink ref="I5" r:id="rId4" xr:uid="{00000000-0004-0000-0E00-000003000000}"/>
    <hyperlink ref="I6" r:id="rId5" xr:uid="{00000000-0004-0000-0E00-000004000000}"/>
    <hyperlink ref="I7" r:id="rId6" xr:uid="{00000000-0004-0000-0E00-000005000000}"/>
    <hyperlink ref="I8" r:id="rId7" xr:uid="{00000000-0004-0000-0E00-000006000000}"/>
    <hyperlink ref="I9" r:id="rId8" xr:uid="{00000000-0004-0000-0E00-000007000000}"/>
    <hyperlink ref="I10" r:id="rId9" xr:uid="{00000000-0004-0000-0E00-000008000000}"/>
    <hyperlink ref="I11" r:id="rId10" xr:uid="{00000000-0004-0000-0E00-000009000000}"/>
    <hyperlink ref="I12" r:id="rId11" xr:uid="{00000000-0004-0000-0E00-00000A000000}"/>
    <hyperlink ref="I13" r:id="rId12" xr:uid="{00000000-0004-0000-0E00-00000B000000}"/>
    <hyperlink ref="I14" r:id="rId13" xr:uid="{00000000-0004-0000-0E00-00000C000000}"/>
    <hyperlink ref="I15" r:id="rId14" xr:uid="{00000000-0004-0000-0E00-00000D000000}"/>
    <hyperlink ref="I16" r:id="rId15" xr:uid="{00000000-0004-0000-0E00-00000E000000}"/>
    <hyperlink ref="I17" r:id="rId16" xr:uid="{00000000-0004-0000-0E00-00000F000000}"/>
    <hyperlink ref="I18" r:id="rId17" xr:uid="{00000000-0004-0000-0E00-000010000000}"/>
    <hyperlink ref="I19" r:id="rId18" xr:uid="{00000000-0004-0000-0E00-000011000000}"/>
    <hyperlink ref="I20" r:id="rId19" xr:uid="{00000000-0004-0000-0E00-000012000000}"/>
    <hyperlink ref="I21" r:id="rId20" xr:uid="{00000000-0004-0000-0E00-000013000000}"/>
    <hyperlink ref="I22" r:id="rId21" xr:uid="{00000000-0004-0000-0E00-000014000000}"/>
    <hyperlink ref="I23" r:id="rId22" xr:uid="{00000000-0004-0000-0E00-000015000000}"/>
    <hyperlink ref="I24" r:id="rId23" xr:uid="{00000000-0004-0000-0E00-000016000000}"/>
    <hyperlink ref="I25" r:id="rId24" xr:uid="{00000000-0004-0000-0E00-000017000000}"/>
    <hyperlink ref="I26" r:id="rId25" xr:uid="{00000000-0004-0000-0E00-000018000000}"/>
    <hyperlink ref="I27" r:id="rId26" xr:uid="{00000000-0004-0000-0E00-000019000000}"/>
    <hyperlink ref="I28" r:id="rId27" xr:uid="{00000000-0004-0000-0E00-00001A000000}"/>
    <hyperlink ref="I29" r:id="rId28" xr:uid="{00000000-0004-0000-0E00-00001B000000}"/>
    <hyperlink ref="I30" r:id="rId29" xr:uid="{00000000-0004-0000-0E00-00001C000000}"/>
    <hyperlink ref="I31" r:id="rId30" xr:uid="{00000000-0004-0000-0E00-00001D000000}"/>
    <hyperlink ref="I32" r:id="rId31" xr:uid="{00000000-0004-0000-0E00-00001E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T72"/>
  <sheetViews>
    <sheetView workbookViewId="0">
      <selection activeCell="B3" sqref="B3"/>
    </sheetView>
  </sheetViews>
  <sheetFormatPr baseColWidth="10" defaultColWidth="12.6640625" defaultRowHeight="15.75" customHeight="1"/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1" t="s">
        <v>9</v>
      </c>
      <c r="H1" s="1"/>
      <c r="I1" s="62"/>
      <c r="J1" s="51" t="s">
        <v>228</v>
      </c>
      <c r="K1" s="51" t="s">
        <v>229</v>
      </c>
      <c r="L1" s="51"/>
      <c r="M1" s="51"/>
      <c r="N1" s="51"/>
      <c r="O1" s="51"/>
      <c r="P1" s="51"/>
      <c r="Q1" s="51"/>
      <c r="R1" s="51"/>
      <c r="S1" s="51"/>
      <c r="T1" s="51"/>
    </row>
    <row r="2" spans="1:20" ht="15.75" customHeight="1">
      <c r="A2" s="34" t="s">
        <v>112</v>
      </c>
      <c r="B2" s="41">
        <v>72</v>
      </c>
      <c r="C2" s="41">
        <v>7</v>
      </c>
      <c r="D2" s="41">
        <v>16</v>
      </c>
      <c r="E2" s="41">
        <v>35</v>
      </c>
      <c r="F2" s="41">
        <v>51</v>
      </c>
      <c r="G2" s="41">
        <v>11</v>
      </c>
      <c r="H2" s="61">
        <v>45600</v>
      </c>
      <c r="I2" s="63" t="s">
        <v>387</v>
      </c>
      <c r="J2" s="51">
        <v>0</v>
      </c>
      <c r="K2" s="51">
        <v>3</v>
      </c>
      <c r="L2" s="51"/>
      <c r="M2" s="51"/>
      <c r="N2" s="51"/>
      <c r="O2" s="51"/>
      <c r="P2" s="51"/>
      <c r="Q2" s="51"/>
      <c r="R2" s="51"/>
      <c r="S2" s="51"/>
      <c r="T2" s="51">
        <v>0</v>
      </c>
    </row>
    <row r="3" spans="1:20" ht="15.75" customHeight="1">
      <c r="A3" s="34" t="s">
        <v>113</v>
      </c>
      <c r="B3" s="41">
        <v>219</v>
      </c>
      <c r="C3" s="41">
        <v>45</v>
      </c>
      <c r="D3" s="41">
        <v>17</v>
      </c>
      <c r="E3" s="41">
        <v>33</v>
      </c>
      <c r="F3" s="41">
        <v>53</v>
      </c>
      <c r="G3" s="41">
        <v>29</v>
      </c>
      <c r="H3" s="61">
        <v>45603</v>
      </c>
      <c r="I3" s="63" t="s">
        <v>388</v>
      </c>
      <c r="J3" s="51">
        <v>8</v>
      </c>
      <c r="K3" s="51">
        <v>10</v>
      </c>
      <c r="L3" s="54"/>
      <c r="M3" s="51"/>
      <c r="N3" s="54"/>
      <c r="O3" s="51"/>
      <c r="P3" s="51"/>
      <c r="Q3" s="51"/>
      <c r="R3" s="51"/>
      <c r="S3" s="51"/>
      <c r="T3" s="51">
        <v>0</v>
      </c>
    </row>
    <row r="4" spans="1:20" ht="15.75" customHeight="1">
      <c r="A4" s="34" t="s">
        <v>114</v>
      </c>
      <c r="B4" s="41">
        <v>141</v>
      </c>
      <c r="C4" s="41">
        <v>19</v>
      </c>
      <c r="D4" s="41">
        <v>15</v>
      </c>
      <c r="E4" s="41">
        <v>33</v>
      </c>
      <c r="F4" s="41">
        <v>51</v>
      </c>
      <c r="G4" s="41">
        <v>25</v>
      </c>
      <c r="H4" s="61">
        <v>45605</v>
      </c>
      <c r="I4" s="63" t="s">
        <v>389</v>
      </c>
      <c r="J4" s="51">
        <v>2</v>
      </c>
      <c r="K4" s="51">
        <v>11</v>
      </c>
      <c r="L4" s="51"/>
      <c r="M4" s="51"/>
      <c r="N4" s="54"/>
      <c r="O4" s="51"/>
      <c r="P4" s="51"/>
      <c r="Q4" s="51"/>
      <c r="R4" s="51"/>
      <c r="S4" s="51"/>
      <c r="T4" s="51">
        <v>3</v>
      </c>
    </row>
    <row r="5" spans="1:20" ht="15.75" customHeight="1">
      <c r="A5" s="34" t="s">
        <v>115</v>
      </c>
      <c r="B5" s="41">
        <v>184</v>
      </c>
      <c r="C5" s="41">
        <v>13</v>
      </c>
      <c r="D5" s="41">
        <v>17</v>
      </c>
      <c r="E5" s="41">
        <v>27</v>
      </c>
      <c r="F5" s="41">
        <v>43</v>
      </c>
      <c r="G5" s="41">
        <v>5</v>
      </c>
      <c r="H5" s="64">
        <v>45610</v>
      </c>
      <c r="I5" s="63" t="s">
        <v>390</v>
      </c>
      <c r="J5" s="51">
        <v>0</v>
      </c>
      <c r="K5" s="51">
        <v>1</v>
      </c>
      <c r="L5" s="51"/>
      <c r="M5" s="51"/>
      <c r="N5" s="51"/>
      <c r="O5" s="51"/>
      <c r="P5" s="51"/>
      <c r="Q5" s="51"/>
      <c r="R5" s="51"/>
      <c r="S5" s="51"/>
      <c r="T5" s="51">
        <v>0</v>
      </c>
    </row>
    <row r="6" spans="1:20" ht="15.75" customHeight="1">
      <c r="A6" s="34" t="s">
        <v>116</v>
      </c>
      <c r="B6" s="41">
        <v>197</v>
      </c>
      <c r="C6" s="41">
        <v>44</v>
      </c>
      <c r="D6" s="41">
        <v>16</v>
      </c>
      <c r="E6" s="41">
        <v>34</v>
      </c>
      <c r="F6" s="41">
        <v>48</v>
      </c>
      <c r="G6" s="41">
        <v>36</v>
      </c>
      <c r="H6" s="64">
        <v>45616</v>
      </c>
      <c r="I6" s="63" t="s">
        <v>391</v>
      </c>
      <c r="J6" s="51">
        <v>11</v>
      </c>
      <c r="K6" s="51">
        <v>11</v>
      </c>
      <c r="L6" s="54"/>
      <c r="M6" s="51"/>
      <c r="N6" s="54"/>
      <c r="O6" s="51"/>
      <c r="P6" s="51"/>
      <c r="Q6" s="51"/>
      <c r="R6" s="51"/>
      <c r="S6" s="51"/>
      <c r="T6" s="51">
        <v>4</v>
      </c>
    </row>
    <row r="7" spans="1:20" ht="15.75" customHeight="1">
      <c r="A7" s="34" t="s">
        <v>117</v>
      </c>
      <c r="B7" s="41">
        <v>154</v>
      </c>
      <c r="C7" s="41">
        <v>20</v>
      </c>
      <c r="D7" s="41">
        <v>16</v>
      </c>
      <c r="E7" s="41">
        <v>40</v>
      </c>
      <c r="F7" s="41">
        <v>58</v>
      </c>
      <c r="G7" s="41">
        <v>36</v>
      </c>
      <c r="H7" s="64">
        <v>45618</v>
      </c>
      <c r="I7" s="63" t="s">
        <v>392</v>
      </c>
      <c r="J7" s="51">
        <v>0</v>
      </c>
      <c r="K7" s="51">
        <v>8</v>
      </c>
      <c r="L7" s="51"/>
      <c r="M7" s="51"/>
      <c r="N7" s="51"/>
      <c r="O7" s="51"/>
      <c r="P7" s="51"/>
      <c r="Q7" s="51"/>
      <c r="R7" s="51"/>
      <c r="S7" s="51"/>
      <c r="T7" s="51">
        <v>2</v>
      </c>
    </row>
    <row r="8" spans="1:20" ht="15.75" customHeight="1">
      <c r="A8" s="34" t="s">
        <v>118</v>
      </c>
      <c r="B8" s="41">
        <v>271</v>
      </c>
      <c r="C8" s="41">
        <v>32</v>
      </c>
      <c r="D8" s="41">
        <v>23</v>
      </c>
      <c r="E8" s="41">
        <v>31</v>
      </c>
      <c r="F8" s="41">
        <v>49</v>
      </c>
      <c r="G8" s="41">
        <v>58</v>
      </c>
      <c r="H8" s="64">
        <v>45622</v>
      </c>
      <c r="I8" s="63" t="s">
        <v>393</v>
      </c>
      <c r="J8" s="51">
        <v>4</v>
      </c>
      <c r="K8" s="51">
        <v>15</v>
      </c>
      <c r="L8" s="54"/>
      <c r="M8" s="51"/>
      <c r="N8" s="51"/>
      <c r="O8" s="51"/>
      <c r="P8" s="51"/>
      <c r="Q8" s="51"/>
      <c r="R8" s="51"/>
      <c r="S8" s="51"/>
      <c r="T8" s="51">
        <v>3</v>
      </c>
    </row>
    <row r="9" spans="1:20" ht="15.75" customHeight="1">
      <c r="A9" s="34" t="s">
        <v>119</v>
      </c>
      <c r="B9" s="41">
        <v>142</v>
      </c>
      <c r="C9" s="41">
        <v>23</v>
      </c>
      <c r="D9" s="41">
        <v>20</v>
      </c>
      <c r="E9" s="41">
        <v>44</v>
      </c>
      <c r="F9" s="41">
        <v>57</v>
      </c>
      <c r="G9" s="41">
        <v>29</v>
      </c>
      <c r="H9" s="64">
        <v>45623</v>
      </c>
      <c r="I9" s="63" t="s">
        <v>394</v>
      </c>
      <c r="J9" s="51">
        <v>0</v>
      </c>
      <c r="K9" s="51">
        <v>8</v>
      </c>
      <c r="L9" s="51"/>
      <c r="M9" s="51"/>
      <c r="N9" s="51"/>
      <c r="O9" s="51"/>
      <c r="P9" s="51"/>
      <c r="Q9" s="51"/>
      <c r="R9" s="51"/>
      <c r="S9" s="51"/>
      <c r="T9" s="51">
        <v>0</v>
      </c>
    </row>
    <row r="10" spans="1:20" ht="15.75" customHeight="1">
      <c r="A10" s="34" t="s">
        <v>120</v>
      </c>
      <c r="B10" s="41">
        <v>185</v>
      </c>
      <c r="C10" s="41">
        <v>24</v>
      </c>
      <c r="D10" s="41">
        <v>18</v>
      </c>
      <c r="E10" s="41">
        <v>39</v>
      </c>
      <c r="F10" s="41">
        <v>58</v>
      </c>
      <c r="G10" s="41">
        <v>33</v>
      </c>
      <c r="H10" s="61">
        <v>45631</v>
      </c>
      <c r="I10" s="63" t="s">
        <v>395</v>
      </c>
      <c r="J10" s="51">
        <v>2</v>
      </c>
      <c r="K10" s="51">
        <v>11</v>
      </c>
      <c r="L10" s="54"/>
      <c r="M10" s="51"/>
      <c r="N10" s="51"/>
      <c r="O10" s="51"/>
      <c r="P10" s="51"/>
      <c r="Q10" s="51"/>
      <c r="R10" s="51"/>
      <c r="S10" s="51"/>
      <c r="T10" s="51">
        <v>2</v>
      </c>
    </row>
    <row r="11" spans="1:20" ht="15.75" customHeight="1">
      <c r="A11" s="34" t="s">
        <v>121</v>
      </c>
      <c r="B11" s="41">
        <v>244</v>
      </c>
      <c r="C11" s="41">
        <v>38</v>
      </c>
      <c r="D11" s="41">
        <v>17</v>
      </c>
      <c r="E11" s="41">
        <v>38</v>
      </c>
      <c r="F11" s="41">
        <v>48</v>
      </c>
      <c r="G11" s="41">
        <v>39</v>
      </c>
      <c r="H11" s="61">
        <v>45633</v>
      </c>
      <c r="I11" s="63" t="s">
        <v>396</v>
      </c>
      <c r="J11" s="51">
        <v>0</v>
      </c>
      <c r="K11" s="51">
        <v>13</v>
      </c>
      <c r="L11" s="51"/>
      <c r="M11" s="51"/>
      <c r="N11" s="51"/>
      <c r="O11" s="51"/>
      <c r="P11" s="51"/>
      <c r="Q11" s="51"/>
      <c r="R11" s="51"/>
      <c r="S11" s="51"/>
      <c r="T11" s="51">
        <v>1</v>
      </c>
    </row>
    <row r="12" spans="1:20" ht="15.75" customHeight="1">
      <c r="A12" s="34" t="s">
        <v>122</v>
      </c>
      <c r="B12" s="41">
        <v>42</v>
      </c>
      <c r="C12" s="41">
        <v>8</v>
      </c>
      <c r="D12" s="41">
        <v>19</v>
      </c>
      <c r="E12" s="41">
        <v>5</v>
      </c>
      <c r="F12" s="41">
        <v>6</v>
      </c>
      <c r="G12" s="41">
        <v>10</v>
      </c>
      <c r="H12" s="64">
        <v>45639</v>
      </c>
      <c r="I12" s="63" t="s">
        <v>397</v>
      </c>
      <c r="J12" s="51">
        <v>0</v>
      </c>
      <c r="K12" s="51">
        <v>2</v>
      </c>
      <c r="L12" s="51"/>
      <c r="M12" s="51"/>
      <c r="N12" s="51"/>
      <c r="O12" s="51"/>
      <c r="P12" s="51"/>
      <c r="Q12" s="51"/>
      <c r="R12" s="51"/>
      <c r="S12" s="51"/>
      <c r="T12" s="51">
        <v>0</v>
      </c>
    </row>
    <row r="13" spans="1:20" ht="15.75" customHeight="1">
      <c r="A13" s="34" t="s">
        <v>124</v>
      </c>
      <c r="B13" s="41">
        <v>245</v>
      </c>
      <c r="C13" s="41">
        <v>47</v>
      </c>
      <c r="D13" s="41">
        <v>16</v>
      </c>
      <c r="E13" s="41">
        <v>37</v>
      </c>
      <c r="F13" s="41">
        <v>56</v>
      </c>
      <c r="G13" s="41">
        <v>41</v>
      </c>
      <c r="H13" s="64">
        <v>45647</v>
      </c>
      <c r="I13" s="63" t="s">
        <v>398</v>
      </c>
      <c r="J13" s="51">
        <v>6</v>
      </c>
      <c r="K13" s="51">
        <v>15</v>
      </c>
      <c r="L13" s="54"/>
      <c r="M13" s="51"/>
      <c r="N13" s="54"/>
      <c r="O13" s="51"/>
      <c r="P13" s="51"/>
      <c r="Q13" s="51"/>
      <c r="R13" s="51"/>
      <c r="S13" s="51"/>
      <c r="T13" s="51">
        <v>2</v>
      </c>
    </row>
    <row r="14" spans="1:20" ht="15.75" customHeight="1">
      <c r="A14" s="34" t="s">
        <v>125</v>
      </c>
      <c r="B14" s="41">
        <v>407</v>
      </c>
      <c r="C14" s="41">
        <v>61</v>
      </c>
      <c r="D14" s="41">
        <v>19</v>
      </c>
      <c r="E14" s="41">
        <v>40</v>
      </c>
      <c r="F14" s="41">
        <v>61</v>
      </c>
      <c r="G14" s="41">
        <v>36</v>
      </c>
      <c r="H14" s="64">
        <v>45648</v>
      </c>
      <c r="I14" s="63" t="s">
        <v>399</v>
      </c>
      <c r="J14" s="51">
        <v>6</v>
      </c>
      <c r="K14" s="51">
        <v>13</v>
      </c>
      <c r="L14" s="54"/>
      <c r="M14" s="51"/>
      <c r="N14" s="51"/>
      <c r="O14" s="51"/>
      <c r="P14" s="51"/>
      <c r="Q14" s="51"/>
      <c r="R14" s="51"/>
      <c r="S14" s="51"/>
      <c r="T14" s="51">
        <v>2</v>
      </c>
    </row>
    <row r="15" spans="1:20" ht="15.75" customHeight="1">
      <c r="A15" s="34" t="s">
        <v>126</v>
      </c>
      <c r="B15" s="41">
        <v>47</v>
      </c>
      <c r="C15" s="41">
        <v>3</v>
      </c>
      <c r="D15" s="41">
        <v>18</v>
      </c>
      <c r="E15" s="41">
        <v>44</v>
      </c>
      <c r="F15" s="41" t="s">
        <v>308</v>
      </c>
      <c r="G15" s="41">
        <v>10</v>
      </c>
      <c r="H15" s="61">
        <v>45659</v>
      </c>
      <c r="I15" s="63" t="s">
        <v>400</v>
      </c>
      <c r="J15" s="51">
        <v>0</v>
      </c>
      <c r="K15" s="51">
        <v>3</v>
      </c>
      <c r="L15" s="54"/>
      <c r="M15" s="51"/>
      <c r="N15" s="54"/>
      <c r="O15" s="51"/>
      <c r="P15" s="51"/>
      <c r="Q15" s="51"/>
      <c r="R15" s="51"/>
      <c r="S15" s="51"/>
      <c r="T15" s="51">
        <v>0</v>
      </c>
    </row>
    <row r="16" spans="1:20" ht="15.75" customHeight="1">
      <c r="A16" s="34" t="s">
        <v>127</v>
      </c>
      <c r="B16" s="41">
        <v>150</v>
      </c>
      <c r="C16" s="41">
        <v>25</v>
      </c>
      <c r="D16" s="41">
        <v>18</v>
      </c>
      <c r="E16" s="41">
        <v>34</v>
      </c>
      <c r="F16" s="41" t="s">
        <v>308</v>
      </c>
      <c r="G16" s="41">
        <v>29</v>
      </c>
      <c r="H16" s="61">
        <v>45662</v>
      </c>
      <c r="I16" s="63" t="s">
        <v>401</v>
      </c>
      <c r="J16" s="51">
        <v>2</v>
      </c>
      <c r="K16" s="51">
        <v>9</v>
      </c>
      <c r="L16" s="51"/>
      <c r="M16" s="51"/>
      <c r="N16" s="51"/>
      <c r="O16" s="51"/>
      <c r="P16" s="51"/>
      <c r="Q16" s="51"/>
      <c r="R16" s="51"/>
      <c r="S16" s="51"/>
      <c r="T16" s="51">
        <v>2</v>
      </c>
    </row>
    <row r="17" spans="1:20" ht="15.75" customHeight="1">
      <c r="A17" s="34" t="s">
        <v>128</v>
      </c>
      <c r="B17" s="41">
        <v>326</v>
      </c>
      <c r="C17" s="41">
        <v>39</v>
      </c>
      <c r="D17" s="41">
        <v>18</v>
      </c>
      <c r="E17" s="41">
        <v>45</v>
      </c>
      <c r="F17" s="41">
        <v>63</v>
      </c>
      <c r="G17" s="41">
        <v>52</v>
      </c>
      <c r="H17" s="61">
        <v>45666</v>
      </c>
      <c r="I17" s="63" t="s">
        <v>402</v>
      </c>
      <c r="J17" s="51">
        <v>4</v>
      </c>
      <c r="K17" s="51">
        <v>16</v>
      </c>
      <c r="L17" s="54"/>
      <c r="M17" s="51"/>
      <c r="N17" s="51"/>
      <c r="O17" s="51"/>
      <c r="P17" s="51"/>
      <c r="Q17" s="51"/>
      <c r="R17" s="51"/>
      <c r="S17" s="51"/>
      <c r="T17" s="51">
        <v>2</v>
      </c>
    </row>
    <row r="18" spans="1:20" ht="15.75" customHeight="1">
      <c r="A18" s="34" t="s">
        <v>129</v>
      </c>
      <c r="B18" s="41">
        <v>305</v>
      </c>
      <c r="C18" s="41">
        <v>36</v>
      </c>
      <c r="D18" s="41">
        <v>19</v>
      </c>
      <c r="E18" s="41">
        <v>46</v>
      </c>
      <c r="F18" s="41">
        <v>64</v>
      </c>
      <c r="G18" s="41">
        <v>46</v>
      </c>
      <c r="H18" s="61">
        <v>45669</v>
      </c>
      <c r="I18" s="63" t="s">
        <v>403</v>
      </c>
      <c r="J18" s="51">
        <v>4</v>
      </c>
      <c r="K18" s="51">
        <v>15</v>
      </c>
      <c r="L18" s="54"/>
      <c r="M18" s="51"/>
      <c r="N18" s="51"/>
      <c r="O18" s="51"/>
      <c r="P18" s="51"/>
      <c r="Q18" s="51"/>
      <c r="R18" s="51"/>
      <c r="S18" s="51"/>
      <c r="T18" s="51">
        <v>2</v>
      </c>
    </row>
    <row r="19" spans="1:20" ht="15.75" customHeight="1">
      <c r="A19" s="34" t="s">
        <v>130</v>
      </c>
      <c r="B19" s="41">
        <v>204</v>
      </c>
      <c r="C19" s="41">
        <v>38</v>
      </c>
      <c r="D19" s="41">
        <v>20</v>
      </c>
      <c r="E19" s="41">
        <v>41</v>
      </c>
      <c r="F19" s="41">
        <v>36</v>
      </c>
      <c r="G19" s="41">
        <v>40</v>
      </c>
      <c r="H19" s="61">
        <v>45673</v>
      </c>
      <c r="I19" s="63" t="s">
        <v>404</v>
      </c>
      <c r="J19" s="51">
        <v>4</v>
      </c>
      <c r="K19" s="51">
        <v>11</v>
      </c>
      <c r="L19" s="54"/>
      <c r="M19" s="51"/>
      <c r="N19" s="51"/>
      <c r="O19" s="51"/>
      <c r="P19" s="51"/>
      <c r="Q19" s="51"/>
      <c r="R19" s="51"/>
      <c r="S19" s="51"/>
      <c r="T19" s="51">
        <v>2</v>
      </c>
    </row>
    <row r="20" spans="1:20" ht="15.75" customHeight="1">
      <c r="A20" s="34" t="s">
        <v>131</v>
      </c>
      <c r="B20" s="41">
        <v>133</v>
      </c>
      <c r="C20" s="41">
        <v>21</v>
      </c>
      <c r="D20" s="41">
        <v>18</v>
      </c>
      <c r="E20" s="41">
        <v>41</v>
      </c>
      <c r="F20" s="41">
        <v>47</v>
      </c>
      <c r="G20" s="41">
        <v>30</v>
      </c>
      <c r="H20" s="61">
        <v>45676</v>
      </c>
      <c r="I20" s="63" t="s">
        <v>405</v>
      </c>
      <c r="J20" s="51">
        <v>2</v>
      </c>
      <c r="K20" s="51">
        <v>7</v>
      </c>
      <c r="L20" s="54"/>
      <c r="M20" s="51"/>
      <c r="N20" s="51"/>
      <c r="O20" s="51"/>
      <c r="P20" s="51"/>
      <c r="Q20" s="51"/>
      <c r="R20" s="51"/>
      <c r="S20" s="51"/>
      <c r="T20" s="51">
        <v>2</v>
      </c>
    </row>
    <row r="21" spans="1:20" ht="15.75" customHeight="1">
      <c r="A21" s="34" t="s">
        <v>315</v>
      </c>
      <c r="B21" s="41">
        <v>86</v>
      </c>
      <c r="C21" s="41">
        <v>19</v>
      </c>
      <c r="D21" s="41">
        <v>13</v>
      </c>
      <c r="E21" s="41">
        <v>22</v>
      </c>
      <c r="F21" s="41">
        <v>27</v>
      </c>
      <c r="G21" s="41">
        <v>8</v>
      </c>
      <c r="H21" s="61">
        <v>45680</v>
      </c>
      <c r="I21" s="63" t="s">
        <v>406</v>
      </c>
      <c r="J21" s="51">
        <v>2</v>
      </c>
      <c r="K21" s="51">
        <v>2</v>
      </c>
      <c r="L21" s="54"/>
      <c r="M21" s="51"/>
      <c r="N21" s="51"/>
      <c r="O21" s="51"/>
      <c r="P21" s="51"/>
      <c r="Q21" s="51"/>
      <c r="R21" s="51"/>
      <c r="S21" s="51"/>
      <c r="T21" s="51">
        <v>1</v>
      </c>
    </row>
    <row r="22" spans="1:20" ht="15.75" customHeight="1">
      <c r="A22" s="34" t="s">
        <v>132</v>
      </c>
      <c r="B22" s="41">
        <v>221</v>
      </c>
      <c r="C22" s="41">
        <v>30</v>
      </c>
      <c r="D22" s="41">
        <v>19</v>
      </c>
      <c r="E22" s="41">
        <v>38</v>
      </c>
      <c r="F22" s="41">
        <v>64</v>
      </c>
      <c r="G22" s="41">
        <v>44</v>
      </c>
      <c r="H22" s="61">
        <v>45687</v>
      </c>
      <c r="I22" s="63" t="s">
        <v>407</v>
      </c>
      <c r="J22" s="51">
        <v>0</v>
      </c>
      <c r="K22" s="51">
        <v>15</v>
      </c>
      <c r="L22" s="54"/>
      <c r="M22" s="51"/>
      <c r="N22" s="51"/>
      <c r="O22" s="51"/>
      <c r="P22" s="51"/>
      <c r="Q22" s="51"/>
      <c r="R22" s="51"/>
      <c r="S22" s="51"/>
      <c r="T22" s="51">
        <v>0</v>
      </c>
    </row>
    <row r="23" spans="1:20" ht="15.75" customHeight="1">
      <c r="A23" s="34" t="s">
        <v>134</v>
      </c>
      <c r="B23" s="41">
        <v>40</v>
      </c>
      <c r="C23" s="41">
        <v>6</v>
      </c>
      <c r="D23" s="41">
        <v>19</v>
      </c>
      <c r="E23" s="41">
        <v>39</v>
      </c>
      <c r="F23" s="41" t="s">
        <v>308</v>
      </c>
      <c r="G23" s="41">
        <v>6</v>
      </c>
      <c r="H23" s="61">
        <v>45694</v>
      </c>
      <c r="I23" s="63" t="s">
        <v>408</v>
      </c>
      <c r="J23" s="51">
        <v>0</v>
      </c>
      <c r="K23" s="51">
        <v>3</v>
      </c>
      <c r="L23" s="51"/>
      <c r="M23" s="51"/>
      <c r="N23" s="51"/>
      <c r="O23" s="51"/>
      <c r="P23" s="51"/>
      <c r="Q23" s="51"/>
      <c r="R23" s="51"/>
      <c r="S23" s="51"/>
      <c r="T23" s="51">
        <v>1</v>
      </c>
    </row>
    <row r="24" spans="1:20" ht="15.75" customHeight="1">
      <c r="A24" s="34" t="s">
        <v>136</v>
      </c>
      <c r="B24" s="41">
        <v>65</v>
      </c>
      <c r="C24" s="41">
        <v>8</v>
      </c>
      <c r="D24" s="41">
        <v>22</v>
      </c>
      <c r="E24" s="41" t="s">
        <v>308</v>
      </c>
      <c r="F24" s="41" t="s">
        <v>308</v>
      </c>
      <c r="G24" s="41">
        <v>21</v>
      </c>
      <c r="H24" s="61">
        <v>45697</v>
      </c>
      <c r="I24" s="63" t="s">
        <v>409</v>
      </c>
      <c r="J24" s="51">
        <v>0</v>
      </c>
      <c r="K24" s="51">
        <v>3</v>
      </c>
      <c r="L24" s="51"/>
      <c r="M24" s="51"/>
      <c r="N24" s="54"/>
      <c r="O24" s="51"/>
      <c r="P24" s="51"/>
      <c r="Q24" s="51"/>
      <c r="R24" s="51"/>
      <c r="S24" s="51"/>
      <c r="T24" s="51">
        <v>2</v>
      </c>
    </row>
    <row r="25" spans="1:20" ht="15.75" customHeight="1">
      <c r="A25" s="34" t="s">
        <v>137</v>
      </c>
      <c r="B25" s="41">
        <v>117</v>
      </c>
      <c r="C25" s="41">
        <v>7</v>
      </c>
      <c r="D25" s="41">
        <v>18</v>
      </c>
      <c r="E25" s="41">
        <v>21</v>
      </c>
      <c r="F25" s="41">
        <v>28</v>
      </c>
      <c r="G25" s="41">
        <v>6</v>
      </c>
      <c r="H25" s="61">
        <v>45701</v>
      </c>
      <c r="I25" s="63" t="s">
        <v>410</v>
      </c>
      <c r="J25" s="51">
        <v>0</v>
      </c>
      <c r="K25" s="51">
        <v>3</v>
      </c>
      <c r="L25" s="51"/>
      <c r="M25" s="51"/>
      <c r="N25" s="51"/>
      <c r="O25" s="51"/>
      <c r="P25" s="51"/>
      <c r="Q25" s="51"/>
      <c r="R25" s="51"/>
      <c r="S25" s="51"/>
      <c r="T25" s="51">
        <v>0</v>
      </c>
    </row>
    <row r="26" spans="1:20" ht="15.75" customHeight="1">
      <c r="A26" s="34" t="s">
        <v>138</v>
      </c>
      <c r="B26" s="41">
        <v>193</v>
      </c>
      <c r="C26" s="41">
        <v>27</v>
      </c>
      <c r="D26" s="41">
        <v>17</v>
      </c>
      <c r="E26" s="41">
        <v>39</v>
      </c>
      <c r="F26" s="41">
        <v>52</v>
      </c>
      <c r="G26" s="41">
        <v>46</v>
      </c>
      <c r="H26" s="61">
        <v>45704</v>
      </c>
      <c r="I26" s="63" t="s">
        <v>411</v>
      </c>
      <c r="J26" s="51">
        <v>3</v>
      </c>
      <c r="K26" s="51">
        <v>10</v>
      </c>
      <c r="L26" s="51"/>
      <c r="M26" s="51"/>
      <c r="N26" s="51"/>
      <c r="O26" s="51"/>
      <c r="P26" s="51"/>
      <c r="Q26" s="51"/>
      <c r="R26" s="51"/>
      <c r="S26" s="51"/>
      <c r="T26" s="51">
        <v>1</v>
      </c>
    </row>
    <row r="27" spans="1:20" ht="15.75" customHeight="1">
      <c r="A27" s="34" t="s">
        <v>139</v>
      </c>
      <c r="B27" s="41">
        <v>76</v>
      </c>
      <c r="C27" s="41">
        <v>14</v>
      </c>
      <c r="D27" s="41">
        <v>16</v>
      </c>
      <c r="E27" s="41">
        <v>37</v>
      </c>
      <c r="F27" s="41">
        <v>61</v>
      </c>
      <c r="G27" s="41">
        <v>7</v>
      </c>
      <c r="H27" s="61">
        <v>45708</v>
      </c>
      <c r="I27" s="63" t="s">
        <v>412</v>
      </c>
      <c r="J27" s="51">
        <v>2</v>
      </c>
      <c r="K27" s="51">
        <v>5</v>
      </c>
      <c r="L27" s="51"/>
      <c r="M27" s="51"/>
      <c r="N27" s="51"/>
      <c r="O27" s="51"/>
      <c r="P27" s="51"/>
      <c r="Q27" s="51"/>
      <c r="R27" s="51"/>
      <c r="S27" s="51"/>
      <c r="T27" s="51">
        <v>0</v>
      </c>
    </row>
    <row r="28" spans="1:20" ht="15.75" customHeight="1">
      <c r="A28" s="34" t="s">
        <v>140</v>
      </c>
      <c r="B28" s="41">
        <v>76</v>
      </c>
      <c r="C28" s="41">
        <v>8</v>
      </c>
      <c r="D28" s="41">
        <v>16</v>
      </c>
      <c r="E28" s="41">
        <v>32</v>
      </c>
      <c r="F28" s="41" t="s">
        <v>308</v>
      </c>
      <c r="G28" s="41">
        <v>6</v>
      </c>
      <c r="H28" s="61">
        <v>45711</v>
      </c>
      <c r="I28" s="63" t="s">
        <v>413</v>
      </c>
      <c r="J28" s="51">
        <v>2</v>
      </c>
      <c r="K28" s="51">
        <v>5</v>
      </c>
      <c r="L28" s="54"/>
      <c r="M28" s="51"/>
      <c r="N28" s="54"/>
      <c r="O28" s="51"/>
      <c r="P28" s="51"/>
      <c r="Q28" s="51"/>
      <c r="R28" s="51"/>
      <c r="S28" s="51"/>
      <c r="T28" s="51">
        <v>4</v>
      </c>
    </row>
    <row r="29" spans="1:20" ht="15.75" customHeight="1">
      <c r="A29" s="34" t="s">
        <v>142</v>
      </c>
      <c r="B29" s="41">
        <v>96</v>
      </c>
      <c r="C29" s="41">
        <v>15</v>
      </c>
      <c r="D29" s="41">
        <v>20</v>
      </c>
      <c r="E29" s="41">
        <v>41</v>
      </c>
      <c r="F29" s="41" t="s">
        <v>308</v>
      </c>
      <c r="G29" s="41">
        <v>17</v>
      </c>
      <c r="H29" s="61">
        <v>45715</v>
      </c>
      <c r="I29" s="63" t="s">
        <v>414</v>
      </c>
      <c r="J29" s="51">
        <v>3</v>
      </c>
      <c r="K29" s="51">
        <v>6</v>
      </c>
      <c r="L29" s="54"/>
      <c r="M29" s="51"/>
      <c r="N29" s="51"/>
      <c r="O29" s="51"/>
      <c r="P29" s="51"/>
      <c r="Q29" s="51"/>
      <c r="R29" s="51"/>
      <c r="S29" s="51"/>
      <c r="T29" s="51">
        <v>0</v>
      </c>
    </row>
    <row r="30" spans="1:20" ht="15.75" customHeight="1">
      <c r="A30" s="34" t="s">
        <v>143</v>
      </c>
      <c r="B30" s="41">
        <v>79</v>
      </c>
      <c r="C30" s="41">
        <v>9</v>
      </c>
      <c r="D30" s="41">
        <v>18</v>
      </c>
      <c r="E30" s="41">
        <v>39</v>
      </c>
      <c r="F30" s="41">
        <v>25</v>
      </c>
      <c r="G30" s="41">
        <v>16</v>
      </c>
      <c r="H30" s="61">
        <v>45718</v>
      </c>
      <c r="I30" s="63" t="s">
        <v>415</v>
      </c>
      <c r="J30" s="51">
        <v>0</v>
      </c>
      <c r="K30" s="51">
        <v>4</v>
      </c>
      <c r="L30" s="54"/>
      <c r="M30" s="51"/>
      <c r="N30" s="51"/>
      <c r="O30" s="51"/>
      <c r="P30" s="51"/>
      <c r="Q30" s="51"/>
      <c r="R30" s="51"/>
      <c r="S30" s="51"/>
      <c r="T30" s="51">
        <v>0</v>
      </c>
    </row>
    <row r="31" spans="1:20" ht="15.75" customHeight="1">
      <c r="A31" s="34" t="s">
        <v>139</v>
      </c>
      <c r="B31" s="41">
        <v>134</v>
      </c>
      <c r="C31" s="41">
        <v>20</v>
      </c>
      <c r="D31" s="41">
        <v>18</v>
      </c>
      <c r="E31" s="41">
        <v>33</v>
      </c>
      <c r="F31" s="41">
        <v>43</v>
      </c>
      <c r="G31" s="41">
        <v>16</v>
      </c>
      <c r="H31" s="61">
        <v>45722</v>
      </c>
      <c r="I31" s="63" t="s">
        <v>416</v>
      </c>
      <c r="J31" s="51">
        <v>2</v>
      </c>
      <c r="K31" s="51">
        <v>6</v>
      </c>
      <c r="L31" s="54"/>
      <c r="M31" s="51"/>
      <c r="N31" s="54"/>
      <c r="O31" s="51"/>
      <c r="P31" s="51"/>
      <c r="Q31" s="51"/>
      <c r="R31" s="51"/>
      <c r="S31" s="51"/>
      <c r="T31" s="51">
        <v>1</v>
      </c>
    </row>
    <row r="32" spans="1:20" ht="15.75" customHeight="1">
      <c r="A32" s="34" t="s">
        <v>136</v>
      </c>
      <c r="B32" s="41">
        <v>183</v>
      </c>
      <c r="C32" s="41">
        <v>34</v>
      </c>
      <c r="D32" s="41">
        <v>18</v>
      </c>
      <c r="E32" s="41">
        <v>37</v>
      </c>
      <c r="F32" s="41">
        <v>53</v>
      </c>
      <c r="G32" s="41">
        <v>33</v>
      </c>
      <c r="H32" s="66">
        <v>45723</v>
      </c>
      <c r="I32" s="63" t="s">
        <v>417</v>
      </c>
      <c r="J32" s="59">
        <v>0</v>
      </c>
      <c r="K32" s="59">
        <v>8</v>
      </c>
      <c r="L32" s="51"/>
      <c r="M32" s="51"/>
      <c r="N32" s="51"/>
      <c r="O32" s="51"/>
      <c r="P32" s="51"/>
      <c r="Q32" s="51"/>
      <c r="R32" s="51"/>
      <c r="S32" s="51"/>
      <c r="T32" s="51">
        <v>1</v>
      </c>
    </row>
    <row r="33" spans="1:20" ht="15.75" customHeight="1">
      <c r="L33" s="54"/>
      <c r="M33" s="51"/>
      <c r="N33" s="51"/>
      <c r="O33" s="51"/>
      <c r="P33" s="51"/>
      <c r="Q33" s="51"/>
      <c r="R33" s="51"/>
      <c r="S33" s="51"/>
      <c r="T33" s="51">
        <v>0</v>
      </c>
    </row>
    <row r="34" spans="1:20" ht="15.75" customHeight="1">
      <c r="A34" s="1" t="s">
        <v>355</v>
      </c>
      <c r="B34" s="1">
        <f t="shared" ref="B34:G34" si="0">SUM(B2:B32)</f>
        <v>5034</v>
      </c>
      <c r="C34" s="1">
        <f t="shared" si="0"/>
        <v>740</v>
      </c>
      <c r="D34" s="1">
        <f t="shared" si="0"/>
        <v>554</v>
      </c>
      <c r="E34" s="1">
        <f t="shared" si="0"/>
        <v>1065</v>
      </c>
      <c r="F34" s="1">
        <f t="shared" si="0"/>
        <v>1202</v>
      </c>
      <c r="G34" s="1">
        <f t="shared" si="0"/>
        <v>821</v>
      </c>
      <c r="I34" s="1">
        <f>COUNTA(I2:I32)</f>
        <v>31</v>
      </c>
      <c r="K34" s="1">
        <f>SUM(K2:K32)</f>
        <v>252</v>
      </c>
      <c r="L34" s="59"/>
      <c r="M34" s="59"/>
      <c r="N34" s="59"/>
      <c r="O34" s="59"/>
      <c r="P34" s="59"/>
      <c r="Q34" s="59"/>
      <c r="R34" s="59"/>
      <c r="S34" s="59"/>
      <c r="T34" s="59">
        <v>2</v>
      </c>
    </row>
    <row r="36" spans="1:20" ht="15.75" customHeight="1">
      <c r="A36" s="1" t="s">
        <v>418</v>
      </c>
      <c r="B36" s="1">
        <f t="shared" ref="B36:G36" si="1">B34/$I$34</f>
        <v>162.38709677419354</v>
      </c>
      <c r="C36" s="1">
        <f t="shared" si="1"/>
        <v>23.870967741935484</v>
      </c>
      <c r="D36" s="1">
        <f t="shared" si="1"/>
        <v>17.870967741935484</v>
      </c>
      <c r="E36" s="1">
        <f t="shared" si="1"/>
        <v>34.354838709677416</v>
      </c>
      <c r="F36" s="1">
        <f t="shared" si="1"/>
        <v>38.774193548387096</v>
      </c>
      <c r="G36" s="1">
        <f t="shared" si="1"/>
        <v>26.483870967741936</v>
      </c>
      <c r="J36" s="1" t="s">
        <v>19</v>
      </c>
      <c r="K36" s="1">
        <f>K34/I34</f>
        <v>8.129032258064516</v>
      </c>
    </row>
    <row r="37" spans="1:20" ht="15.75" customHeight="1">
      <c r="A37" s="1" t="s">
        <v>419</v>
      </c>
      <c r="B37" s="1">
        <f t="shared" ref="B37:G37" si="2">B34/$K$34</f>
        <v>19.976190476190474</v>
      </c>
      <c r="C37" s="1">
        <f t="shared" si="2"/>
        <v>2.9365079365079363</v>
      </c>
      <c r="D37" s="1">
        <f t="shared" si="2"/>
        <v>2.1984126984126986</v>
      </c>
      <c r="E37" s="1">
        <f t="shared" si="2"/>
        <v>4.2261904761904763</v>
      </c>
      <c r="F37" s="1">
        <f t="shared" si="2"/>
        <v>4.7698412698412698</v>
      </c>
      <c r="G37" s="1">
        <f t="shared" si="2"/>
        <v>3.2579365079365079</v>
      </c>
    </row>
    <row r="38" spans="1:20" ht="15.75" customHeight="1">
      <c r="A38" s="1" t="s">
        <v>264</v>
      </c>
      <c r="B38" s="1">
        <f t="shared" ref="B38:G38" si="3">MAX(B2:B32)</f>
        <v>407</v>
      </c>
      <c r="C38" s="1">
        <f t="shared" si="3"/>
        <v>61</v>
      </c>
      <c r="D38" s="1">
        <f t="shared" si="3"/>
        <v>23</v>
      </c>
      <c r="E38" s="1">
        <f t="shared" si="3"/>
        <v>46</v>
      </c>
      <c r="F38" s="1">
        <f t="shared" si="3"/>
        <v>64</v>
      </c>
      <c r="G38" s="1">
        <f t="shared" si="3"/>
        <v>58</v>
      </c>
    </row>
    <row r="39" spans="1:20" ht="15.75" customHeight="1">
      <c r="A39" s="1" t="s">
        <v>265</v>
      </c>
      <c r="B39" s="1">
        <f t="shared" ref="B39:G39" si="4">STDEV(B2:B32)</f>
        <v>89.726130500672184</v>
      </c>
      <c r="C39" s="1">
        <f t="shared" si="4"/>
        <v>14.650920188356478</v>
      </c>
      <c r="D39" s="1">
        <f t="shared" si="4"/>
        <v>1.9956942899464203</v>
      </c>
      <c r="E39" s="1">
        <f t="shared" si="4"/>
        <v>8.2952001077482276</v>
      </c>
      <c r="F39" s="1">
        <f t="shared" si="4"/>
        <v>14.191899097724725</v>
      </c>
      <c r="G39" s="1">
        <f t="shared" si="4"/>
        <v>15.511008924291881</v>
      </c>
    </row>
    <row r="40" spans="1:20" ht="15.75" customHeight="1">
      <c r="A40" s="34"/>
      <c r="B40" s="41"/>
      <c r="C40" s="41"/>
      <c r="D40" s="41"/>
      <c r="E40" s="41"/>
      <c r="F40" s="41"/>
      <c r="G40" s="41"/>
      <c r="H40" s="41"/>
    </row>
    <row r="41" spans="1:20" ht="15.75" customHeight="1">
      <c r="A41" s="34"/>
      <c r="B41" s="41"/>
      <c r="C41" s="41"/>
      <c r="D41" s="41"/>
      <c r="E41" s="41"/>
      <c r="F41" s="41"/>
      <c r="G41" s="41"/>
      <c r="H41" s="41"/>
    </row>
    <row r="42" spans="1:20" ht="15.75" customHeight="1">
      <c r="A42" s="34"/>
      <c r="B42" s="41"/>
      <c r="C42" s="41"/>
      <c r="D42" s="41"/>
      <c r="E42" s="41"/>
      <c r="F42" s="34"/>
      <c r="G42" s="41"/>
      <c r="H42" s="41"/>
    </row>
    <row r="43" spans="1:20" ht="15.75" customHeight="1">
      <c r="A43" s="34"/>
      <c r="B43" s="41"/>
      <c r="C43" s="41"/>
      <c r="D43" s="41"/>
      <c r="E43" s="41"/>
      <c r="F43" s="34"/>
      <c r="G43" s="41"/>
      <c r="H43" s="41"/>
    </row>
    <row r="44" spans="1:20" ht="15.75" customHeight="1">
      <c r="A44" s="34"/>
      <c r="B44" s="41"/>
      <c r="C44" s="41"/>
      <c r="D44" s="41"/>
      <c r="E44" s="41"/>
      <c r="F44" s="34"/>
      <c r="G44" s="41"/>
      <c r="H44" s="41"/>
    </row>
    <row r="45" spans="1:20" ht="15.75" customHeight="1">
      <c r="A45" s="34"/>
      <c r="B45" s="41"/>
      <c r="C45" s="41"/>
      <c r="D45" s="41"/>
      <c r="E45" s="41"/>
      <c r="F45" s="34"/>
      <c r="G45" s="41"/>
      <c r="H45" s="41"/>
    </row>
    <row r="46" spans="1:20" ht="15.75" customHeight="1">
      <c r="A46" s="34"/>
      <c r="B46" s="41"/>
      <c r="C46" s="41"/>
      <c r="D46" s="41"/>
      <c r="E46" s="41"/>
      <c r="F46" s="34"/>
      <c r="G46" s="41"/>
      <c r="H46" s="41"/>
    </row>
    <row r="47" spans="1:20" ht="15.75" customHeight="1">
      <c r="A47" s="34"/>
      <c r="B47" s="41"/>
      <c r="C47" s="41"/>
      <c r="D47" s="41"/>
      <c r="E47" s="41"/>
      <c r="F47" s="34"/>
      <c r="G47" s="41"/>
      <c r="H47" s="41"/>
    </row>
    <row r="48" spans="1:20" ht="15.75" customHeight="1">
      <c r="A48" s="34"/>
      <c r="B48" s="41"/>
      <c r="C48" s="41"/>
      <c r="D48" s="41"/>
      <c r="E48" s="41"/>
      <c r="F48" s="34"/>
      <c r="G48" s="41"/>
      <c r="H48" s="41"/>
    </row>
    <row r="49" spans="1:8" ht="15.75" customHeight="1">
      <c r="A49" s="34"/>
      <c r="B49" s="41"/>
      <c r="C49" s="41"/>
      <c r="D49" s="41"/>
      <c r="E49" s="41"/>
      <c r="F49" s="34"/>
      <c r="G49" s="41"/>
      <c r="H49" s="41"/>
    </row>
    <row r="50" spans="1:8" ht="15.75" customHeight="1">
      <c r="A50" s="34"/>
      <c r="B50" s="41"/>
      <c r="C50" s="41"/>
      <c r="D50" s="41"/>
      <c r="E50" s="41"/>
      <c r="F50" s="34"/>
      <c r="G50" s="41"/>
      <c r="H50" s="41"/>
    </row>
    <row r="51" spans="1:8" ht="13">
      <c r="A51" s="34"/>
      <c r="B51" s="41"/>
      <c r="C51" s="41"/>
      <c r="D51" s="41"/>
      <c r="E51" s="41"/>
      <c r="F51" s="34"/>
      <c r="G51" s="41"/>
      <c r="H51" s="41"/>
    </row>
    <row r="52" spans="1:8" ht="13">
      <c r="A52" s="34"/>
      <c r="B52" s="41"/>
      <c r="C52" s="41"/>
      <c r="D52" s="41"/>
      <c r="E52" s="41"/>
      <c r="F52" s="34"/>
      <c r="G52" s="41"/>
      <c r="H52" s="41"/>
    </row>
    <row r="53" spans="1:8" ht="13">
      <c r="A53" s="34"/>
      <c r="B53" s="41"/>
      <c r="C53" s="41"/>
      <c r="D53" s="41"/>
      <c r="E53" s="41"/>
      <c r="F53" s="34"/>
      <c r="G53" s="41"/>
      <c r="H53" s="41"/>
    </row>
    <row r="54" spans="1:8" ht="13">
      <c r="A54" s="34"/>
      <c r="B54" s="41"/>
      <c r="C54" s="41"/>
      <c r="D54" s="41"/>
      <c r="E54" s="41"/>
      <c r="F54" s="34"/>
      <c r="G54" s="41"/>
      <c r="H54" s="41"/>
    </row>
    <row r="55" spans="1:8" ht="13">
      <c r="A55" s="34"/>
      <c r="B55" s="41"/>
      <c r="C55" s="41"/>
      <c r="D55" s="41"/>
      <c r="E55" s="41"/>
      <c r="F55" s="34"/>
      <c r="G55" s="41"/>
      <c r="H55" s="41"/>
    </row>
    <row r="56" spans="1:8" ht="13">
      <c r="A56" s="34"/>
      <c r="B56" s="41"/>
      <c r="C56" s="41"/>
      <c r="D56" s="41"/>
      <c r="E56" s="41"/>
      <c r="F56" s="34"/>
      <c r="G56" s="41"/>
      <c r="H56" s="41"/>
    </row>
    <row r="57" spans="1:8" ht="13">
      <c r="A57" s="34"/>
      <c r="B57" s="41"/>
      <c r="C57" s="41"/>
      <c r="D57" s="41"/>
      <c r="E57" s="41"/>
      <c r="F57" s="34"/>
      <c r="G57" s="41"/>
      <c r="H57" s="41"/>
    </row>
    <row r="58" spans="1:8" ht="13">
      <c r="A58" s="34"/>
      <c r="B58" s="41"/>
      <c r="C58" s="41"/>
      <c r="D58" s="41"/>
      <c r="E58" s="41"/>
      <c r="F58" s="34"/>
      <c r="G58" s="41"/>
      <c r="H58" s="41"/>
    </row>
    <row r="59" spans="1:8" ht="13">
      <c r="A59" s="34"/>
      <c r="B59" s="41"/>
      <c r="C59" s="41"/>
      <c r="D59" s="41"/>
      <c r="E59" s="41"/>
      <c r="F59" s="34"/>
      <c r="G59" s="41"/>
      <c r="H59" s="41"/>
    </row>
    <row r="60" spans="1:8" ht="13">
      <c r="A60" s="34"/>
      <c r="B60" s="41"/>
      <c r="C60" s="41"/>
      <c r="D60" s="41"/>
      <c r="E60" s="41"/>
      <c r="F60" s="34"/>
      <c r="G60" s="41"/>
      <c r="H60" s="41"/>
    </row>
    <row r="61" spans="1:8" ht="13">
      <c r="A61" s="34"/>
      <c r="B61" s="41"/>
      <c r="C61" s="41"/>
      <c r="D61" s="41"/>
      <c r="E61" s="41"/>
      <c r="F61" s="34"/>
      <c r="G61" s="41"/>
      <c r="H61" s="41"/>
    </row>
    <row r="62" spans="1:8" ht="13">
      <c r="A62" s="34"/>
      <c r="B62" s="41"/>
      <c r="C62" s="41"/>
      <c r="D62" s="41"/>
      <c r="E62" s="41"/>
      <c r="F62" s="34"/>
      <c r="G62" s="41"/>
      <c r="H62" s="41"/>
    </row>
    <row r="63" spans="1:8" ht="13">
      <c r="A63" s="34"/>
      <c r="B63" s="41"/>
      <c r="C63" s="41"/>
      <c r="D63" s="41"/>
      <c r="E63" s="41"/>
      <c r="F63" s="34"/>
      <c r="G63" s="41"/>
      <c r="H63" s="41"/>
    </row>
    <row r="64" spans="1:8" ht="13">
      <c r="A64" s="34"/>
      <c r="B64" s="41"/>
      <c r="C64" s="41"/>
      <c r="D64" s="41"/>
      <c r="E64" s="41"/>
      <c r="F64" s="34"/>
      <c r="G64" s="41"/>
      <c r="H64" s="41"/>
    </row>
    <row r="65" spans="1:8" ht="13">
      <c r="A65" s="34"/>
      <c r="B65" s="41"/>
      <c r="C65" s="41"/>
      <c r="D65" s="41"/>
      <c r="E65" s="41"/>
      <c r="F65" s="34"/>
      <c r="G65" s="41"/>
      <c r="H65" s="41"/>
    </row>
    <row r="66" spans="1:8" ht="13">
      <c r="A66" s="34"/>
      <c r="B66" s="41"/>
      <c r="C66" s="41"/>
      <c r="D66" s="41"/>
      <c r="E66" s="41"/>
      <c r="F66" s="34"/>
      <c r="G66" s="41"/>
      <c r="H66" s="41"/>
    </row>
    <row r="67" spans="1:8" ht="13">
      <c r="A67" s="34"/>
      <c r="B67" s="41"/>
      <c r="C67" s="41"/>
      <c r="D67" s="41"/>
      <c r="E67" s="41"/>
      <c r="F67" s="34"/>
      <c r="G67" s="41"/>
      <c r="H67" s="41"/>
    </row>
    <row r="68" spans="1:8" ht="13">
      <c r="A68" s="34"/>
      <c r="B68" s="41"/>
      <c r="C68" s="41"/>
      <c r="D68" s="41"/>
      <c r="E68" s="41"/>
      <c r="F68" s="34"/>
      <c r="G68" s="41"/>
      <c r="H68" s="41"/>
    </row>
    <row r="69" spans="1:8" ht="13">
      <c r="A69" s="34"/>
      <c r="B69" s="41"/>
      <c r="C69" s="41"/>
      <c r="D69" s="41"/>
      <c r="E69" s="41"/>
      <c r="F69" s="34"/>
      <c r="G69" s="41"/>
      <c r="H69" s="41"/>
    </row>
    <row r="70" spans="1:8" ht="13">
      <c r="A70" s="34"/>
      <c r="B70" s="41"/>
      <c r="C70" s="41"/>
      <c r="D70" s="41"/>
      <c r="E70" s="41"/>
      <c r="F70" s="34"/>
      <c r="G70" s="41"/>
      <c r="H70" s="41"/>
    </row>
    <row r="71" spans="1:8" ht="13">
      <c r="F71" s="34"/>
      <c r="G71" s="41"/>
    </row>
    <row r="72" spans="1:8" ht="13">
      <c r="F72" s="34"/>
      <c r="G72" s="41"/>
    </row>
  </sheetData>
  <hyperlinks>
    <hyperlink ref="I2" r:id="rId1" xr:uid="{00000000-0004-0000-0F00-000000000000}"/>
    <hyperlink ref="I3" r:id="rId2" xr:uid="{00000000-0004-0000-0F00-000001000000}"/>
    <hyperlink ref="I4" r:id="rId3" xr:uid="{00000000-0004-0000-0F00-000002000000}"/>
    <hyperlink ref="I5" r:id="rId4" xr:uid="{00000000-0004-0000-0F00-000003000000}"/>
    <hyperlink ref="I6" r:id="rId5" xr:uid="{00000000-0004-0000-0F00-000004000000}"/>
    <hyperlink ref="I7" r:id="rId6" xr:uid="{00000000-0004-0000-0F00-000005000000}"/>
    <hyperlink ref="I8" r:id="rId7" xr:uid="{00000000-0004-0000-0F00-000006000000}"/>
    <hyperlink ref="I9" r:id="rId8" xr:uid="{00000000-0004-0000-0F00-000007000000}"/>
    <hyperlink ref="I10" r:id="rId9" xr:uid="{00000000-0004-0000-0F00-000008000000}"/>
    <hyperlink ref="I11" r:id="rId10" xr:uid="{00000000-0004-0000-0F00-000009000000}"/>
    <hyperlink ref="I12" r:id="rId11" xr:uid="{00000000-0004-0000-0F00-00000A000000}"/>
    <hyperlink ref="I13" r:id="rId12" xr:uid="{00000000-0004-0000-0F00-00000B000000}"/>
    <hyperlink ref="I14" r:id="rId13" xr:uid="{00000000-0004-0000-0F00-00000C000000}"/>
    <hyperlink ref="I15" r:id="rId14" xr:uid="{00000000-0004-0000-0F00-00000D000000}"/>
    <hyperlink ref="I16" r:id="rId15" xr:uid="{00000000-0004-0000-0F00-00000E000000}"/>
    <hyperlink ref="I17" r:id="rId16" xr:uid="{00000000-0004-0000-0F00-00000F000000}"/>
    <hyperlink ref="I18" r:id="rId17" xr:uid="{00000000-0004-0000-0F00-000010000000}"/>
    <hyperlink ref="I19" r:id="rId18" xr:uid="{00000000-0004-0000-0F00-000011000000}"/>
    <hyperlink ref="I20" r:id="rId19" xr:uid="{00000000-0004-0000-0F00-000012000000}"/>
    <hyperlink ref="I21" r:id="rId20" xr:uid="{00000000-0004-0000-0F00-000013000000}"/>
    <hyperlink ref="I22" r:id="rId21" xr:uid="{00000000-0004-0000-0F00-000014000000}"/>
    <hyperlink ref="I23" r:id="rId22" xr:uid="{00000000-0004-0000-0F00-000015000000}"/>
    <hyperlink ref="I24" r:id="rId23" xr:uid="{00000000-0004-0000-0F00-000016000000}"/>
    <hyperlink ref="I25" r:id="rId24" xr:uid="{00000000-0004-0000-0F00-000017000000}"/>
    <hyperlink ref="I26" r:id="rId25" xr:uid="{00000000-0004-0000-0F00-000018000000}"/>
    <hyperlink ref="I27" r:id="rId26" xr:uid="{00000000-0004-0000-0F00-000019000000}"/>
    <hyperlink ref="I28" r:id="rId27" xr:uid="{00000000-0004-0000-0F00-00001A000000}"/>
    <hyperlink ref="I29" r:id="rId28" xr:uid="{00000000-0004-0000-0F00-00001B000000}"/>
    <hyperlink ref="I30" r:id="rId29" xr:uid="{00000000-0004-0000-0F00-00001C000000}"/>
    <hyperlink ref="I31" r:id="rId30" xr:uid="{00000000-0004-0000-0F00-00001D000000}"/>
    <hyperlink ref="I32" r:id="rId31" xr:uid="{00000000-0004-0000-0F00-00001E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T71"/>
  <sheetViews>
    <sheetView workbookViewId="0">
      <selection activeCell="B3" sqref="B3"/>
    </sheetView>
  </sheetViews>
  <sheetFormatPr baseColWidth="10" defaultColWidth="12.6640625" defaultRowHeight="15.75" customHeight="1"/>
  <cols>
    <col min="1" max="1" width="16.5" customWidth="1"/>
  </cols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 t="s">
        <v>228</v>
      </c>
      <c r="K1" s="51" t="s">
        <v>229</v>
      </c>
      <c r="L1" s="54"/>
      <c r="M1" s="54"/>
      <c r="N1" s="54"/>
      <c r="O1" s="51"/>
      <c r="P1" s="51"/>
      <c r="Q1" s="51"/>
      <c r="R1" s="51"/>
      <c r="S1" s="51"/>
      <c r="T1" s="51"/>
    </row>
    <row r="2" spans="1:20" ht="15.75" customHeight="1">
      <c r="A2" s="34" t="s">
        <v>112</v>
      </c>
      <c r="B2" s="41">
        <v>504</v>
      </c>
      <c r="C2" s="41">
        <v>33</v>
      </c>
      <c r="D2" s="41">
        <v>16</v>
      </c>
      <c r="E2" s="41">
        <v>37</v>
      </c>
      <c r="F2" s="41">
        <v>56</v>
      </c>
      <c r="G2" s="41">
        <v>72</v>
      </c>
      <c r="H2" s="61">
        <v>45600</v>
      </c>
      <c r="I2" s="63" t="s">
        <v>420</v>
      </c>
      <c r="J2" s="51">
        <v>24</v>
      </c>
      <c r="K2" s="51">
        <v>28</v>
      </c>
      <c r="L2" s="54"/>
      <c r="M2" s="54"/>
      <c r="N2" s="54"/>
      <c r="O2" s="51"/>
      <c r="P2" s="51"/>
      <c r="Q2" s="51"/>
      <c r="R2" s="51"/>
      <c r="S2" s="51"/>
      <c r="T2" s="51"/>
    </row>
    <row r="3" spans="1:20" ht="15.75" customHeight="1">
      <c r="A3" s="34" t="s">
        <v>113</v>
      </c>
      <c r="B3" s="41">
        <v>389</v>
      </c>
      <c r="C3" s="41">
        <v>28</v>
      </c>
      <c r="D3" s="41">
        <v>16</v>
      </c>
      <c r="E3" s="41">
        <v>39</v>
      </c>
      <c r="F3" s="41">
        <v>54</v>
      </c>
      <c r="G3" s="41">
        <v>43</v>
      </c>
      <c r="H3" s="61">
        <v>45603</v>
      </c>
      <c r="I3" s="63" t="s">
        <v>421</v>
      </c>
      <c r="J3" s="51">
        <v>13</v>
      </c>
      <c r="K3" s="51">
        <v>24</v>
      </c>
      <c r="L3" s="54"/>
      <c r="M3" s="54"/>
      <c r="N3" s="51"/>
      <c r="O3" s="51"/>
      <c r="P3" s="51"/>
      <c r="Q3" s="51"/>
      <c r="R3" s="51"/>
      <c r="S3" s="51"/>
      <c r="T3" s="51"/>
    </row>
    <row r="4" spans="1:20" ht="15.75" customHeight="1">
      <c r="A4" s="34" t="s">
        <v>114</v>
      </c>
      <c r="B4" s="41">
        <v>381</v>
      </c>
      <c r="C4" s="41">
        <v>23</v>
      </c>
      <c r="D4" s="41">
        <v>16</v>
      </c>
      <c r="E4" s="41">
        <v>36</v>
      </c>
      <c r="F4" s="41">
        <v>49</v>
      </c>
      <c r="G4" s="41">
        <v>50</v>
      </c>
      <c r="H4" s="61">
        <v>45605</v>
      </c>
      <c r="I4" s="63" t="s">
        <v>422</v>
      </c>
      <c r="J4" s="51">
        <v>14</v>
      </c>
      <c r="K4" s="51">
        <v>24</v>
      </c>
      <c r="L4" s="54"/>
      <c r="M4" s="54"/>
      <c r="N4" s="54"/>
      <c r="O4" s="51"/>
      <c r="P4" s="51"/>
      <c r="Q4" s="51"/>
      <c r="R4" s="51"/>
      <c r="S4" s="51"/>
      <c r="T4" s="51"/>
    </row>
    <row r="5" spans="1:20" ht="15.75" customHeight="1">
      <c r="A5" s="34" t="s">
        <v>115</v>
      </c>
      <c r="B5" s="41">
        <v>678</v>
      </c>
      <c r="C5" s="41">
        <v>36</v>
      </c>
      <c r="D5" s="41">
        <v>17</v>
      </c>
      <c r="E5" s="41">
        <v>42</v>
      </c>
      <c r="F5" s="41">
        <v>57</v>
      </c>
      <c r="G5" s="41">
        <v>92</v>
      </c>
      <c r="H5" s="64">
        <v>45610</v>
      </c>
      <c r="I5" s="63" t="s">
        <v>423</v>
      </c>
      <c r="J5" s="51">
        <v>18</v>
      </c>
      <c r="K5" s="51">
        <v>31</v>
      </c>
      <c r="L5" s="54"/>
      <c r="M5" s="54"/>
      <c r="N5" s="54"/>
      <c r="O5" s="51"/>
      <c r="P5" s="51"/>
      <c r="Q5" s="51"/>
      <c r="R5" s="51"/>
      <c r="S5" s="51"/>
      <c r="T5" s="51"/>
    </row>
    <row r="6" spans="1:20" ht="15.75" customHeight="1">
      <c r="A6" s="34" t="s">
        <v>116</v>
      </c>
      <c r="B6" s="41">
        <v>409</v>
      </c>
      <c r="C6" s="41">
        <v>37</v>
      </c>
      <c r="D6" s="41">
        <v>15</v>
      </c>
      <c r="E6" s="41">
        <v>37</v>
      </c>
      <c r="F6" s="41">
        <v>53</v>
      </c>
      <c r="G6" s="41">
        <v>59</v>
      </c>
      <c r="H6" s="64">
        <v>45616</v>
      </c>
      <c r="I6" s="63" t="s">
        <v>424</v>
      </c>
      <c r="J6" s="51">
        <v>19</v>
      </c>
      <c r="K6" s="51">
        <v>24</v>
      </c>
      <c r="L6" s="54"/>
      <c r="M6" s="54"/>
      <c r="N6" s="54"/>
      <c r="O6" s="51"/>
      <c r="P6" s="51"/>
      <c r="Q6" s="51"/>
      <c r="R6" s="51"/>
      <c r="S6" s="51"/>
      <c r="T6" s="51"/>
    </row>
    <row r="7" spans="1:20" ht="15.75" customHeight="1">
      <c r="A7" s="34" t="s">
        <v>117</v>
      </c>
      <c r="B7" s="41">
        <v>649</v>
      </c>
      <c r="C7" s="41">
        <v>57</v>
      </c>
      <c r="D7" s="41">
        <v>18</v>
      </c>
      <c r="E7" s="41">
        <v>38</v>
      </c>
      <c r="F7" s="41">
        <v>58</v>
      </c>
      <c r="G7" s="41">
        <v>114</v>
      </c>
      <c r="H7" s="64">
        <v>45618</v>
      </c>
      <c r="I7" s="63" t="s">
        <v>425</v>
      </c>
      <c r="J7" s="51">
        <v>22</v>
      </c>
      <c r="K7" s="51">
        <v>38</v>
      </c>
      <c r="L7" s="54"/>
      <c r="M7" s="54"/>
      <c r="N7" s="54"/>
      <c r="O7" s="51"/>
      <c r="P7" s="51"/>
      <c r="Q7" s="51"/>
      <c r="R7" s="51"/>
      <c r="S7" s="51"/>
      <c r="T7" s="51"/>
    </row>
    <row r="8" spans="1:20" ht="15.75" customHeight="1">
      <c r="A8" s="34" t="s">
        <v>118</v>
      </c>
      <c r="B8" s="41">
        <v>242</v>
      </c>
      <c r="C8" s="41">
        <v>18</v>
      </c>
      <c r="D8" s="41">
        <v>18</v>
      </c>
      <c r="E8" s="41">
        <v>34</v>
      </c>
      <c r="F8" s="41">
        <v>52</v>
      </c>
      <c r="G8" s="41">
        <v>36</v>
      </c>
      <c r="H8" s="64">
        <v>45622</v>
      </c>
      <c r="I8" s="63" t="s">
        <v>426</v>
      </c>
      <c r="J8" s="51">
        <v>20</v>
      </c>
      <c r="K8" s="51">
        <v>37</v>
      </c>
      <c r="L8" s="54"/>
      <c r="M8" s="54"/>
      <c r="N8" s="54"/>
      <c r="O8" s="51"/>
      <c r="P8" s="51"/>
      <c r="Q8" s="51"/>
      <c r="R8" s="51"/>
      <c r="S8" s="51"/>
      <c r="T8" s="51"/>
    </row>
    <row r="9" spans="1:20" ht="15.75" customHeight="1">
      <c r="A9" s="34" t="s">
        <v>119</v>
      </c>
      <c r="B9" s="41">
        <v>435</v>
      </c>
      <c r="C9" s="41">
        <v>45</v>
      </c>
      <c r="D9" s="41">
        <v>15</v>
      </c>
      <c r="E9" s="41">
        <v>32</v>
      </c>
      <c r="F9" s="41">
        <v>50</v>
      </c>
      <c r="G9" s="41">
        <v>59</v>
      </c>
      <c r="H9" s="64">
        <v>45623</v>
      </c>
      <c r="I9" s="63" t="s">
        <v>427</v>
      </c>
      <c r="J9" s="51">
        <v>18</v>
      </c>
      <c r="K9" s="51">
        <v>29</v>
      </c>
      <c r="L9" s="54"/>
      <c r="M9" s="54"/>
      <c r="N9" s="54"/>
      <c r="O9" s="51"/>
      <c r="P9" s="51"/>
      <c r="Q9" s="51"/>
      <c r="R9" s="51"/>
      <c r="S9" s="51"/>
      <c r="T9" s="51"/>
    </row>
    <row r="10" spans="1:20" ht="15.75" customHeight="1">
      <c r="A10" s="34" t="s">
        <v>120</v>
      </c>
      <c r="B10" s="41">
        <v>615</v>
      </c>
      <c r="C10" s="41">
        <v>43</v>
      </c>
      <c r="D10" s="41">
        <v>18</v>
      </c>
      <c r="E10" s="41">
        <v>44</v>
      </c>
      <c r="F10" s="41">
        <v>61</v>
      </c>
      <c r="G10" s="41">
        <v>83</v>
      </c>
      <c r="H10" s="61">
        <v>45631</v>
      </c>
      <c r="I10" s="63" t="s">
        <v>428</v>
      </c>
      <c r="J10" s="51">
        <v>4</v>
      </c>
      <c r="K10" s="51">
        <v>36</v>
      </c>
      <c r="L10" s="54"/>
      <c r="M10" s="54"/>
      <c r="N10" s="54"/>
      <c r="O10" s="51"/>
      <c r="P10" s="51"/>
      <c r="Q10" s="51"/>
      <c r="R10" s="51"/>
      <c r="S10" s="51"/>
      <c r="T10" s="51"/>
    </row>
    <row r="11" spans="1:20" ht="15.75" customHeight="1">
      <c r="A11" s="34" t="s">
        <v>121</v>
      </c>
      <c r="B11" s="41">
        <v>507</v>
      </c>
      <c r="C11" s="41">
        <v>35</v>
      </c>
      <c r="D11" s="41">
        <v>17</v>
      </c>
      <c r="E11" s="41">
        <v>44</v>
      </c>
      <c r="F11" s="41">
        <v>59</v>
      </c>
      <c r="G11" s="41">
        <v>59</v>
      </c>
      <c r="H11" s="61">
        <v>45633</v>
      </c>
      <c r="I11" s="63" t="s">
        <v>429</v>
      </c>
      <c r="J11" s="51">
        <v>9</v>
      </c>
      <c r="K11" s="51">
        <v>30</v>
      </c>
      <c r="L11" s="54"/>
      <c r="M11" s="54"/>
      <c r="N11" s="54"/>
      <c r="O11" s="51"/>
      <c r="P11" s="51"/>
      <c r="Q11" s="51"/>
      <c r="R11" s="51"/>
      <c r="S11" s="51"/>
      <c r="T11" s="51"/>
    </row>
    <row r="12" spans="1:20" ht="15.75" customHeight="1">
      <c r="A12" s="34" t="s">
        <v>122</v>
      </c>
      <c r="B12" s="41">
        <v>575</v>
      </c>
      <c r="C12" s="41">
        <v>49</v>
      </c>
      <c r="D12" s="41">
        <v>20</v>
      </c>
      <c r="E12" s="41">
        <v>41</v>
      </c>
      <c r="F12" s="41">
        <v>65</v>
      </c>
      <c r="G12" s="41">
        <v>92</v>
      </c>
      <c r="H12" s="64">
        <v>45639</v>
      </c>
      <c r="I12" s="63" t="s">
        <v>430</v>
      </c>
      <c r="J12" s="51">
        <v>20</v>
      </c>
      <c r="K12" s="51">
        <v>33</v>
      </c>
      <c r="L12" s="54"/>
      <c r="M12" s="54"/>
      <c r="N12" s="51"/>
      <c r="O12" s="51"/>
      <c r="P12" s="51"/>
      <c r="Q12" s="51"/>
      <c r="R12" s="51"/>
      <c r="S12" s="51"/>
      <c r="T12" s="51"/>
    </row>
    <row r="13" spans="1:20" ht="15.75" customHeight="1">
      <c r="A13" s="34" t="s">
        <v>124</v>
      </c>
      <c r="B13" s="41">
        <v>524</v>
      </c>
      <c r="C13" s="41">
        <v>45</v>
      </c>
      <c r="D13" s="41">
        <v>15</v>
      </c>
      <c r="E13" s="41">
        <v>35</v>
      </c>
      <c r="F13" s="41">
        <v>56</v>
      </c>
      <c r="G13" s="41">
        <v>57</v>
      </c>
      <c r="H13" s="64">
        <v>45647</v>
      </c>
      <c r="I13" s="63" t="s">
        <v>431</v>
      </c>
      <c r="J13" s="51">
        <v>10</v>
      </c>
      <c r="K13" s="51">
        <v>33</v>
      </c>
      <c r="L13" s="54"/>
      <c r="M13" s="54"/>
      <c r="N13" s="51"/>
      <c r="O13" s="51"/>
      <c r="P13" s="51"/>
      <c r="Q13" s="51"/>
      <c r="R13" s="51"/>
      <c r="S13" s="51"/>
      <c r="T13" s="51"/>
    </row>
    <row r="14" spans="1:20" ht="15.75" customHeight="1">
      <c r="A14" s="34" t="s">
        <v>125</v>
      </c>
      <c r="B14" s="41">
        <v>694</v>
      </c>
      <c r="C14" s="41">
        <v>38</v>
      </c>
      <c r="D14" s="41">
        <v>18</v>
      </c>
      <c r="E14" s="41">
        <v>42</v>
      </c>
      <c r="F14" s="41">
        <v>62</v>
      </c>
      <c r="G14" s="41">
        <v>104</v>
      </c>
      <c r="H14" s="64">
        <v>45648</v>
      </c>
      <c r="I14" s="63" t="s">
        <v>432</v>
      </c>
      <c r="J14" s="51">
        <v>20</v>
      </c>
      <c r="K14" s="51">
        <v>28</v>
      </c>
      <c r="L14" s="54"/>
      <c r="M14" s="54"/>
      <c r="N14" s="54"/>
      <c r="O14" s="51"/>
      <c r="P14" s="51"/>
      <c r="Q14" s="51"/>
      <c r="R14" s="51"/>
      <c r="S14" s="51"/>
      <c r="T14" s="51"/>
    </row>
    <row r="15" spans="1:20" ht="15.75" customHeight="1">
      <c r="A15" s="34" t="s">
        <v>126</v>
      </c>
      <c r="B15" s="41">
        <v>420</v>
      </c>
      <c r="C15" s="41">
        <v>28</v>
      </c>
      <c r="D15" s="41">
        <v>18</v>
      </c>
      <c r="E15" s="41">
        <v>37</v>
      </c>
      <c r="F15" s="41">
        <v>56</v>
      </c>
      <c r="G15" s="41">
        <v>68</v>
      </c>
      <c r="H15" s="61">
        <v>45659</v>
      </c>
      <c r="I15" s="63" t="s">
        <v>433</v>
      </c>
      <c r="J15" s="51">
        <v>4</v>
      </c>
      <c r="K15" s="51">
        <v>27</v>
      </c>
      <c r="L15" s="54"/>
      <c r="M15" s="54"/>
      <c r="N15" s="51"/>
      <c r="O15" s="51"/>
      <c r="P15" s="51"/>
      <c r="Q15" s="51"/>
      <c r="R15" s="51"/>
      <c r="S15" s="51"/>
      <c r="T15" s="51"/>
    </row>
    <row r="16" spans="1:20" ht="15.75" customHeight="1">
      <c r="A16" s="34" t="s">
        <v>127</v>
      </c>
      <c r="B16" s="41">
        <v>369</v>
      </c>
      <c r="C16" s="41">
        <v>35</v>
      </c>
      <c r="D16" s="41">
        <v>16</v>
      </c>
      <c r="E16" s="41">
        <v>35</v>
      </c>
      <c r="F16" s="41">
        <v>51</v>
      </c>
      <c r="G16" s="41">
        <v>57</v>
      </c>
      <c r="H16" s="61">
        <v>45662</v>
      </c>
      <c r="I16" s="63" t="s">
        <v>434</v>
      </c>
      <c r="J16" s="51">
        <v>13</v>
      </c>
      <c r="K16" s="51">
        <v>24</v>
      </c>
      <c r="L16" s="54"/>
      <c r="M16" s="51"/>
      <c r="N16" s="51"/>
      <c r="O16" s="51"/>
      <c r="P16" s="51"/>
      <c r="Q16" s="51"/>
      <c r="R16" s="51"/>
      <c r="S16" s="51"/>
      <c r="T16" s="51"/>
    </row>
    <row r="17" spans="1:20" ht="15.75" customHeight="1">
      <c r="A17" s="34" t="s">
        <v>128</v>
      </c>
      <c r="B17" s="41">
        <v>445</v>
      </c>
      <c r="C17" s="41">
        <v>24</v>
      </c>
      <c r="D17" s="41">
        <v>19</v>
      </c>
      <c r="E17" s="41">
        <v>43</v>
      </c>
      <c r="F17" s="41">
        <v>57</v>
      </c>
      <c r="G17" s="41">
        <v>63</v>
      </c>
      <c r="H17" s="61">
        <v>45666</v>
      </c>
      <c r="I17" s="63" t="s">
        <v>435</v>
      </c>
      <c r="J17" s="51">
        <v>11</v>
      </c>
      <c r="K17" s="51">
        <v>25</v>
      </c>
      <c r="L17" s="54"/>
      <c r="M17" s="54"/>
      <c r="N17" s="54"/>
      <c r="O17" s="51"/>
      <c r="P17" s="51"/>
      <c r="Q17" s="51"/>
      <c r="R17" s="51"/>
      <c r="S17" s="51"/>
      <c r="T17" s="51"/>
    </row>
    <row r="18" spans="1:20" ht="15.75" customHeight="1">
      <c r="A18" s="34" t="s">
        <v>129</v>
      </c>
      <c r="B18" s="41">
        <v>685</v>
      </c>
      <c r="C18" s="41">
        <v>39</v>
      </c>
      <c r="D18" s="41">
        <v>22</v>
      </c>
      <c r="E18" s="41">
        <v>42</v>
      </c>
      <c r="F18" s="41">
        <v>60</v>
      </c>
      <c r="G18" s="41">
        <v>115</v>
      </c>
      <c r="H18" s="61">
        <v>45669</v>
      </c>
      <c r="I18" s="63" t="s">
        <v>436</v>
      </c>
      <c r="J18" s="51">
        <v>19</v>
      </c>
      <c r="K18" s="51">
        <v>32</v>
      </c>
      <c r="L18" s="54"/>
      <c r="M18" s="54"/>
      <c r="N18" s="54"/>
      <c r="O18" s="51"/>
      <c r="P18" s="51"/>
      <c r="Q18" s="51"/>
      <c r="R18" s="51"/>
      <c r="S18" s="51"/>
      <c r="T18" s="51"/>
    </row>
    <row r="19" spans="1:20" ht="15.75" customHeight="1">
      <c r="A19" s="34" t="s">
        <v>130</v>
      </c>
      <c r="B19" s="41">
        <v>461</v>
      </c>
      <c r="C19" s="41">
        <v>39</v>
      </c>
      <c r="D19" s="41">
        <v>15</v>
      </c>
      <c r="E19" s="41">
        <v>36</v>
      </c>
      <c r="F19" s="41">
        <v>56</v>
      </c>
      <c r="G19" s="41">
        <v>47</v>
      </c>
      <c r="H19" s="61">
        <v>45673</v>
      </c>
      <c r="I19" s="63" t="s">
        <v>437</v>
      </c>
      <c r="J19" s="51">
        <v>3</v>
      </c>
      <c r="K19" s="51">
        <v>29</v>
      </c>
      <c r="L19" s="54"/>
      <c r="M19" s="54"/>
      <c r="N19" s="51"/>
      <c r="O19" s="51"/>
      <c r="P19" s="51"/>
      <c r="Q19" s="51"/>
      <c r="R19" s="51"/>
      <c r="S19" s="51"/>
      <c r="T19" s="51"/>
    </row>
    <row r="20" spans="1:20" ht="15.75" customHeight="1">
      <c r="A20" s="34" t="s">
        <v>131</v>
      </c>
      <c r="B20" s="41">
        <v>413</v>
      </c>
      <c r="C20" s="41">
        <v>18</v>
      </c>
      <c r="D20" s="41">
        <v>19</v>
      </c>
      <c r="E20" s="41">
        <v>41</v>
      </c>
      <c r="F20" s="41">
        <v>59</v>
      </c>
      <c r="G20" s="41">
        <v>63</v>
      </c>
      <c r="H20" s="61">
        <v>45676</v>
      </c>
      <c r="I20" s="63" t="s">
        <v>438</v>
      </c>
      <c r="J20" s="51">
        <v>14</v>
      </c>
      <c r="K20" s="51">
        <v>37</v>
      </c>
      <c r="L20" s="54"/>
      <c r="M20" s="54"/>
      <c r="N20" s="51"/>
      <c r="O20" s="51"/>
      <c r="P20" s="51"/>
      <c r="Q20" s="51"/>
      <c r="R20" s="51"/>
      <c r="S20" s="51"/>
      <c r="T20" s="51"/>
    </row>
    <row r="21" spans="1:20" ht="15.75" customHeight="1">
      <c r="A21" s="34" t="s">
        <v>122</v>
      </c>
      <c r="B21" s="41">
        <v>505</v>
      </c>
      <c r="C21" s="41">
        <v>43</v>
      </c>
      <c r="D21" s="41">
        <v>20</v>
      </c>
      <c r="E21" s="41">
        <v>38</v>
      </c>
      <c r="F21" s="41">
        <v>57</v>
      </c>
      <c r="G21" s="41">
        <v>88</v>
      </c>
      <c r="H21" s="61">
        <v>45680</v>
      </c>
      <c r="I21" s="63" t="s">
        <v>439</v>
      </c>
      <c r="J21" s="51">
        <v>7</v>
      </c>
      <c r="K21" s="51">
        <v>31</v>
      </c>
      <c r="L21" s="54"/>
      <c r="M21" s="54"/>
      <c r="N21" s="51"/>
      <c r="O21" s="51"/>
      <c r="P21" s="51"/>
      <c r="Q21" s="51"/>
      <c r="R21" s="51"/>
      <c r="S21" s="51"/>
      <c r="T21" s="51"/>
    </row>
    <row r="22" spans="1:20" ht="15.75" customHeight="1">
      <c r="A22" s="34" t="s">
        <v>132</v>
      </c>
      <c r="B22" s="41">
        <v>491</v>
      </c>
      <c r="C22" s="41">
        <v>43</v>
      </c>
      <c r="D22" s="41">
        <v>19</v>
      </c>
      <c r="E22" s="41">
        <v>41</v>
      </c>
      <c r="F22" s="41">
        <v>63</v>
      </c>
      <c r="G22" s="41">
        <v>98</v>
      </c>
      <c r="H22" s="61">
        <v>45687</v>
      </c>
      <c r="I22" s="63" t="s">
        <v>440</v>
      </c>
      <c r="J22" s="51">
        <v>3</v>
      </c>
      <c r="K22" s="51">
        <v>30</v>
      </c>
      <c r="L22" s="54"/>
      <c r="M22" s="54"/>
      <c r="N22" s="51"/>
      <c r="O22" s="51"/>
      <c r="P22" s="51"/>
      <c r="Q22" s="51"/>
      <c r="R22" s="51"/>
      <c r="S22" s="51"/>
      <c r="T22" s="51"/>
    </row>
    <row r="23" spans="1:20" ht="15.75" customHeight="1">
      <c r="A23" s="34" t="s">
        <v>134</v>
      </c>
      <c r="B23" s="41">
        <v>402</v>
      </c>
      <c r="C23" s="41">
        <v>35</v>
      </c>
      <c r="D23" s="41">
        <v>18</v>
      </c>
      <c r="E23" s="41">
        <v>38</v>
      </c>
      <c r="F23" s="41">
        <v>62</v>
      </c>
      <c r="G23" s="41">
        <v>81</v>
      </c>
      <c r="H23" s="61">
        <v>45694</v>
      </c>
      <c r="I23" s="63" t="s">
        <v>441</v>
      </c>
      <c r="J23" s="51">
        <v>11</v>
      </c>
      <c r="K23" s="51">
        <v>25</v>
      </c>
      <c r="L23" s="54"/>
      <c r="M23" s="54"/>
      <c r="N23" s="51"/>
      <c r="O23" s="51"/>
      <c r="P23" s="51"/>
      <c r="Q23" s="51"/>
      <c r="R23" s="51"/>
      <c r="S23" s="51"/>
      <c r="T23" s="51"/>
    </row>
    <row r="24" spans="1:20" ht="15.75" customHeight="1">
      <c r="A24" s="34" t="s">
        <v>136</v>
      </c>
      <c r="B24" s="41">
        <v>683</v>
      </c>
      <c r="C24" s="41">
        <v>42</v>
      </c>
      <c r="D24" s="41">
        <v>22</v>
      </c>
      <c r="E24" s="41">
        <v>52</v>
      </c>
      <c r="F24" s="41">
        <v>74</v>
      </c>
      <c r="G24" s="41">
        <v>209</v>
      </c>
      <c r="H24" s="61">
        <v>45697</v>
      </c>
      <c r="I24" s="63" t="s">
        <v>442</v>
      </c>
      <c r="J24" s="51">
        <v>14</v>
      </c>
      <c r="K24" s="51">
        <v>35</v>
      </c>
      <c r="L24" s="54"/>
      <c r="M24" s="54"/>
      <c r="N24" s="54"/>
      <c r="O24" s="51"/>
      <c r="P24" s="51"/>
      <c r="Q24" s="51"/>
      <c r="R24" s="51"/>
      <c r="S24" s="51"/>
      <c r="T24" s="51"/>
    </row>
    <row r="25" spans="1:20" ht="15.75" customHeight="1">
      <c r="A25" s="34" t="s">
        <v>137</v>
      </c>
      <c r="B25" s="41">
        <v>726</v>
      </c>
      <c r="C25" s="41">
        <v>61</v>
      </c>
      <c r="D25" s="41">
        <v>19</v>
      </c>
      <c r="E25" s="41">
        <v>40</v>
      </c>
      <c r="F25" s="41">
        <v>60</v>
      </c>
      <c r="G25" s="41">
        <v>86</v>
      </c>
      <c r="H25" s="61">
        <v>45701</v>
      </c>
      <c r="I25" s="63" t="s">
        <v>443</v>
      </c>
      <c r="J25" s="51">
        <v>7</v>
      </c>
      <c r="K25" s="51">
        <v>39</v>
      </c>
      <c r="L25" s="54"/>
      <c r="M25" s="54"/>
      <c r="N25" s="54"/>
      <c r="O25" s="51"/>
      <c r="P25" s="51"/>
      <c r="Q25" s="51"/>
      <c r="R25" s="51"/>
      <c r="S25" s="51"/>
      <c r="T25" s="51"/>
    </row>
    <row r="26" spans="1:20" ht="15.75" customHeight="1">
      <c r="A26" s="34" t="s">
        <v>138</v>
      </c>
      <c r="B26" s="41">
        <v>698</v>
      </c>
      <c r="C26" s="41">
        <v>57</v>
      </c>
      <c r="D26" s="41">
        <v>19</v>
      </c>
      <c r="E26" s="41">
        <v>44</v>
      </c>
      <c r="F26" s="41">
        <v>61</v>
      </c>
      <c r="G26" s="41">
        <v>132</v>
      </c>
      <c r="H26" s="61">
        <v>45704</v>
      </c>
      <c r="I26" s="63" t="s">
        <v>444</v>
      </c>
      <c r="J26" s="51">
        <v>13</v>
      </c>
      <c r="K26" s="51">
        <v>38</v>
      </c>
      <c r="L26" s="54"/>
      <c r="M26" s="54"/>
      <c r="N26" s="54"/>
      <c r="O26" s="51"/>
      <c r="P26" s="51"/>
      <c r="Q26" s="51"/>
      <c r="R26" s="51"/>
      <c r="S26" s="51"/>
      <c r="T26" s="51"/>
    </row>
    <row r="27" spans="1:20" ht="15.75" customHeight="1">
      <c r="A27" s="34" t="s">
        <v>139</v>
      </c>
      <c r="B27" s="41">
        <v>542</v>
      </c>
      <c r="C27" s="41">
        <v>33</v>
      </c>
      <c r="D27" s="41">
        <v>16</v>
      </c>
      <c r="E27" s="41">
        <v>35</v>
      </c>
      <c r="F27" s="41">
        <v>56</v>
      </c>
      <c r="G27" s="41">
        <v>53</v>
      </c>
      <c r="H27" s="61">
        <v>45708</v>
      </c>
      <c r="I27" s="63" t="s">
        <v>445</v>
      </c>
      <c r="J27" s="51">
        <v>15</v>
      </c>
      <c r="K27" s="51">
        <v>36</v>
      </c>
      <c r="L27" s="54"/>
      <c r="M27" s="54"/>
      <c r="N27" s="54"/>
      <c r="O27" s="51"/>
      <c r="P27" s="51"/>
      <c r="Q27" s="51"/>
      <c r="R27" s="51"/>
      <c r="S27" s="51"/>
      <c r="T27" s="51"/>
    </row>
    <row r="28" spans="1:20" ht="15.75" customHeight="1">
      <c r="A28" s="34" t="s">
        <v>140</v>
      </c>
      <c r="B28" s="41">
        <v>660</v>
      </c>
      <c r="C28" s="41">
        <v>43</v>
      </c>
      <c r="D28" s="41">
        <v>19</v>
      </c>
      <c r="E28" s="41">
        <v>42</v>
      </c>
      <c r="F28" s="41">
        <v>59</v>
      </c>
      <c r="G28" s="41">
        <v>125</v>
      </c>
      <c r="H28" s="61">
        <v>45711</v>
      </c>
      <c r="I28" s="63" t="s">
        <v>446</v>
      </c>
      <c r="J28" s="51">
        <v>13</v>
      </c>
      <c r="K28" s="51">
        <v>39</v>
      </c>
      <c r="L28" s="54"/>
      <c r="M28" s="54"/>
      <c r="N28" s="54"/>
      <c r="O28" s="51"/>
      <c r="P28" s="51"/>
      <c r="Q28" s="51"/>
      <c r="R28" s="51"/>
      <c r="S28" s="51"/>
      <c r="T28" s="51"/>
    </row>
    <row r="29" spans="1:20" ht="15.75" customHeight="1">
      <c r="A29" s="34" t="s">
        <v>142</v>
      </c>
      <c r="B29" s="41">
        <v>533</v>
      </c>
      <c r="C29" s="41">
        <v>49</v>
      </c>
      <c r="D29" s="41">
        <v>19</v>
      </c>
      <c r="E29" s="41">
        <v>43</v>
      </c>
      <c r="F29" s="41">
        <v>59</v>
      </c>
      <c r="G29" s="41">
        <v>78</v>
      </c>
      <c r="H29" s="61">
        <v>45715</v>
      </c>
      <c r="I29" s="63" t="s">
        <v>447</v>
      </c>
      <c r="J29" s="51">
        <v>17</v>
      </c>
      <c r="K29" s="51">
        <v>36</v>
      </c>
      <c r="L29" s="54"/>
      <c r="M29" s="54"/>
      <c r="N29" s="54"/>
      <c r="O29" s="51"/>
      <c r="P29" s="51"/>
      <c r="Q29" s="51"/>
      <c r="R29" s="51"/>
      <c r="S29" s="51"/>
      <c r="T29" s="51"/>
    </row>
    <row r="30" spans="1:20" ht="15.75" customHeight="1">
      <c r="A30" s="34" t="s">
        <v>143</v>
      </c>
      <c r="B30" s="41">
        <v>429</v>
      </c>
      <c r="C30" s="41">
        <v>36</v>
      </c>
      <c r="D30" s="41">
        <v>18</v>
      </c>
      <c r="E30" s="41">
        <v>37</v>
      </c>
      <c r="F30" s="41">
        <v>57</v>
      </c>
      <c r="G30" s="41">
        <v>79</v>
      </c>
      <c r="H30" s="61">
        <v>45718</v>
      </c>
      <c r="I30" s="63" t="s">
        <v>448</v>
      </c>
      <c r="J30" s="51">
        <v>9</v>
      </c>
      <c r="K30" s="51">
        <v>29</v>
      </c>
      <c r="L30" s="54"/>
      <c r="M30" s="54"/>
      <c r="N30" s="51"/>
      <c r="O30" s="51"/>
      <c r="P30" s="51"/>
      <c r="Q30" s="51"/>
      <c r="R30" s="51"/>
      <c r="S30" s="51"/>
      <c r="T30" s="51"/>
    </row>
    <row r="31" spans="1:20" ht="15.75" customHeight="1">
      <c r="A31" s="34" t="s">
        <v>139</v>
      </c>
      <c r="B31" s="41">
        <v>532</v>
      </c>
      <c r="C31" s="41">
        <v>37</v>
      </c>
      <c r="D31" s="41">
        <v>18</v>
      </c>
      <c r="E31" s="41">
        <v>43</v>
      </c>
      <c r="F31" s="41">
        <v>64</v>
      </c>
      <c r="G31" s="41">
        <v>94</v>
      </c>
      <c r="H31" s="61">
        <v>45722</v>
      </c>
      <c r="I31" s="63" t="s">
        <v>449</v>
      </c>
      <c r="J31" s="51">
        <v>16</v>
      </c>
      <c r="K31" s="51">
        <v>32</v>
      </c>
      <c r="L31" s="54"/>
      <c r="M31" s="54"/>
      <c r="N31" s="54"/>
      <c r="O31" s="51"/>
      <c r="P31" s="51"/>
      <c r="Q31" s="51"/>
      <c r="R31" s="51"/>
      <c r="S31" s="51"/>
      <c r="T31" s="51"/>
    </row>
    <row r="32" spans="1:20" ht="15.75" customHeight="1">
      <c r="A32" s="34" t="s">
        <v>136</v>
      </c>
      <c r="B32" s="41">
        <v>610</v>
      </c>
      <c r="C32" s="41">
        <v>52</v>
      </c>
      <c r="D32" s="41">
        <v>18</v>
      </c>
      <c r="E32" s="41">
        <v>44</v>
      </c>
      <c r="F32" s="41">
        <v>69</v>
      </c>
      <c r="G32" s="41">
        <v>136</v>
      </c>
      <c r="H32" s="66">
        <v>45723</v>
      </c>
      <c r="I32" s="63" t="s">
        <v>450</v>
      </c>
      <c r="J32" s="59">
        <v>16</v>
      </c>
      <c r="K32" s="59">
        <v>35</v>
      </c>
      <c r="L32" s="54"/>
      <c r="M32" s="54"/>
      <c r="N32" s="54"/>
      <c r="O32" s="51"/>
      <c r="P32" s="51"/>
      <c r="Q32" s="51"/>
      <c r="R32" s="51"/>
      <c r="S32" s="51"/>
      <c r="T32" s="51"/>
    </row>
    <row r="33" spans="1:20" ht="15.75" customHeight="1">
      <c r="L33" s="54"/>
      <c r="M33" s="54"/>
      <c r="N33" s="51"/>
      <c r="O33" s="51"/>
      <c r="P33" s="51"/>
      <c r="Q33" s="51"/>
      <c r="R33" s="51"/>
      <c r="S33" s="51"/>
      <c r="T33" s="51"/>
    </row>
    <row r="34" spans="1:20" ht="15.75" customHeight="1">
      <c r="A34" s="1" t="s">
        <v>355</v>
      </c>
      <c r="B34" s="1">
        <f t="shared" ref="B34:G34" si="0">SUM(B4:B32)</f>
        <v>15313</v>
      </c>
      <c r="C34" s="1">
        <f t="shared" si="0"/>
        <v>1140</v>
      </c>
      <c r="D34" s="1">
        <f t="shared" si="0"/>
        <v>521</v>
      </c>
      <c r="E34" s="1">
        <f t="shared" si="0"/>
        <v>1156</v>
      </c>
      <c r="F34" s="1">
        <f t="shared" si="0"/>
        <v>1702</v>
      </c>
      <c r="G34" s="1">
        <f t="shared" si="0"/>
        <v>2477</v>
      </c>
      <c r="H34" s="66"/>
      <c r="I34" s="62">
        <f>COUNTA(I4:I32)</f>
        <v>29</v>
      </c>
      <c r="J34" s="59"/>
      <c r="K34" s="59">
        <f>SUM(K4:K32)</f>
        <v>922</v>
      </c>
      <c r="L34" s="60"/>
      <c r="M34" s="60"/>
      <c r="N34" s="60"/>
      <c r="O34" s="59"/>
      <c r="P34" s="59"/>
      <c r="Q34" s="59"/>
      <c r="R34" s="59"/>
      <c r="S34" s="59"/>
      <c r="T34" s="59"/>
    </row>
    <row r="35" spans="1:20" ht="15.75" customHeight="1">
      <c r="A35" s="1" t="s">
        <v>17</v>
      </c>
      <c r="B35" s="1">
        <f t="shared" ref="B35:G35" si="1">B34/$I$34</f>
        <v>528.0344827586207</v>
      </c>
      <c r="C35" s="1">
        <f t="shared" si="1"/>
        <v>39.310344827586206</v>
      </c>
      <c r="D35" s="1">
        <f t="shared" si="1"/>
        <v>17.96551724137931</v>
      </c>
      <c r="E35" s="1">
        <f t="shared" si="1"/>
        <v>39.862068965517238</v>
      </c>
      <c r="F35" s="1">
        <f t="shared" si="1"/>
        <v>58.689655172413794</v>
      </c>
      <c r="G35" s="1">
        <f t="shared" si="1"/>
        <v>85.41379310344827</v>
      </c>
    </row>
    <row r="36" spans="1:20" ht="15.75" customHeight="1">
      <c r="A36" s="1" t="s">
        <v>58</v>
      </c>
      <c r="B36" s="1">
        <f t="shared" ref="B36:G36" si="2">B34/$K$34</f>
        <v>16.608459869848158</v>
      </c>
      <c r="C36" s="1">
        <f t="shared" si="2"/>
        <v>1.2364425162689805</v>
      </c>
      <c r="D36" s="1">
        <f t="shared" si="2"/>
        <v>0.56507592190889366</v>
      </c>
      <c r="E36" s="1">
        <f t="shared" si="2"/>
        <v>1.2537960954446854</v>
      </c>
      <c r="F36" s="1">
        <f t="shared" si="2"/>
        <v>1.8459869848156183</v>
      </c>
      <c r="G36" s="1">
        <f t="shared" si="2"/>
        <v>2.6865509761388284</v>
      </c>
      <c r="I36" s="1" t="s">
        <v>19</v>
      </c>
      <c r="J36" s="1">
        <f>K34/I34</f>
        <v>31.793103448275861</v>
      </c>
    </row>
    <row r="37" spans="1:20" ht="15.75" customHeight="1">
      <c r="A37" s="1" t="s">
        <v>264</v>
      </c>
      <c r="B37" s="1">
        <f t="shared" ref="B37:G37" si="3">MAX(B2:B32)</f>
        <v>726</v>
      </c>
      <c r="C37" s="1">
        <f t="shared" si="3"/>
        <v>61</v>
      </c>
      <c r="D37" s="1">
        <f t="shared" si="3"/>
        <v>22</v>
      </c>
      <c r="E37" s="1">
        <f t="shared" si="3"/>
        <v>52</v>
      </c>
      <c r="F37" s="1">
        <f t="shared" si="3"/>
        <v>74</v>
      </c>
      <c r="G37" s="1">
        <f t="shared" si="3"/>
        <v>209</v>
      </c>
    </row>
    <row r="38" spans="1:20" ht="15.75" customHeight="1">
      <c r="A38" s="34" t="s">
        <v>265</v>
      </c>
      <c r="B38" s="41">
        <f t="shared" ref="B38:G38" si="4">STDEV(B2:B32)</f>
        <v>122.5402545227267</v>
      </c>
      <c r="C38" s="41">
        <f t="shared" si="4"/>
        <v>10.639447798751853</v>
      </c>
      <c r="D38" s="41">
        <f t="shared" si="4"/>
        <v>1.8636304031566684</v>
      </c>
      <c r="E38" s="41">
        <f t="shared" si="4"/>
        <v>4.1147518510475196</v>
      </c>
      <c r="F38" s="41">
        <f t="shared" si="4"/>
        <v>5.2841821169563508</v>
      </c>
      <c r="G38" s="41">
        <f t="shared" si="4"/>
        <v>35.200073313706639</v>
      </c>
    </row>
    <row r="39" spans="1:20" ht="15.75" customHeight="1">
      <c r="A39" s="34"/>
      <c r="B39" s="41"/>
      <c r="C39" s="41"/>
      <c r="D39" s="41"/>
      <c r="E39" s="41"/>
      <c r="F39" s="41"/>
    </row>
    <row r="40" spans="1:20" ht="15.75" customHeight="1">
      <c r="A40" s="34"/>
      <c r="B40" s="41"/>
      <c r="C40" s="41"/>
      <c r="D40" s="41"/>
      <c r="E40" s="41"/>
      <c r="F40" s="41"/>
    </row>
    <row r="41" spans="1:20" ht="15.75" customHeight="1">
      <c r="A41" s="34"/>
      <c r="B41" s="41"/>
      <c r="C41" s="41"/>
      <c r="D41" s="34"/>
      <c r="E41" s="41"/>
      <c r="F41" s="41"/>
    </row>
    <row r="42" spans="1:20" ht="15.75" customHeight="1">
      <c r="A42" s="34"/>
      <c r="B42" s="41"/>
      <c r="C42" s="41"/>
      <c r="D42" s="34"/>
      <c r="E42" s="41"/>
      <c r="F42" s="41"/>
    </row>
    <row r="43" spans="1:20" ht="15.75" customHeight="1">
      <c r="A43" s="34"/>
      <c r="B43" s="41"/>
      <c r="C43" s="41"/>
      <c r="D43" s="34"/>
      <c r="E43" s="41"/>
      <c r="F43" s="41"/>
    </row>
    <row r="44" spans="1:20" ht="15.75" customHeight="1">
      <c r="A44" s="34"/>
      <c r="B44" s="41"/>
      <c r="C44" s="41"/>
      <c r="D44" s="34"/>
      <c r="E44" s="41"/>
      <c r="F44" s="41"/>
    </row>
    <row r="45" spans="1:20" ht="15.75" customHeight="1">
      <c r="A45" s="34"/>
      <c r="B45" s="41"/>
      <c r="C45" s="41"/>
      <c r="D45" s="34"/>
      <c r="E45" s="41"/>
      <c r="F45" s="41"/>
    </row>
    <row r="46" spans="1:20" ht="15.75" customHeight="1">
      <c r="A46" s="34"/>
      <c r="B46" s="41"/>
      <c r="C46" s="41"/>
      <c r="D46" s="34"/>
      <c r="E46" s="41"/>
      <c r="F46" s="41"/>
    </row>
    <row r="47" spans="1:20" ht="15.75" customHeight="1">
      <c r="A47" s="34"/>
      <c r="B47" s="41"/>
      <c r="C47" s="41"/>
      <c r="D47" s="34"/>
      <c r="E47" s="41"/>
      <c r="F47" s="41"/>
    </row>
    <row r="48" spans="1:20" ht="15.75" customHeight="1">
      <c r="A48" s="34"/>
      <c r="B48" s="41"/>
      <c r="C48" s="41"/>
      <c r="D48" s="34"/>
      <c r="E48" s="41"/>
      <c r="F48" s="41"/>
    </row>
    <row r="49" spans="1:6" ht="15.75" customHeight="1">
      <c r="A49" s="34"/>
      <c r="B49" s="41"/>
      <c r="C49" s="41"/>
      <c r="D49" s="34"/>
      <c r="E49" s="41"/>
      <c r="F49" s="41"/>
    </row>
    <row r="50" spans="1:6" ht="15.75" customHeight="1">
      <c r="A50" s="34"/>
      <c r="B50" s="41"/>
      <c r="C50" s="41"/>
      <c r="D50" s="34"/>
      <c r="E50" s="41"/>
      <c r="F50" s="41"/>
    </row>
    <row r="51" spans="1:6" ht="13">
      <c r="A51" s="34"/>
      <c r="B51" s="41"/>
      <c r="C51" s="41"/>
      <c r="D51" s="34"/>
      <c r="E51" s="41"/>
      <c r="F51" s="41"/>
    </row>
    <row r="52" spans="1:6" ht="13">
      <c r="A52" s="34"/>
      <c r="B52" s="41"/>
      <c r="C52" s="41"/>
      <c r="D52" s="34"/>
      <c r="E52" s="41"/>
      <c r="F52" s="41"/>
    </row>
    <row r="53" spans="1:6" ht="13">
      <c r="A53" s="34"/>
      <c r="B53" s="41"/>
      <c r="C53" s="41"/>
      <c r="D53" s="34"/>
      <c r="E53" s="41"/>
      <c r="F53" s="41"/>
    </row>
    <row r="54" spans="1:6" ht="13">
      <c r="A54" s="34"/>
      <c r="B54" s="41"/>
      <c r="C54" s="41"/>
      <c r="D54" s="34"/>
      <c r="E54" s="41"/>
      <c r="F54" s="41"/>
    </row>
    <row r="55" spans="1:6" ht="13">
      <c r="A55" s="34"/>
      <c r="B55" s="41"/>
      <c r="C55" s="41"/>
      <c r="D55" s="34"/>
      <c r="E55" s="41"/>
      <c r="F55" s="41"/>
    </row>
    <row r="56" spans="1:6" ht="13">
      <c r="A56" s="34"/>
      <c r="B56" s="41"/>
      <c r="C56" s="41"/>
      <c r="D56" s="34"/>
      <c r="E56" s="41"/>
      <c r="F56" s="41"/>
    </row>
    <row r="57" spans="1:6" ht="13">
      <c r="A57" s="34"/>
      <c r="B57" s="41"/>
      <c r="C57" s="41"/>
      <c r="D57" s="34"/>
      <c r="E57" s="41"/>
      <c r="F57" s="41"/>
    </row>
    <row r="58" spans="1:6" ht="13">
      <c r="A58" s="34"/>
      <c r="B58" s="41"/>
      <c r="C58" s="41"/>
      <c r="D58" s="34"/>
      <c r="E58" s="41"/>
      <c r="F58" s="41"/>
    </row>
    <row r="59" spans="1:6" ht="13">
      <c r="A59" s="34"/>
      <c r="B59" s="41"/>
      <c r="C59" s="41"/>
      <c r="D59" s="34"/>
      <c r="E59" s="41"/>
      <c r="F59" s="41"/>
    </row>
    <row r="60" spans="1:6" ht="13">
      <c r="A60" s="34"/>
      <c r="B60" s="41"/>
      <c r="C60" s="41"/>
      <c r="D60" s="34"/>
      <c r="E60" s="41"/>
      <c r="F60" s="41"/>
    </row>
    <row r="61" spans="1:6" ht="13">
      <c r="A61" s="34"/>
      <c r="B61" s="41"/>
      <c r="C61" s="41"/>
      <c r="D61" s="34"/>
      <c r="E61" s="41"/>
      <c r="F61" s="41"/>
    </row>
    <row r="62" spans="1:6" ht="13">
      <c r="A62" s="34"/>
      <c r="B62" s="41"/>
      <c r="C62" s="41"/>
      <c r="D62" s="34"/>
      <c r="E62" s="41"/>
      <c r="F62" s="41"/>
    </row>
    <row r="63" spans="1:6" ht="13">
      <c r="A63" s="34"/>
      <c r="B63" s="41"/>
      <c r="C63" s="41"/>
      <c r="D63" s="34"/>
      <c r="E63" s="41"/>
      <c r="F63" s="41"/>
    </row>
    <row r="64" spans="1:6" ht="13">
      <c r="A64" s="34"/>
      <c r="B64" s="41"/>
      <c r="C64" s="41"/>
      <c r="D64" s="34"/>
      <c r="E64" s="41"/>
      <c r="F64" s="41"/>
    </row>
    <row r="65" spans="1:6" ht="13">
      <c r="A65" s="34"/>
      <c r="B65" s="41"/>
      <c r="C65" s="41"/>
      <c r="D65" s="34"/>
      <c r="E65" s="41"/>
      <c r="F65" s="41"/>
    </row>
    <row r="66" spans="1:6" ht="13">
      <c r="A66" s="34"/>
      <c r="B66" s="41"/>
      <c r="C66" s="41"/>
      <c r="D66" s="34"/>
      <c r="E66" s="41"/>
      <c r="F66" s="41"/>
    </row>
    <row r="67" spans="1:6" ht="13">
      <c r="A67" s="34"/>
      <c r="B67" s="41"/>
      <c r="C67" s="41"/>
      <c r="D67" s="34"/>
      <c r="E67" s="41"/>
      <c r="F67" s="41"/>
    </row>
    <row r="68" spans="1:6" ht="13">
      <c r="A68" s="34"/>
      <c r="B68" s="41"/>
      <c r="C68" s="41"/>
      <c r="D68" s="34"/>
      <c r="E68" s="41"/>
      <c r="F68" s="41"/>
    </row>
    <row r="69" spans="1:6" ht="13">
      <c r="D69" s="34"/>
      <c r="E69" s="41"/>
    </row>
    <row r="70" spans="1:6" ht="13">
      <c r="D70" s="34"/>
      <c r="E70" s="41"/>
    </row>
    <row r="71" spans="1:6" ht="13">
      <c r="D71" s="34"/>
      <c r="E71" s="41"/>
    </row>
  </sheetData>
  <hyperlinks>
    <hyperlink ref="I2" r:id="rId1" xr:uid="{00000000-0004-0000-1000-000000000000}"/>
    <hyperlink ref="I3" r:id="rId2" xr:uid="{00000000-0004-0000-1000-000001000000}"/>
    <hyperlink ref="I4" r:id="rId3" xr:uid="{00000000-0004-0000-1000-000002000000}"/>
    <hyperlink ref="I5" r:id="rId4" xr:uid="{00000000-0004-0000-1000-000003000000}"/>
    <hyperlink ref="I6" r:id="rId5" xr:uid="{00000000-0004-0000-1000-000004000000}"/>
    <hyperlink ref="I7" r:id="rId6" xr:uid="{00000000-0004-0000-1000-000005000000}"/>
    <hyperlink ref="I8" r:id="rId7" xr:uid="{00000000-0004-0000-1000-000006000000}"/>
    <hyperlink ref="I9" r:id="rId8" xr:uid="{00000000-0004-0000-1000-000007000000}"/>
    <hyperlink ref="I10" r:id="rId9" xr:uid="{00000000-0004-0000-1000-000008000000}"/>
    <hyperlink ref="I11" r:id="rId10" xr:uid="{00000000-0004-0000-1000-000009000000}"/>
    <hyperlink ref="I12" r:id="rId11" xr:uid="{00000000-0004-0000-1000-00000A000000}"/>
    <hyperlink ref="I13" r:id="rId12" xr:uid="{00000000-0004-0000-1000-00000B000000}"/>
    <hyperlink ref="I14" r:id="rId13" xr:uid="{00000000-0004-0000-1000-00000C000000}"/>
    <hyperlink ref="I15" r:id="rId14" xr:uid="{00000000-0004-0000-1000-00000D000000}"/>
    <hyperlink ref="I16" r:id="rId15" xr:uid="{00000000-0004-0000-1000-00000E000000}"/>
    <hyperlink ref="I17" r:id="rId16" xr:uid="{00000000-0004-0000-1000-00000F000000}"/>
    <hyperlink ref="I18" r:id="rId17" xr:uid="{00000000-0004-0000-1000-000010000000}"/>
    <hyperlink ref="I19" r:id="rId18" xr:uid="{00000000-0004-0000-1000-000011000000}"/>
    <hyperlink ref="I20" r:id="rId19" xr:uid="{00000000-0004-0000-1000-000012000000}"/>
    <hyperlink ref="I21" r:id="rId20" xr:uid="{00000000-0004-0000-1000-000013000000}"/>
    <hyperlink ref="I22" r:id="rId21" xr:uid="{00000000-0004-0000-1000-000014000000}"/>
    <hyperlink ref="I23" r:id="rId22" xr:uid="{00000000-0004-0000-1000-000015000000}"/>
    <hyperlink ref="I24" r:id="rId23" xr:uid="{00000000-0004-0000-1000-000016000000}"/>
    <hyperlink ref="I25" r:id="rId24" xr:uid="{00000000-0004-0000-1000-000017000000}"/>
    <hyperlink ref="I26" r:id="rId25" xr:uid="{00000000-0004-0000-1000-000018000000}"/>
    <hyperlink ref="I27" r:id="rId26" xr:uid="{00000000-0004-0000-1000-000019000000}"/>
    <hyperlink ref="I28" r:id="rId27" xr:uid="{00000000-0004-0000-1000-00001A000000}"/>
    <hyperlink ref="I29" r:id="rId28" xr:uid="{00000000-0004-0000-1000-00001B000000}"/>
    <hyperlink ref="I30" r:id="rId29" xr:uid="{00000000-0004-0000-1000-00001C000000}"/>
    <hyperlink ref="I31" r:id="rId30" xr:uid="{00000000-0004-0000-1000-00001D000000}"/>
    <hyperlink ref="I32" r:id="rId31" xr:uid="{00000000-0004-0000-1000-00001E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T54"/>
  <sheetViews>
    <sheetView workbookViewId="0">
      <selection activeCell="B3" sqref="B3"/>
    </sheetView>
  </sheetViews>
  <sheetFormatPr baseColWidth="10" defaultColWidth="12.6640625" defaultRowHeight="15.75" customHeight="1"/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 t="s">
        <v>228</v>
      </c>
      <c r="K1" s="51" t="s">
        <v>229</v>
      </c>
      <c r="L1" s="51"/>
      <c r="M1" s="51"/>
      <c r="N1" s="54"/>
      <c r="O1" s="51"/>
      <c r="P1" s="51"/>
      <c r="Q1" s="51"/>
      <c r="R1" s="51"/>
      <c r="S1" s="51"/>
      <c r="T1" s="51"/>
    </row>
    <row r="2" spans="1:20" ht="15.75" customHeight="1">
      <c r="A2" s="34" t="s">
        <v>112</v>
      </c>
      <c r="B2" s="41">
        <v>317</v>
      </c>
      <c r="C2" s="41">
        <v>20</v>
      </c>
      <c r="D2" s="41">
        <v>17</v>
      </c>
      <c r="E2" s="41">
        <v>36</v>
      </c>
      <c r="F2" s="41">
        <v>49</v>
      </c>
      <c r="G2" s="41">
        <v>35</v>
      </c>
      <c r="H2" s="61">
        <v>45600</v>
      </c>
      <c r="I2" s="63" t="s">
        <v>451</v>
      </c>
      <c r="J2" s="51">
        <v>1</v>
      </c>
      <c r="K2" s="51">
        <v>17</v>
      </c>
      <c r="L2" s="51"/>
      <c r="M2" s="51"/>
      <c r="N2" s="54"/>
      <c r="O2" s="51"/>
      <c r="P2" s="51"/>
      <c r="Q2" s="51"/>
      <c r="R2" s="51"/>
      <c r="S2" s="51"/>
      <c r="T2" s="51"/>
    </row>
    <row r="3" spans="1:20" ht="15.75" customHeight="1">
      <c r="A3" s="34" t="s">
        <v>113</v>
      </c>
      <c r="B3" s="41">
        <v>370</v>
      </c>
      <c r="C3" s="41">
        <v>23</v>
      </c>
      <c r="D3" s="41">
        <v>16</v>
      </c>
      <c r="E3" s="41">
        <v>35</v>
      </c>
      <c r="F3" s="41">
        <v>52</v>
      </c>
      <c r="G3" s="41">
        <v>43</v>
      </c>
      <c r="H3" s="61">
        <v>45603</v>
      </c>
      <c r="I3" s="63" t="s">
        <v>452</v>
      </c>
      <c r="J3" s="51">
        <v>0</v>
      </c>
      <c r="K3" s="51">
        <v>23</v>
      </c>
      <c r="L3" s="51"/>
      <c r="M3" s="51"/>
      <c r="N3" s="51"/>
      <c r="O3" s="51"/>
      <c r="P3" s="51"/>
      <c r="Q3" s="51"/>
      <c r="R3" s="51"/>
      <c r="S3" s="51"/>
      <c r="T3" s="51"/>
    </row>
    <row r="4" spans="1:20" ht="15.75" customHeight="1">
      <c r="A4" s="34" t="s">
        <v>114</v>
      </c>
      <c r="B4" s="41">
        <v>353</v>
      </c>
      <c r="C4" s="41">
        <v>30</v>
      </c>
      <c r="D4" s="41">
        <v>16</v>
      </c>
      <c r="E4" s="41">
        <v>33</v>
      </c>
      <c r="F4" s="41">
        <v>50</v>
      </c>
      <c r="G4" s="41">
        <v>53</v>
      </c>
      <c r="H4" s="61">
        <v>45605</v>
      </c>
      <c r="I4" s="63" t="s">
        <v>453</v>
      </c>
      <c r="J4" s="51">
        <v>0</v>
      </c>
      <c r="K4" s="51">
        <v>19</v>
      </c>
      <c r="L4" s="51"/>
      <c r="M4" s="51"/>
      <c r="N4" s="51"/>
      <c r="O4" s="51"/>
      <c r="P4" s="51"/>
      <c r="Q4" s="51"/>
      <c r="R4" s="51"/>
      <c r="S4" s="51"/>
      <c r="T4" s="51"/>
    </row>
    <row r="5" spans="1:20" ht="15.75" customHeight="1">
      <c r="A5" s="34" t="s">
        <v>115</v>
      </c>
      <c r="B5" s="41">
        <v>407</v>
      </c>
      <c r="C5" s="41">
        <v>22</v>
      </c>
      <c r="D5" s="41">
        <v>19</v>
      </c>
      <c r="E5" s="41">
        <v>34</v>
      </c>
      <c r="F5" s="41">
        <v>41</v>
      </c>
      <c r="G5" s="41">
        <v>35</v>
      </c>
      <c r="H5" s="64">
        <v>45610</v>
      </c>
      <c r="I5" s="63" t="s">
        <v>454</v>
      </c>
      <c r="J5" s="51">
        <v>0</v>
      </c>
      <c r="K5" s="51">
        <v>13</v>
      </c>
      <c r="L5" s="51"/>
      <c r="M5" s="51"/>
      <c r="N5" s="51"/>
      <c r="O5" s="51"/>
      <c r="P5" s="51"/>
      <c r="Q5" s="51"/>
      <c r="R5" s="51"/>
      <c r="S5" s="51"/>
      <c r="T5" s="51"/>
    </row>
    <row r="6" spans="1:20" ht="15.75" customHeight="1">
      <c r="A6" s="34" t="s">
        <v>116</v>
      </c>
      <c r="B6" s="41">
        <v>232</v>
      </c>
      <c r="C6" s="41">
        <v>23</v>
      </c>
      <c r="D6" s="41">
        <v>16</v>
      </c>
      <c r="E6" s="41">
        <v>36</v>
      </c>
      <c r="F6" s="41">
        <v>46</v>
      </c>
      <c r="G6" s="41">
        <v>29</v>
      </c>
      <c r="H6" s="64">
        <v>45616</v>
      </c>
      <c r="I6" s="63" t="s">
        <v>455</v>
      </c>
      <c r="J6" s="51">
        <v>3</v>
      </c>
      <c r="K6" s="51">
        <v>11</v>
      </c>
      <c r="L6" s="54"/>
      <c r="M6" s="54"/>
      <c r="N6" s="51"/>
      <c r="O6" s="51"/>
      <c r="P6" s="51"/>
      <c r="Q6" s="51"/>
      <c r="R6" s="51"/>
      <c r="S6" s="51"/>
      <c r="T6" s="51"/>
    </row>
    <row r="7" spans="1:20" ht="15.75" customHeight="1">
      <c r="A7" s="34" t="s">
        <v>117</v>
      </c>
      <c r="B7" s="41">
        <v>238</v>
      </c>
      <c r="C7" s="41">
        <v>20</v>
      </c>
      <c r="D7" s="41">
        <v>19</v>
      </c>
      <c r="E7" s="41">
        <v>36</v>
      </c>
      <c r="F7" s="41">
        <v>50</v>
      </c>
      <c r="G7" s="41">
        <v>48</v>
      </c>
      <c r="H7" s="64">
        <v>45618</v>
      </c>
      <c r="I7" s="63" t="s">
        <v>456</v>
      </c>
      <c r="J7" s="51">
        <v>1</v>
      </c>
      <c r="K7" s="51">
        <v>14</v>
      </c>
      <c r="L7" s="51"/>
      <c r="M7" s="51"/>
      <c r="N7" s="54"/>
      <c r="O7" s="51"/>
      <c r="P7" s="51"/>
      <c r="Q7" s="51"/>
      <c r="R7" s="51"/>
      <c r="S7" s="51"/>
      <c r="T7" s="51"/>
    </row>
    <row r="8" spans="1:20" ht="15.75" customHeight="1">
      <c r="A8" s="34" t="s">
        <v>118</v>
      </c>
      <c r="B8" s="41">
        <v>391</v>
      </c>
      <c r="C8" s="41">
        <v>31</v>
      </c>
      <c r="D8" s="41">
        <v>18</v>
      </c>
      <c r="E8" s="41">
        <v>39</v>
      </c>
      <c r="F8" s="41">
        <v>57</v>
      </c>
      <c r="G8" s="41">
        <v>54</v>
      </c>
      <c r="H8" s="64">
        <v>45622</v>
      </c>
      <c r="I8" s="63" t="s">
        <v>457</v>
      </c>
      <c r="J8" s="51">
        <v>2</v>
      </c>
      <c r="K8" s="51">
        <v>23</v>
      </c>
      <c r="L8" s="54"/>
      <c r="M8" s="51"/>
      <c r="N8" s="51"/>
      <c r="O8" s="51"/>
      <c r="P8" s="51"/>
      <c r="Q8" s="51"/>
      <c r="R8" s="51"/>
      <c r="S8" s="51"/>
      <c r="T8" s="51"/>
    </row>
    <row r="9" spans="1:20" ht="15.75" customHeight="1">
      <c r="A9" s="34" t="s">
        <v>119</v>
      </c>
      <c r="B9" s="41">
        <v>466</v>
      </c>
      <c r="C9" s="41">
        <v>30</v>
      </c>
      <c r="D9" s="41">
        <v>18</v>
      </c>
      <c r="E9" s="41">
        <v>40</v>
      </c>
      <c r="F9" s="41">
        <v>55</v>
      </c>
      <c r="G9" s="41">
        <v>62</v>
      </c>
      <c r="H9" s="64">
        <v>45623</v>
      </c>
      <c r="I9" s="63" t="s">
        <v>458</v>
      </c>
      <c r="J9" s="51">
        <v>1</v>
      </c>
      <c r="K9" s="51">
        <v>28</v>
      </c>
      <c r="L9" s="51"/>
      <c r="M9" s="51"/>
      <c r="N9" s="54"/>
      <c r="O9" s="51"/>
      <c r="P9" s="51"/>
      <c r="Q9" s="51"/>
      <c r="R9" s="51"/>
      <c r="S9" s="51"/>
      <c r="T9" s="51"/>
    </row>
    <row r="10" spans="1:20" ht="15.75" customHeight="1">
      <c r="A10" s="34" t="s">
        <v>120</v>
      </c>
      <c r="B10" s="41">
        <v>128</v>
      </c>
      <c r="C10" s="41">
        <v>10</v>
      </c>
      <c r="D10" s="41">
        <v>18</v>
      </c>
      <c r="E10" s="41">
        <v>38</v>
      </c>
      <c r="F10" s="41">
        <v>55</v>
      </c>
      <c r="G10" s="41">
        <v>20</v>
      </c>
      <c r="H10" s="61">
        <v>45631</v>
      </c>
      <c r="I10" s="63" t="s">
        <v>459</v>
      </c>
      <c r="J10" s="51">
        <v>0</v>
      </c>
      <c r="K10" s="51">
        <v>8</v>
      </c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.75" customHeight="1">
      <c r="A11" s="34" t="s">
        <v>121</v>
      </c>
      <c r="B11" s="41">
        <v>192</v>
      </c>
      <c r="C11" s="41">
        <v>11</v>
      </c>
      <c r="D11" s="41">
        <v>18</v>
      </c>
      <c r="E11" s="41">
        <v>42</v>
      </c>
      <c r="F11" s="41">
        <v>63</v>
      </c>
      <c r="G11" s="41">
        <v>30</v>
      </c>
      <c r="H11" s="61">
        <v>45633</v>
      </c>
      <c r="I11" s="63" t="s">
        <v>460</v>
      </c>
      <c r="J11" s="51">
        <v>0</v>
      </c>
      <c r="K11" s="51">
        <v>10</v>
      </c>
      <c r="L11" s="51"/>
      <c r="M11" s="51"/>
      <c r="N11" s="51"/>
      <c r="O11" s="51"/>
      <c r="P11" s="51"/>
      <c r="Q11" s="51"/>
      <c r="R11" s="51"/>
      <c r="S11" s="51"/>
      <c r="T11" s="51"/>
    </row>
    <row r="12" spans="1:20" ht="15.75" customHeight="1">
      <c r="A12" s="34" t="s">
        <v>122</v>
      </c>
      <c r="B12" s="41">
        <v>189</v>
      </c>
      <c r="C12" s="41">
        <v>16</v>
      </c>
      <c r="D12" s="41">
        <v>20</v>
      </c>
      <c r="E12" s="41">
        <v>35</v>
      </c>
      <c r="F12" s="41">
        <v>57</v>
      </c>
      <c r="G12" s="41">
        <v>28</v>
      </c>
      <c r="H12" s="64">
        <v>45639</v>
      </c>
      <c r="I12" s="63" t="s">
        <v>461</v>
      </c>
      <c r="J12" s="51">
        <v>0</v>
      </c>
      <c r="K12" s="51">
        <v>9</v>
      </c>
      <c r="L12" s="51"/>
      <c r="M12" s="51"/>
      <c r="N12" s="51"/>
      <c r="O12" s="51"/>
      <c r="P12" s="51"/>
      <c r="Q12" s="51"/>
      <c r="R12" s="51"/>
      <c r="S12" s="51"/>
      <c r="T12" s="51"/>
    </row>
    <row r="13" spans="1:20" ht="15.75" customHeight="1">
      <c r="A13" s="34" t="s">
        <v>131</v>
      </c>
      <c r="B13" s="41">
        <v>4</v>
      </c>
      <c r="C13" s="41">
        <v>0</v>
      </c>
      <c r="D13" s="41" t="s">
        <v>308</v>
      </c>
      <c r="E13" s="41" t="s">
        <v>308</v>
      </c>
      <c r="F13" s="41" t="s">
        <v>308</v>
      </c>
      <c r="G13" s="41">
        <v>0</v>
      </c>
      <c r="H13" s="61">
        <v>45676</v>
      </c>
      <c r="I13" s="63" t="s">
        <v>462</v>
      </c>
      <c r="J13" s="51">
        <v>0</v>
      </c>
      <c r="K13" s="51">
        <v>2</v>
      </c>
      <c r="L13" s="51"/>
      <c r="M13" s="51"/>
      <c r="N13" s="51"/>
      <c r="O13" s="51"/>
      <c r="P13" s="51"/>
      <c r="Q13" s="51"/>
      <c r="R13" s="51"/>
      <c r="S13" s="51"/>
      <c r="T13" s="51"/>
    </row>
    <row r="14" spans="1:20" ht="15.75" customHeight="1">
      <c r="A14" s="34" t="s">
        <v>315</v>
      </c>
      <c r="B14" s="41">
        <v>274</v>
      </c>
      <c r="C14" s="41">
        <v>15</v>
      </c>
      <c r="D14" s="41">
        <v>17</v>
      </c>
      <c r="E14" s="41">
        <v>38</v>
      </c>
      <c r="F14" s="41">
        <v>49</v>
      </c>
      <c r="G14" s="41">
        <v>37</v>
      </c>
      <c r="H14" s="61">
        <v>45680</v>
      </c>
      <c r="I14" s="63" t="s">
        <v>463</v>
      </c>
      <c r="J14" s="51">
        <v>2</v>
      </c>
      <c r="K14" s="51">
        <v>12</v>
      </c>
      <c r="L14" s="54"/>
      <c r="M14" s="51"/>
      <c r="N14" s="51"/>
      <c r="O14" s="51"/>
      <c r="P14" s="51"/>
      <c r="Q14" s="51"/>
      <c r="R14" s="51"/>
      <c r="S14" s="51"/>
      <c r="T14" s="51"/>
    </row>
    <row r="15" spans="1:20" ht="15.75" customHeight="1">
      <c r="A15" s="34" t="s">
        <v>132</v>
      </c>
      <c r="B15" s="41">
        <v>211</v>
      </c>
      <c r="C15" s="41">
        <v>14</v>
      </c>
      <c r="D15" s="41">
        <v>15</v>
      </c>
      <c r="E15" s="41">
        <v>33</v>
      </c>
      <c r="F15" s="41">
        <v>49</v>
      </c>
      <c r="G15" s="41">
        <v>31</v>
      </c>
      <c r="H15" s="61">
        <v>45687</v>
      </c>
      <c r="I15" s="63" t="s">
        <v>464</v>
      </c>
      <c r="J15" s="51">
        <v>3</v>
      </c>
      <c r="K15" s="51">
        <v>14</v>
      </c>
      <c r="L15" s="54"/>
      <c r="M15" s="51"/>
      <c r="N15" s="54"/>
      <c r="O15" s="51"/>
      <c r="P15" s="51"/>
      <c r="Q15" s="51"/>
      <c r="R15" s="51"/>
      <c r="S15" s="51"/>
      <c r="T15" s="51"/>
    </row>
    <row r="16" spans="1:20" ht="15.75" customHeight="1">
      <c r="A16" s="34" t="s">
        <v>134</v>
      </c>
      <c r="B16" s="41">
        <v>98</v>
      </c>
      <c r="C16" s="41">
        <v>6</v>
      </c>
      <c r="D16" s="41">
        <v>17</v>
      </c>
      <c r="E16" s="41">
        <v>37</v>
      </c>
      <c r="F16" s="41" t="s">
        <v>308</v>
      </c>
      <c r="G16" s="41">
        <v>18</v>
      </c>
      <c r="H16" s="61">
        <v>45694</v>
      </c>
      <c r="I16" s="63" t="s">
        <v>465</v>
      </c>
      <c r="J16" s="51">
        <v>0</v>
      </c>
      <c r="K16" s="51">
        <v>6</v>
      </c>
      <c r="L16" s="54"/>
      <c r="M16" s="51"/>
      <c r="N16" s="54"/>
      <c r="O16" s="51"/>
      <c r="P16" s="51"/>
      <c r="Q16" s="51"/>
      <c r="R16" s="51"/>
      <c r="S16" s="51"/>
      <c r="T16" s="51"/>
    </row>
    <row r="17" spans="1:20" ht="15.75" customHeight="1">
      <c r="A17" s="34" t="s">
        <v>136</v>
      </c>
      <c r="B17" s="41">
        <v>127</v>
      </c>
      <c r="C17" s="41">
        <v>11</v>
      </c>
      <c r="D17" s="41">
        <v>16</v>
      </c>
      <c r="E17" s="41">
        <v>37</v>
      </c>
      <c r="F17" s="41">
        <v>54</v>
      </c>
      <c r="G17" s="41">
        <v>17</v>
      </c>
      <c r="H17" s="61">
        <v>45697</v>
      </c>
      <c r="I17" s="63" t="s">
        <v>466</v>
      </c>
      <c r="J17" s="51">
        <v>0</v>
      </c>
      <c r="K17" s="51">
        <v>8</v>
      </c>
      <c r="L17" s="51"/>
      <c r="M17" s="51"/>
      <c r="N17" s="51"/>
      <c r="O17" s="51"/>
      <c r="P17" s="51"/>
      <c r="Q17" s="51"/>
      <c r="R17" s="51"/>
      <c r="S17" s="51"/>
      <c r="T17" s="51"/>
    </row>
    <row r="18" spans="1:20" ht="15.75" customHeight="1">
      <c r="A18" s="34" t="s">
        <v>137</v>
      </c>
      <c r="B18" s="41">
        <v>214</v>
      </c>
      <c r="C18" s="41">
        <v>13</v>
      </c>
      <c r="D18" s="41">
        <v>15</v>
      </c>
      <c r="E18" s="41">
        <v>38</v>
      </c>
      <c r="F18" s="41">
        <v>59</v>
      </c>
      <c r="G18" s="41">
        <v>17</v>
      </c>
      <c r="H18" s="61">
        <v>45701</v>
      </c>
      <c r="I18" s="63" t="s">
        <v>467</v>
      </c>
      <c r="J18" s="51">
        <v>0</v>
      </c>
      <c r="K18" s="51">
        <v>10</v>
      </c>
      <c r="L18" s="51"/>
      <c r="M18" s="51"/>
      <c r="N18" s="51"/>
      <c r="O18" s="51"/>
      <c r="P18" s="51"/>
      <c r="Q18" s="51"/>
      <c r="R18" s="51"/>
      <c r="S18" s="51"/>
      <c r="T18" s="51"/>
    </row>
    <row r="19" spans="1:20" ht="15.75" customHeight="1">
      <c r="A19" s="34" t="s">
        <v>139</v>
      </c>
      <c r="B19" s="41">
        <v>93</v>
      </c>
      <c r="C19" s="41">
        <v>7</v>
      </c>
      <c r="D19" s="41">
        <v>17</v>
      </c>
      <c r="E19" s="41">
        <v>33</v>
      </c>
      <c r="F19" s="41">
        <v>32</v>
      </c>
      <c r="G19" s="41">
        <v>12</v>
      </c>
      <c r="H19" s="61">
        <v>45708</v>
      </c>
      <c r="I19" s="63" t="s">
        <v>468</v>
      </c>
      <c r="J19" s="51">
        <v>0</v>
      </c>
      <c r="K19" s="51">
        <v>6</v>
      </c>
      <c r="L19" s="51"/>
      <c r="M19" s="51"/>
      <c r="N19" s="51"/>
      <c r="O19" s="51"/>
      <c r="P19" s="51"/>
      <c r="Q19" s="51"/>
      <c r="R19" s="51"/>
      <c r="S19" s="51"/>
      <c r="T19" s="51"/>
    </row>
    <row r="20" spans="1:20" ht="15.75" customHeight="1">
      <c r="A20" s="34" t="s">
        <v>140</v>
      </c>
      <c r="B20" s="41">
        <v>66</v>
      </c>
      <c r="C20" s="41">
        <v>2</v>
      </c>
      <c r="D20" s="41">
        <v>17</v>
      </c>
      <c r="E20" s="41">
        <v>36</v>
      </c>
      <c r="F20" s="41">
        <v>55</v>
      </c>
      <c r="G20" s="41">
        <v>6</v>
      </c>
      <c r="H20" s="61">
        <v>45711</v>
      </c>
      <c r="I20" s="63" t="s">
        <v>469</v>
      </c>
      <c r="J20" s="51">
        <v>0</v>
      </c>
      <c r="K20" s="51">
        <v>4</v>
      </c>
      <c r="L20" s="51"/>
      <c r="M20" s="51"/>
      <c r="N20" s="51"/>
      <c r="O20" s="51"/>
      <c r="P20" s="51"/>
      <c r="Q20" s="51"/>
      <c r="R20" s="51"/>
      <c r="S20" s="51"/>
      <c r="T20" s="51"/>
    </row>
    <row r="21" spans="1:20" ht="15.75" customHeight="1">
      <c r="A21" s="34" t="s">
        <v>142</v>
      </c>
      <c r="B21" s="41">
        <v>59</v>
      </c>
      <c r="C21" s="41">
        <v>3</v>
      </c>
      <c r="D21" s="41">
        <v>14</v>
      </c>
      <c r="E21" s="41" t="s">
        <v>308</v>
      </c>
      <c r="F21" s="41" t="s">
        <v>308</v>
      </c>
      <c r="G21" s="41">
        <v>7</v>
      </c>
      <c r="H21" s="61">
        <v>45715</v>
      </c>
      <c r="I21" s="63" t="s">
        <v>470</v>
      </c>
      <c r="J21" s="51">
        <v>0</v>
      </c>
      <c r="K21" s="51">
        <v>4</v>
      </c>
      <c r="L21" s="51"/>
      <c r="M21" s="51"/>
      <c r="N21" s="51"/>
      <c r="O21" s="51"/>
      <c r="P21" s="51"/>
      <c r="Q21" s="51"/>
      <c r="R21" s="51"/>
      <c r="S21" s="51"/>
      <c r="T21" s="51"/>
    </row>
    <row r="22" spans="1:20" ht="15.75" customHeight="1">
      <c r="A22" s="34" t="s">
        <v>143</v>
      </c>
      <c r="B22" s="41">
        <v>106</v>
      </c>
      <c r="C22" s="41">
        <v>6</v>
      </c>
      <c r="D22" s="41">
        <v>17</v>
      </c>
      <c r="E22" s="41">
        <v>37</v>
      </c>
      <c r="F22" s="41">
        <v>52</v>
      </c>
      <c r="G22" s="41">
        <v>16</v>
      </c>
      <c r="H22" s="61">
        <v>45718</v>
      </c>
      <c r="I22" s="63" t="s">
        <v>471</v>
      </c>
      <c r="J22" s="51">
        <v>0</v>
      </c>
      <c r="K22" s="51">
        <v>6</v>
      </c>
      <c r="L22" s="51"/>
      <c r="M22" s="51"/>
      <c r="N22" s="51"/>
      <c r="O22" s="51"/>
      <c r="P22" s="51"/>
      <c r="Q22" s="51"/>
      <c r="R22" s="51"/>
      <c r="S22" s="51"/>
      <c r="T22" s="51"/>
    </row>
    <row r="23" spans="1:20" ht="15.75" customHeight="1">
      <c r="A23" s="34" t="s">
        <v>139</v>
      </c>
      <c r="B23" s="41">
        <v>24</v>
      </c>
      <c r="C23" s="41">
        <v>0</v>
      </c>
      <c r="D23" s="41">
        <v>11</v>
      </c>
      <c r="E23" s="41">
        <v>23</v>
      </c>
      <c r="F23" s="41" t="s">
        <v>308</v>
      </c>
      <c r="G23" s="41">
        <v>2</v>
      </c>
      <c r="H23" s="61">
        <v>45722</v>
      </c>
      <c r="I23" s="63" t="s">
        <v>472</v>
      </c>
      <c r="J23" s="51">
        <v>0</v>
      </c>
      <c r="K23" s="51">
        <v>1</v>
      </c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15.75" customHeight="1">
      <c r="A24" s="34" t="s">
        <v>136</v>
      </c>
      <c r="B24" s="41">
        <v>40</v>
      </c>
      <c r="C24" s="41">
        <v>2</v>
      </c>
      <c r="D24" s="41">
        <v>16</v>
      </c>
      <c r="E24" s="41">
        <v>31</v>
      </c>
      <c r="F24" s="41" t="s">
        <v>308</v>
      </c>
      <c r="G24" s="41">
        <v>7</v>
      </c>
      <c r="H24" s="66">
        <v>45723</v>
      </c>
      <c r="I24" s="63" t="s">
        <v>473</v>
      </c>
      <c r="J24" s="59">
        <v>0</v>
      </c>
      <c r="K24" s="59">
        <v>2</v>
      </c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.75" customHeight="1">
      <c r="L25" s="59"/>
      <c r="M25" s="59"/>
      <c r="N25" s="59"/>
      <c r="O25" s="59"/>
      <c r="P25" s="59"/>
      <c r="Q25" s="59"/>
      <c r="R25" s="59"/>
      <c r="S25" s="59"/>
      <c r="T25" s="59"/>
    </row>
    <row r="26" spans="1:20" ht="15.75" customHeight="1">
      <c r="A26" s="1" t="s">
        <v>355</v>
      </c>
      <c r="B26" s="1">
        <f t="shared" ref="B26:G26" si="0">SUM(B2:B24)</f>
        <v>4599</v>
      </c>
      <c r="C26" s="1">
        <f t="shared" si="0"/>
        <v>315</v>
      </c>
      <c r="D26" s="1">
        <f t="shared" si="0"/>
        <v>367</v>
      </c>
      <c r="E26" s="1">
        <f t="shared" si="0"/>
        <v>747</v>
      </c>
      <c r="F26" s="1">
        <f t="shared" si="0"/>
        <v>925</v>
      </c>
      <c r="G26" s="1">
        <f t="shared" si="0"/>
        <v>607</v>
      </c>
      <c r="I26" s="1">
        <f>COUNTA(I2:I24)</f>
        <v>23</v>
      </c>
      <c r="K26" s="1">
        <f>SUM(K2:K24)</f>
        <v>250</v>
      </c>
    </row>
    <row r="28" spans="1:20" ht="15.75" customHeight="1">
      <c r="A28" s="1" t="s">
        <v>418</v>
      </c>
      <c r="B28" s="1">
        <f t="shared" ref="B28:G28" si="1">B26/$I$26</f>
        <v>199.95652173913044</v>
      </c>
      <c r="C28" s="1">
        <f t="shared" si="1"/>
        <v>13.695652173913043</v>
      </c>
      <c r="D28" s="1">
        <f t="shared" si="1"/>
        <v>15.956521739130435</v>
      </c>
      <c r="E28" s="1">
        <f t="shared" si="1"/>
        <v>32.478260869565219</v>
      </c>
      <c r="F28" s="1">
        <f t="shared" si="1"/>
        <v>40.217391304347828</v>
      </c>
      <c r="G28" s="1">
        <f t="shared" si="1"/>
        <v>26.391304347826086</v>
      </c>
      <c r="I28" s="1" t="s">
        <v>262</v>
      </c>
      <c r="J28" s="1">
        <f>K26/I26</f>
        <v>10.869565217391305</v>
      </c>
    </row>
    <row r="29" spans="1:20" ht="15.75" customHeight="1">
      <c r="A29" s="1" t="s">
        <v>18</v>
      </c>
      <c r="B29" s="1">
        <f t="shared" ref="B29:G29" si="2">B26/$K$26</f>
        <v>18.396000000000001</v>
      </c>
      <c r="C29" s="1">
        <f t="shared" si="2"/>
        <v>1.26</v>
      </c>
      <c r="D29" s="1">
        <f t="shared" si="2"/>
        <v>1.468</v>
      </c>
      <c r="E29" s="1">
        <f t="shared" si="2"/>
        <v>2.988</v>
      </c>
      <c r="F29" s="1">
        <f t="shared" si="2"/>
        <v>3.7</v>
      </c>
      <c r="G29" s="1">
        <f t="shared" si="2"/>
        <v>2.4279999999999999</v>
      </c>
    </row>
    <row r="30" spans="1:20" ht="15.75" customHeight="1">
      <c r="A30" s="1" t="s">
        <v>264</v>
      </c>
      <c r="B30" s="1">
        <f t="shared" ref="B30:G30" si="3">MAX(B2:B24)</f>
        <v>466</v>
      </c>
      <c r="C30" s="1">
        <f t="shared" si="3"/>
        <v>31</v>
      </c>
      <c r="D30" s="1">
        <f t="shared" si="3"/>
        <v>20</v>
      </c>
      <c r="E30" s="1">
        <f t="shared" si="3"/>
        <v>42</v>
      </c>
      <c r="F30" s="1">
        <f t="shared" si="3"/>
        <v>63</v>
      </c>
      <c r="G30" s="1">
        <f t="shared" si="3"/>
        <v>62</v>
      </c>
    </row>
    <row r="31" spans="1:20" ht="15.75" customHeight="1">
      <c r="A31" s="1" t="s">
        <v>265</v>
      </c>
      <c r="B31" s="1">
        <f t="shared" ref="B31:G31" si="4">STDEV(B2:B24)</f>
        <v>134.59720321992023</v>
      </c>
      <c r="C31" s="1">
        <f t="shared" si="4"/>
        <v>9.804612933849489</v>
      </c>
      <c r="D31" s="1">
        <f t="shared" si="4"/>
        <v>1.912026191202449</v>
      </c>
      <c r="E31" s="1">
        <f t="shared" si="4"/>
        <v>3.8674465551760293</v>
      </c>
      <c r="F31" s="1">
        <f t="shared" si="4"/>
        <v>7.0137586540681971</v>
      </c>
      <c r="G31" s="1">
        <f t="shared" si="4"/>
        <v>17.642250759404469</v>
      </c>
    </row>
    <row r="32" spans="1:20" ht="15.75" customHeight="1">
      <c r="A32" s="34"/>
      <c r="B32" s="41"/>
      <c r="C32" s="41"/>
      <c r="D32" s="41"/>
      <c r="E32" s="34"/>
      <c r="F32" s="41"/>
    </row>
    <row r="33" spans="1:6" ht="15.75" customHeight="1">
      <c r="A33" s="34"/>
      <c r="B33" s="41"/>
      <c r="C33" s="41"/>
      <c r="D33" s="41"/>
      <c r="E33" s="34"/>
      <c r="F33" s="41"/>
    </row>
    <row r="34" spans="1:6" ht="15.75" customHeight="1">
      <c r="A34" s="34"/>
      <c r="B34" s="41"/>
      <c r="C34" s="41"/>
      <c r="D34" s="41"/>
      <c r="E34" s="34"/>
      <c r="F34" s="41"/>
    </row>
    <row r="35" spans="1:6" ht="15.75" customHeight="1">
      <c r="A35" s="34"/>
      <c r="B35" s="41"/>
      <c r="C35" s="41"/>
      <c r="D35" s="41"/>
      <c r="E35" s="34"/>
      <c r="F35" s="41"/>
    </row>
    <row r="36" spans="1:6" ht="15.75" customHeight="1">
      <c r="A36" s="34"/>
      <c r="B36" s="41"/>
      <c r="C36" s="41"/>
      <c r="D36" s="41"/>
      <c r="E36" s="34"/>
      <c r="F36" s="41"/>
    </row>
    <row r="37" spans="1:6" ht="15.75" customHeight="1">
      <c r="A37" s="34"/>
      <c r="B37" s="41"/>
      <c r="C37" s="41"/>
      <c r="D37" s="41"/>
      <c r="E37" s="34"/>
      <c r="F37" s="41"/>
    </row>
    <row r="38" spans="1:6" ht="15.75" customHeight="1">
      <c r="A38" s="34"/>
      <c r="B38" s="41"/>
      <c r="C38" s="41"/>
      <c r="D38" s="41"/>
      <c r="E38" s="34"/>
      <c r="F38" s="41"/>
    </row>
    <row r="39" spans="1:6" ht="15.75" customHeight="1">
      <c r="A39" s="34"/>
      <c r="B39" s="41"/>
      <c r="C39" s="41"/>
      <c r="D39" s="41"/>
      <c r="E39" s="34"/>
      <c r="F39" s="41"/>
    </row>
    <row r="40" spans="1:6" ht="15.75" customHeight="1">
      <c r="A40" s="34"/>
      <c r="B40" s="41"/>
      <c r="C40" s="41"/>
      <c r="D40" s="41"/>
      <c r="E40" s="34"/>
      <c r="F40" s="41"/>
    </row>
    <row r="41" spans="1:6" ht="15.75" customHeight="1">
      <c r="A41" s="34"/>
      <c r="B41" s="41"/>
      <c r="C41" s="41"/>
      <c r="D41" s="41"/>
      <c r="E41" s="34"/>
      <c r="F41" s="41"/>
    </row>
    <row r="42" spans="1:6" ht="15.75" customHeight="1">
      <c r="A42" s="34"/>
      <c r="B42" s="41"/>
      <c r="C42" s="41"/>
      <c r="D42" s="41"/>
      <c r="E42" s="34"/>
      <c r="F42" s="41"/>
    </row>
    <row r="43" spans="1:6" ht="15.75" customHeight="1">
      <c r="A43" s="34"/>
      <c r="B43" s="41"/>
      <c r="C43" s="41"/>
      <c r="D43" s="41"/>
      <c r="E43" s="34"/>
      <c r="F43" s="41"/>
    </row>
    <row r="44" spans="1:6" ht="15.75" customHeight="1">
      <c r="A44" s="34"/>
      <c r="B44" s="41"/>
      <c r="C44" s="41"/>
      <c r="D44" s="41"/>
      <c r="E44" s="34"/>
      <c r="F44" s="41"/>
    </row>
    <row r="45" spans="1:6" ht="15.75" customHeight="1">
      <c r="A45" s="34"/>
      <c r="B45" s="41"/>
      <c r="C45" s="41"/>
      <c r="D45" s="41"/>
      <c r="E45" s="34"/>
      <c r="F45" s="41"/>
    </row>
    <row r="46" spans="1:6" ht="15.75" customHeight="1">
      <c r="A46" s="34"/>
      <c r="B46" s="41"/>
      <c r="C46" s="41"/>
      <c r="D46" s="41"/>
      <c r="E46" s="34"/>
      <c r="F46" s="41"/>
    </row>
    <row r="47" spans="1:6" ht="15.75" customHeight="1">
      <c r="A47" s="34"/>
      <c r="B47" s="41"/>
      <c r="C47" s="41"/>
      <c r="D47" s="41"/>
      <c r="E47" s="34"/>
      <c r="F47" s="41"/>
    </row>
    <row r="48" spans="1:6" ht="15.75" customHeight="1">
      <c r="A48" s="34"/>
      <c r="B48" s="41"/>
      <c r="C48" s="41"/>
      <c r="D48" s="41"/>
      <c r="E48" s="34"/>
      <c r="F48" s="41"/>
    </row>
    <row r="49" spans="1:6" ht="15.75" customHeight="1">
      <c r="A49" s="34"/>
      <c r="B49" s="41"/>
      <c r="C49" s="41"/>
      <c r="D49" s="41"/>
      <c r="E49" s="34"/>
      <c r="F49" s="41"/>
    </row>
    <row r="50" spans="1:6" ht="15.75" customHeight="1">
      <c r="A50" s="34"/>
      <c r="B50" s="41"/>
      <c r="C50" s="41"/>
      <c r="D50" s="41"/>
      <c r="E50" s="34"/>
      <c r="F50" s="41"/>
    </row>
    <row r="51" spans="1:6" ht="13">
      <c r="A51" s="34"/>
      <c r="B51" s="41"/>
      <c r="C51" s="41"/>
      <c r="D51" s="41"/>
      <c r="E51" s="34"/>
      <c r="F51" s="41"/>
    </row>
    <row r="52" spans="1:6" ht="13">
      <c r="A52" s="34"/>
      <c r="B52" s="41"/>
      <c r="C52" s="41"/>
      <c r="D52" s="41"/>
      <c r="E52" s="34"/>
      <c r="F52" s="41"/>
    </row>
    <row r="53" spans="1:6" ht="13">
      <c r="A53" s="34"/>
      <c r="B53" s="41"/>
      <c r="C53" s="41"/>
      <c r="D53" s="41"/>
      <c r="E53" s="34"/>
      <c r="F53" s="41"/>
    </row>
    <row r="54" spans="1:6" ht="13">
      <c r="A54" s="34"/>
      <c r="B54" s="41"/>
      <c r="C54" s="41"/>
      <c r="D54" s="41"/>
      <c r="E54" s="41"/>
      <c r="F54" s="41"/>
    </row>
  </sheetData>
  <hyperlinks>
    <hyperlink ref="I2" r:id="rId1" xr:uid="{00000000-0004-0000-1100-000000000000}"/>
    <hyperlink ref="I3" r:id="rId2" xr:uid="{00000000-0004-0000-1100-000001000000}"/>
    <hyperlink ref="I4" r:id="rId3" xr:uid="{00000000-0004-0000-1100-000002000000}"/>
    <hyperlink ref="I5" r:id="rId4" xr:uid="{00000000-0004-0000-1100-000003000000}"/>
    <hyperlink ref="I6" r:id="rId5" xr:uid="{00000000-0004-0000-1100-000004000000}"/>
    <hyperlink ref="I7" r:id="rId6" xr:uid="{00000000-0004-0000-1100-000005000000}"/>
    <hyperlink ref="I8" r:id="rId7" xr:uid="{00000000-0004-0000-1100-000006000000}"/>
    <hyperlink ref="I9" r:id="rId8" xr:uid="{00000000-0004-0000-1100-000007000000}"/>
    <hyperlink ref="I10" r:id="rId9" xr:uid="{00000000-0004-0000-1100-000008000000}"/>
    <hyperlink ref="I11" r:id="rId10" xr:uid="{00000000-0004-0000-1100-000009000000}"/>
    <hyperlink ref="I12" r:id="rId11" xr:uid="{00000000-0004-0000-1100-00000A000000}"/>
    <hyperlink ref="I13" r:id="rId12" xr:uid="{00000000-0004-0000-1100-00000B000000}"/>
    <hyperlink ref="I14" r:id="rId13" xr:uid="{00000000-0004-0000-1100-00000C000000}"/>
    <hyperlink ref="I15" r:id="rId14" xr:uid="{00000000-0004-0000-1100-00000D000000}"/>
    <hyperlink ref="I16" r:id="rId15" xr:uid="{00000000-0004-0000-1100-00000E000000}"/>
    <hyperlink ref="I17" r:id="rId16" xr:uid="{00000000-0004-0000-1100-00000F000000}"/>
    <hyperlink ref="I18" r:id="rId17" xr:uid="{00000000-0004-0000-1100-000010000000}"/>
    <hyperlink ref="I19" r:id="rId18" xr:uid="{00000000-0004-0000-1100-000011000000}"/>
    <hyperlink ref="I20" r:id="rId19" xr:uid="{00000000-0004-0000-1100-000012000000}"/>
    <hyperlink ref="I21" r:id="rId20" xr:uid="{00000000-0004-0000-1100-000013000000}"/>
    <hyperlink ref="I22" r:id="rId21" xr:uid="{00000000-0004-0000-1100-000014000000}"/>
    <hyperlink ref="I23" r:id="rId22" xr:uid="{00000000-0004-0000-1100-000015000000}"/>
    <hyperlink ref="I24" r:id="rId23" xr:uid="{00000000-0004-0000-1100-000016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T48"/>
  <sheetViews>
    <sheetView workbookViewId="0">
      <selection activeCell="B3" sqref="B3"/>
    </sheetView>
  </sheetViews>
  <sheetFormatPr baseColWidth="10" defaultColWidth="12.6640625" defaultRowHeight="15.75" customHeight="1"/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1"/>
      <c r="I1" s="6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15.75" customHeight="1">
      <c r="A2" s="34" t="s">
        <v>113</v>
      </c>
      <c r="B2" s="41">
        <v>121</v>
      </c>
      <c r="C2" s="41">
        <v>11</v>
      </c>
      <c r="D2" s="41">
        <v>16</v>
      </c>
      <c r="E2" s="41">
        <v>41</v>
      </c>
      <c r="F2" s="41">
        <v>42</v>
      </c>
      <c r="G2" s="41">
        <v>25</v>
      </c>
      <c r="H2" s="61">
        <v>45603</v>
      </c>
      <c r="I2" s="63" t="s">
        <v>474</v>
      </c>
      <c r="J2" s="51">
        <v>0</v>
      </c>
      <c r="K2" s="51">
        <v>6</v>
      </c>
      <c r="L2" s="51"/>
      <c r="M2" s="51"/>
      <c r="N2" s="51"/>
      <c r="O2" s="51"/>
      <c r="P2" s="51"/>
      <c r="Q2" s="51"/>
      <c r="R2" s="51"/>
      <c r="S2" s="51"/>
      <c r="T2" s="51"/>
    </row>
    <row r="3" spans="1:20" ht="15.75" customHeight="1">
      <c r="A3" s="34" t="s">
        <v>115</v>
      </c>
      <c r="B3" s="41">
        <v>215</v>
      </c>
      <c r="C3" s="41">
        <v>5</v>
      </c>
      <c r="D3" s="41">
        <v>17</v>
      </c>
      <c r="E3" s="41">
        <v>37</v>
      </c>
      <c r="F3" s="41">
        <v>57</v>
      </c>
      <c r="G3" s="41">
        <v>10</v>
      </c>
      <c r="H3" s="61">
        <v>45605</v>
      </c>
      <c r="I3" s="63" t="s">
        <v>475</v>
      </c>
      <c r="J3" s="51">
        <v>0</v>
      </c>
      <c r="K3" s="51">
        <v>4</v>
      </c>
      <c r="L3" s="51"/>
      <c r="M3" s="51"/>
      <c r="N3" s="51"/>
      <c r="O3" s="51"/>
      <c r="P3" s="51"/>
      <c r="Q3" s="51"/>
      <c r="R3" s="51"/>
      <c r="S3" s="51"/>
      <c r="T3" s="51"/>
    </row>
    <row r="4" spans="1:20" ht="15.75" customHeight="1">
      <c r="A4" s="34" t="s">
        <v>118</v>
      </c>
      <c r="B4" s="41">
        <v>24</v>
      </c>
      <c r="C4" s="41">
        <v>0</v>
      </c>
      <c r="D4" s="41">
        <v>4</v>
      </c>
      <c r="E4" s="41">
        <v>6</v>
      </c>
      <c r="F4" s="41">
        <v>7</v>
      </c>
      <c r="G4" s="41">
        <v>0</v>
      </c>
      <c r="H4" s="64">
        <v>45616</v>
      </c>
      <c r="I4" s="63" t="s">
        <v>476</v>
      </c>
      <c r="J4" s="51">
        <v>0</v>
      </c>
      <c r="K4" s="51">
        <v>9</v>
      </c>
      <c r="L4" s="51"/>
      <c r="M4" s="51"/>
      <c r="N4" s="51"/>
      <c r="O4" s="51"/>
      <c r="P4" s="51"/>
      <c r="Q4" s="51"/>
      <c r="R4" s="51"/>
      <c r="S4" s="51"/>
      <c r="T4" s="51"/>
    </row>
    <row r="5" spans="1:20" ht="15.75" customHeight="1">
      <c r="A5" s="34" t="s">
        <v>122</v>
      </c>
      <c r="B5" s="41">
        <v>73</v>
      </c>
      <c r="C5" s="41">
        <v>3</v>
      </c>
      <c r="D5" s="41">
        <v>14</v>
      </c>
      <c r="E5" s="41">
        <v>30</v>
      </c>
      <c r="F5" s="41">
        <v>43</v>
      </c>
      <c r="G5" s="41">
        <v>11</v>
      </c>
      <c r="H5" s="64">
        <v>45639</v>
      </c>
      <c r="I5" s="63" t="s">
        <v>477</v>
      </c>
      <c r="J5" s="51">
        <v>2</v>
      </c>
      <c r="K5" s="51">
        <v>1</v>
      </c>
      <c r="L5" s="54"/>
      <c r="M5" s="51"/>
      <c r="N5" s="51"/>
      <c r="O5" s="51"/>
      <c r="P5" s="51"/>
      <c r="Q5" s="51"/>
      <c r="R5" s="51"/>
      <c r="S5" s="51"/>
      <c r="T5" s="51"/>
    </row>
    <row r="6" spans="1:20" ht="15.75" customHeight="1">
      <c r="A6" s="34" t="s">
        <v>124</v>
      </c>
      <c r="B6" s="41">
        <v>117</v>
      </c>
      <c r="C6" s="41">
        <v>22</v>
      </c>
      <c r="D6" s="41">
        <v>17</v>
      </c>
      <c r="E6" s="41">
        <v>39</v>
      </c>
      <c r="F6" s="41">
        <v>55</v>
      </c>
      <c r="G6" s="41">
        <v>20</v>
      </c>
      <c r="H6" s="64">
        <v>45647</v>
      </c>
      <c r="I6" s="63" t="s">
        <v>478</v>
      </c>
      <c r="J6" s="51">
        <v>0</v>
      </c>
      <c r="K6" s="51">
        <v>9</v>
      </c>
      <c r="L6" s="51"/>
      <c r="M6" s="51"/>
      <c r="N6" s="54"/>
      <c r="O6" s="51"/>
      <c r="P6" s="51"/>
      <c r="Q6" s="51"/>
      <c r="R6" s="51"/>
      <c r="S6" s="51"/>
      <c r="T6" s="51"/>
    </row>
    <row r="7" spans="1:20" ht="15.75" customHeight="1">
      <c r="A7" s="34" t="s">
        <v>125</v>
      </c>
      <c r="B7" s="41">
        <v>658</v>
      </c>
      <c r="C7" s="41">
        <v>36</v>
      </c>
      <c r="D7" s="41">
        <v>21</v>
      </c>
      <c r="E7" s="41">
        <v>49</v>
      </c>
      <c r="F7" s="41">
        <v>73</v>
      </c>
      <c r="G7" s="41">
        <v>96</v>
      </c>
      <c r="H7" s="64">
        <v>45648</v>
      </c>
      <c r="I7" s="63" t="s">
        <v>479</v>
      </c>
      <c r="J7" s="51">
        <v>4</v>
      </c>
      <c r="K7" s="51">
        <v>23</v>
      </c>
      <c r="L7" s="51"/>
      <c r="M7" s="51"/>
      <c r="N7" s="51"/>
      <c r="O7" s="51"/>
      <c r="P7" s="51"/>
      <c r="Q7" s="51"/>
      <c r="R7" s="51"/>
      <c r="S7" s="51"/>
      <c r="T7" s="51"/>
    </row>
    <row r="8" spans="1:20" ht="15.75" customHeight="1">
      <c r="A8" s="34" t="s">
        <v>126</v>
      </c>
      <c r="B8" s="41">
        <v>332</v>
      </c>
      <c r="C8" s="41">
        <v>15</v>
      </c>
      <c r="D8" s="41">
        <v>19</v>
      </c>
      <c r="E8" s="41">
        <v>45</v>
      </c>
      <c r="F8" s="41">
        <v>68</v>
      </c>
      <c r="G8" s="41">
        <v>60</v>
      </c>
      <c r="H8" s="61">
        <v>45659</v>
      </c>
      <c r="I8" s="63" t="s">
        <v>480</v>
      </c>
      <c r="J8" s="51">
        <v>3</v>
      </c>
      <c r="K8" s="51">
        <v>18</v>
      </c>
      <c r="L8" s="54"/>
      <c r="M8" s="51"/>
      <c r="N8" s="54"/>
      <c r="O8" s="51"/>
      <c r="P8" s="51"/>
      <c r="Q8" s="51"/>
      <c r="R8" s="51"/>
      <c r="S8" s="51"/>
      <c r="T8" s="51"/>
    </row>
    <row r="9" spans="1:20" ht="15.75" customHeight="1">
      <c r="A9" s="34" t="s">
        <v>127</v>
      </c>
      <c r="B9" s="41">
        <v>177</v>
      </c>
      <c r="C9" s="41">
        <v>18</v>
      </c>
      <c r="D9" s="41">
        <v>19</v>
      </c>
      <c r="E9" s="41">
        <v>44</v>
      </c>
      <c r="F9" s="41">
        <v>59</v>
      </c>
      <c r="G9" s="41">
        <v>33</v>
      </c>
      <c r="H9" s="61">
        <v>45662</v>
      </c>
      <c r="I9" s="63" t="s">
        <v>481</v>
      </c>
      <c r="J9" s="51">
        <v>7</v>
      </c>
      <c r="K9" s="51">
        <v>10</v>
      </c>
      <c r="L9" s="54"/>
      <c r="M9" s="54"/>
      <c r="N9" s="51"/>
      <c r="O9" s="51"/>
      <c r="P9" s="51"/>
      <c r="Q9" s="51"/>
      <c r="R9" s="51"/>
      <c r="S9" s="51"/>
      <c r="T9" s="51"/>
    </row>
    <row r="10" spans="1:20" ht="15.75" customHeight="1">
      <c r="A10" s="34" t="s">
        <v>128</v>
      </c>
      <c r="B10" s="41">
        <v>181</v>
      </c>
      <c r="C10" s="41">
        <v>14</v>
      </c>
      <c r="D10" s="41">
        <v>20</v>
      </c>
      <c r="E10" s="41">
        <v>56</v>
      </c>
      <c r="F10" s="41">
        <v>75</v>
      </c>
      <c r="G10" s="41">
        <v>34</v>
      </c>
      <c r="H10" s="61">
        <v>45666</v>
      </c>
      <c r="I10" s="63" t="s">
        <v>482</v>
      </c>
      <c r="J10" s="51">
        <v>0</v>
      </c>
      <c r="K10" s="51">
        <v>6</v>
      </c>
      <c r="L10" s="54"/>
      <c r="M10" s="51"/>
      <c r="N10" s="54"/>
      <c r="O10" s="51"/>
      <c r="P10" s="51"/>
      <c r="Q10" s="51"/>
      <c r="R10" s="51"/>
      <c r="S10" s="51"/>
      <c r="T10" s="51"/>
    </row>
    <row r="11" spans="1:20" ht="15.75" customHeight="1">
      <c r="A11" s="34" t="s">
        <v>129</v>
      </c>
      <c r="B11" s="41">
        <v>292</v>
      </c>
      <c r="C11" s="41">
        <v>11</v>
      </c>
      <c r="D11" s="41">
        <v>20</v>
      </c>
      <c r="E11" s="41">
        <v>46</v>
      </c>
      <c r="F11" s="41">
        <v>55</v>
      </c>
      <c r="G11" s="41">
        <v>49</v>
      </c>
      <c r="H11" s="61">
        <v>45669</v>
      </c>
      <c r="I11" s="63" t="s">
        <v>483</v>
      </c>
      <c r="J11" s="51">
        <v>0</v>
      </c>
      <c r="K11" s="51">
        <v>11</v>
      </c>
      <c r="L11" s="51"/>
      <c r="M11" s="51"/>
      <c r="N11" s="51"/>
      <c r="O11" s="51"/>
      <c r="P11" s="51"/>
      <c r="Q11" s="51"/>
      <c r="R11" s="51"/>
      <c r="S11" s="51"/>
      <c r="T11" s="51"/>
    </row>
    <row r="12" spans="1:20" ht="15.75" customHeight="1">
      <c r="A12" s="34" t="s">
        <v>130</v>
      </c>
      <c r="B12" s="41">
        <v>185</v>
      </c>
      <c r="C12" s="41">
        <v>14</v>
      </c>
      <c r="D12" s="41">
        <v>20</v>
      </c>
      <c r="E12" s="41">
        <v>42</v>
      </c>
      <c r="F12" s="41">
        <v>54</v>
      </c>
      <c r="G12" s="41">
        <v>36</v>
      </c>
      <c r="H12" s="61">
        <v>45673</v>
      </c>
      <c r="I12" s="63" t="s">
        <v>484</v>
      </c>
      <c r="J12" s="51">
        <v>2</v>
      </c>
      <c r="K12" s="51">
        <v>9</v>
      </c>
      <c r="L12" s="51"/>
      <c r="M12" s="51"/>
      <c r="N12" s="51"/>
      <c r="O12" s="51"/>
      <c r="P12" s="51"/>
      <c r="Q12" s="51"/>
      <c r="R12" s="51"/>
      <c r="S12" s="51"/>
      <c r="T12" s="51"/>
    </row>
    <row r="13" spans="1:20" ht="15.75" customHeight="1">
      <c r="A13" s="34" t="s">
        <v>131</v>
      </c>
      <c r="B13" s="41">
        <v>172</v>
      </c>
      <c r="C13" s="41">
        <v>16</v>
      </c>
      <c r="D13" s="41">
        <v>22</v>
      </c>
      <c r="E13" s="41">
        <v>46</v>
      </c>
      <c r="F13" s="41">
        <v>65</v>
      </c>
      <c r="G13" s="41">
        <v>40</v>
      </c>
      <c r="H13" s="61">
        <v>45676</v>
      </c>
      <c r="I13" s="63" t="s">
        <v>485</v>
      </c>
      <c r="J13" s="51">
        <v>0</v>
      </c>
      <c r="K13" s="51">
        <v>8</v>
      </c>
      <c r="L13" s="54"/>
      <c r="M13" s="51"/>
      <c r="N13" s="51"/>
      <c r="O13" s="51"/>
      <c r="P13" s="51"/>
      <c r="Q13" s="51"/>
      <c r="R13" s="51"/>
      <c r="S13" s="51"/>
      <c r="T13" s="51"/>
    </row>
    <row r="14" spans="1:20" ht="15.75" customHeight="1">
      <c r="A14" s="34" t="s">
        <v>122</v>
      </c>
      <c r="B14" s="41">
        <v>196</v>
      </c>
      <c r="C14" s="41">
        <v>10</v>
      </c>
      <c r="D14" s="41">
        <v>22</v>
      </c>
      <c r="E14" s="41">
        <v>42</v>
      </c>
      <c r="F14" s="41">
        <v>32</v>
      </c>
      <c r="G14" s="41">
        <v>27</v>
      </c>
      <c r="H14" s="61">
        <v>45680</v>
      </c>
      <c r="I14" s="63" t="s">
        <v>486</v>
      </c>
      <c r="J14" s="51">
        <v>0</v>
      </c>
      <c r="K14" s="51">
        <v>5</v>
      </c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15.75" customHeight="1">
      <c r="A15" s="34" t="s">
        <v>132</v>
      </c>
      <c r="B15" s="41">
        <v>80</v>
      </c>
      <c r="C15" s="41">
        <v>2</v>
      </c>
      <c r="D15" s="41">
        <v>21</v>
      </c>
      <c r="E15" s="41">
        <v>45</v>
      </c>
      <c r="F15" s="41">
        <v>70</v>
      </c>
      <c r="G15" s="41">
        <v>22</v>
      </c>
      <c r="H15" s="61">
        <v>45687</v>
      </c>
      <c r="I15" s="63" t="s">
        <v>487</v>
      </c>
      <c r="J15" s="51">
        <v>0</v>
      </c>
      <c r="K15" s="51">
        <v>5</v>
      </c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15.75" customHeight="1">
      <c r="A16" s="34" t="s">
        <v>134</v>
      </c>
      <c r="B16" s="41">
        <v>114</v>
      </c>
      <c r="C16" s="41">
        <v>5</v>
      </c>
      <c r="D16" s="41">
        <v>18</v>
      </c>
      <c r="E16" s="41">
        <v>40</v>
      </c>
      <c r="F16" s="41">
        <v>61</v>
      </c>
      <c r="G16" s="41">
        <v>27</v>
      </c>
      <c r="H16" s="61">
        <v>45694</v>
      </c>
      <c r="I16" s="63" t="s">
        <v>488</v>
      </c>
      <c r="J16" s="51">
        <v>0</v>
      </c>
      <c r="K16" s="51">
        <v>6</v>
      </c>
      <c r="L16" s="51"/>
      <c r="M16" s="51"/>
      <c r="N16" s="51"/>
      <c r="O16" s="51"/>
      <c r="P16" s="51"/>
      <c r="Q16" s="51"/>
      <c r="R16" s="51"/>
      <c r="S16" s="51"/>
      <c r="T16" s="51"/>
    </row>
    <row r="17" spans="1:20" ht="15.75" customHeight="1">
      <c r="A17" s="34" t="s">
        <v>136</v>
      </c>
      <c r="B17" s="41">
        <v>139</v>
      </c>
      <c r="C17" s="41">
        <v>6</v>
      </c>
      <c r="D17" s="41">
        <v>20</v>
      </c>
      <c r="E17" s="41">
        <v>49</v>
      </c>
      <c r="F17" s="41" t="s">
        <v>308</v>
      </c>
      <c r="G17" s="41">
        <v>40</v>
      </c>
      <c r="H17" s="61">
        <v>45697</v>
      </c>
      <c r="I17" s="63" t="s">
        <v>489</v>
      </c>
      <c r="J17" s="51">
        <v>0</v>
      </c>
      <c r="K17" s="51">
        <v>7</v>
      </c>
      <c r="L17" s="54"/>
      <c r="M17" s="51"/>
      <c r="N17" s="51"/>
      <c r="O17" s="51"/>
      <c r="P17" s="51"/>
      <c r="Q17" s="51"/>
      <c r="R17" s="51"/>
      <c r="S17" s="51"/>
      <c r="T17" s="51"/>
    </row>
    <row r="18" spans="1:20" ht="15.75" customHeight="1">
      <c r="A18" s="34" t="s">
        <v>137</v>
      </c>
      <c r="B18" s="41">
        <v>162</v>
      </c>
      <c r="C18" s="41">
        <v>5</v>
      </c>
      <c r="D18" s="41">
        <v>20</v>
      </c>
      <c r="E18" s="41">
        <v>39</v>
      </c>
      <c r="F18" s="41">
        <v>52</v>
      </c>
      <c r="G18" s="41">
        <v>19</v>
      </c>
      <c r="H18" s="61">
        <v>45701</v>
      </c>
      <c r="I18" s="63" t="s">
        <v>490</v>
      </c>
      <c r="J18" s="51">
        <v>0</v>
      </c>
      <c r="K18" s="51">
        <v>4</v>
      </c>
      <c r="L18" s="51"/>
      <c r="M18" s="51"/>
      <c r="N18" s="51"/>
      <c r="O18" s="51"/>
      <c r="P18" s="51"/>
      <c r="Q18" s="51"/>
      <c r="R18" s="51"/>
      <c r="S18" s="51"/>
      <c r="T18" s="51"/>
    </row>
    <row r="19" spans="1:20" ht="15.75" customHeight="1">
      <c r="A19" s="34" t="s">
        <v>142</v>
      </c>
      <c r="B19" s="41">
        <v>36</v>
      </c>
      <c r="C19" s="41">
        <v>1</v>
      </c>
      <c r="D19" s="41">
        <v>13</v>
      </c>
      <c r="E19" s="41">
        <v>31</v>
      </c>
      <c r="F19" s="41" t="s">
        <v>308</v>
      </c>
      <c r="G19" s="41">
        <v>8</v>
      </c>
      <c r="H19" s="61">
        <v>45715</v>
      </c>
      <c r="I19" s="63" t="s">
        <v>491</v>
      </c>
      <c r="J19" s="51">
        <v>2</v>
      </c>
      <c r="K19" s="51">
        <v>2</v>
      </c>
      <c r="L19" s="51"/>
      <c r="M19" s="51"/>
      <c r="N19" s="51"/>
      <c r="O19" s="51"/>
      <c r="P19" s="51"/>
      <c r="Q19" s="51"/>
      <c r="R19" s="51"/>
      <c r="S19" s="51"/>
      <c r="T19" s="51"/>
    </row>
    <row r="20" spans="1:20" ht="15.75" customHeight="1">
      <c r="A20" s="34" t="s">
        <v>143</v>
      </c>
      <c r="B20" s="41">
        <v>45</v>
      </c>
      <c r="C20" s="41">
        <v>1</v>
      </c>
      <c r="D20" s="41">
        <v>19</v>
      </c>
      <c r="E20" s="41">
        <v>42</v>
      </c>
      <c r="F20" s="41" t="s">
        <v>308</v>
      </c>
      <c r="G20" s="41">
        <v>9</v>
      </c>
      <c r="H20" s="61">
        <v>45718</v>
      </c>
      <c r="I20" s="63" t="s">
        <v>492</v>
      </c>
      <c r="J20" s="51">
        <v>0</v>
      </c>
      <c r="K20" s="51">
        <v>3</v>
      </c>
      <c r="L20" s="51"/>
      <c r="M20" s="51"/>
      <c r="N20" s="51"/>
      <c r="O20" s="51"/>
      <c r="P20" s="51"/>
      <c r="Q20" s="51"/>
      <c r="R20" s="51"/>
      <c r="S20" s="51"/>
      <c r="T20" s="51"/>
    </row>
    <row r="21" spans="1:20" ht="15.75" customHeight="1">
      <c r="A21" s="34" t="s">
        <v>136</v>
      </c>
      <c r="B21" s="41">
        <v>63</v>
      </c>
      <c r="C21" s="41">
        <v>1</v>
      </c>
      <c r="D21" s="41">
        <v>21</v>
      </c>
      <c r="E21" s="41">
        <v>33</v>
      </c>
      <c r="F21" s="41" t="s">
        <v>308</v>
      </c>
      <c r="G21" s="41">
        <v>13</v>
      </c>
      <c r="H21" s="66">
        <v>45723</v>
      </c>
      <c r="I21" s="63" t="s">
        <v>493</v>
      </c>
      <c r="J21" s="59">
        <v>0</v>
      </c>
      <c r="K21" s="59">
        <v>2</v>
      </c>
      <c r="L21" s="54"/>
      <c r="M21" s="51"/>
      <c r="N21" s="51"/>
      <c r="O21" s="51"/>
      <c r="P21" s="51"/>
      <c r="Q21" s="51"/>
      <c r="R21" s="51"/>
      <c r="S21" s="51"/>
      <c r="T21" s="51"/>
    </row>
    <row r="22" spans="1:20" ht="15.75" customHeight="1">
      <c r="L22" s="51"/>
      <c r="M22" s="51"/>
      <c r="N22" s="51"/>
      <c r="O22" s="51"/>
      <c r="P22" s="51"/>
      <c r="Q22" s="51"/>
      <c r="R22" s="51"/>
      <c r="S22" s="51"/>
      <c r="T22" s="51"/>
    </row>
    <row r="23" spans="1:20" ht="15.75" customHeight="1">
      <c r="A23" s="1" t="s">
        <v>355</v>
      </c>
      <c r="B23" s="1">
        <f t="shared" ref="B23:G23" si="0">SUM(B2:B21)</f>
        <v>3382</v>
      </c>
      <c r="C23" s="1">
        <f t="shared" si="0"/>
        <v>196</v>
      </c>
      <c r="D23" s="1">
        <f t="shared" si="0"/>
        <v>363</v>
      </c>
      <c r="E23" s="1">
        <f t="shared" si="0"/>
        <v>802</v>
      </c>
      <c r="F23" s="1">
        <f t="shared" si="0"/>
        <v>868</v>
      </c>
      <c r="G23" s="1">
        <f t="shared" si="0"/>
        <v>579</v>
      </c>
      <c r="I23" s="1">
        <f>COUNTA(I2:I21)</f>
        <v>20</v>
      </c>
      <c r="K23" s="1">
        <f>SUM(K2:K21)</f>
        <v>148</v>
      </c>
      <c r="L23" s="59"/>
      <c r="M23" s="59"/>
      <c r="N23" s="59"/>
      <c r="O23" s="59"/>
      <c r="P23" s="59"/>
      <c r="Q23" s="59"/>
      <c r="R23" s="59"/>
      <c r="S23" s="59"/>
      <c r="T23" s="59"/>
    </row>
    <row r="25" spans="1:20" ht="15.75" customHeight="1">
      <c r="A25" s="1" t="s">
        <v>494</v>
      </c>
      <c r="B25" s="1">
        <f t="shared" ref="B25:G25" si="1">B23/$I$23</f>
        <v>169.1</v>
      </c>
      <c r="C25" s="1">
        <f t="shared" si="1"/>
        <v>9.8000000000000007</v>
      </c>
      <c r="D25" s="1">
        <f t="shared" si="1"/>
        <v>18.149999999999999</v>
      </c>
      <c r="E25" s="1">
        <f t="shared" si="1"/>
        <v>40.1</v>
      </c>
      <c r="F25" s="1">
        <f t="shared" si="1"/>
        <v>43.4</v>
      </c>
      <c r="G25" s="1">
        <f t="shared" si="1"/>
        <v>28.95</v>
      </c>
      <c r="I25" s="1" t="s">
        <v>262</v>
      </c>
      <c r="J25" s="1">
        <f>K23/I23</f>
        <v>7.4</v>
      </c>
    </row>
    <row r="26" spans="1:20" ht="15.75" customHeight="1">
      <c r="A26" s="1" t="s">
        <v>495</v>
      </c>
      <c r="B26" s="1">
        <f t="shared" ref="B26:G26" si="2">B23/$K$23</f>
        <v>22.851351351351351</v>
      </c>
      <c r="C26" s="1">
        <f t="shared" si="2"/>
        <v>1.3243243243243243</v>
      </c>
      <c r="D26" s="1">
        <f t="shared" si="2"/>
        <v>2.4527027027027026</v>
      </c>
      <c r="E26" s="1">
        <f t="shared" si="2"/>
        <v>5.4189189189189193</v>
      </c>
      <c r="F26" s="1">
        <f t="shared" si="2"/>
        <v>5.8648648648648649</v>
      </c>
      <c r="G26" s="1">
        <f t="shared" si="2"/>
        <v>3.9121621621621623</v>
      </c>
    </row>
    <row r="27" spans="1:20" ht="15.75" customHeight="1">
      <c r="A27" s="1" t="s">
        <v>264</v>
      </c>
      <c r="B27" s="1">
        <f t="shared" ref="B27:G27" si="3">MAX(B2:B21)</f>
        <v>658</v>
      </c>
      <c r="C27" s="1">
        <f t="shared" si="3"/>
        <v>36</v>
      </c>
      <c r="D27" s="1">
        <f t="shared" si="3"/>
        <v>22</v>
      </c>
      <c r="E27" s="1">
        <f t="shared" si="3"/>
        <v>56</v>
      </c>
      <c r="F27" s="1">
        <f t="shared" si="3"/>
        <v>75</v>
      </c>
      <c r="G27" s="1">
        <f t="shared" si="3"/>
        <v>96</v>
      </c>
    </row>
    <row r="28" spans="1:20" ht="15.75" customHeight="1">
      <c r="A28" s="1" t="s">
        <v>265</v>
      </c>
      <c r="B28" s="1">
        <f t="shared" ref="B28:G28" si="4">STDEV(B2:B21)</f>
        <v>140.59681062490264</v>
      </c>
      <c r="C28" s="1">
        <f t="shared" si="4"/>
        <v>8.9595582597874941</v>
      </c>
      <c r="D28" s="1">
        <f t="shared" si="4"/>
        <v>4.1329866860865199</v>
      </c>
      <c r="E28" s="1">
        <f t="shared" si="4"/>
        <v>10.171684122835156</v>
      </c>
      <c r="F28" s="1">
        <f t="shared" si="4"/>
        <v>17.16779931538499</v>
      </c>
      <c r="G28" s="1">
        <f t="shared" si="4"/>
        <v>21.835449207773657</v>
      </c>
    </row>
    <row r="29" spans="1:20" ht="15.75" customHeight="1">
      <c r="A29" s="34"/>
      <c r="B29" s="41"/>
      <c r="C29" s="34"/>
      <c r="E29" s="41"/>
      <c r="F29" s="41"/>
      <c r="G29" s="41"/>
      <c r="H29" s="41"/>
    </row>
    <row r="30" spans="1:20" ht="15.75" customHeight="1">
      <c r="A30" s="34"/>
      <c r="B30" s="41"/>
      <c r="C30" s="34"/>
      <c r="E30" s="41"/>
      <c r="F30" s="41"/>
      <c r="G30" s="41"/>
      <c r="H30" s="41"/>
    </row>
    <row r="31" spans="1:20" ht="15.75" customHeight="1">
      <c r="A31" s="34"/>
      <c r="B31" s="41"/>
      <c r="C31" s="34"/>
      <c r="E31" s="41"/>
      <c r="F31" s="41"/>
      <c r="G31" s="41"/>
      <c r="H31" s="41"/>
    </row>
    <row r="32" spans="1:20" ht="15.75" customHeight="1">
      <c r="A32" s="34"/>
      <c r="B32" s="41"/>
      <c r="C32" s="34"/>
      <c r="E32" s="41"/>
      <c r="F32" s="41"/>
      <c r="G32" s="41"/>
      <c r="H32" s="41"/>
    </row>
    <row r="33" spans="1:8" ht="15.75" customHeight="1">
      <c r="A33" s="34"/>
      <c r="B33" s="41"/>
      <c r="C33" s="34"/>
      <c r="E33" s="41"/>
      <c r="F33" s="41"/>
      <c r="G33" s="41"/>
      <c r="H33" s="41"/>
    </row>
    <row r="34" spans="1:8" ht="15.75" customHeight="1">
      <c r="A34" s="34"/>
      <c r="B34" s="41"/>
      <c r="C34" s="34"/>
      <c r="E34" s="41"/>
      <c r="F34" s="41"/>
      <c r="G34" s="41"/>
      <c r="H34" s="41"/>
    </row>
    <row r="35" spans="1:8" ht="15.75" customHeight="1">
      <c r="A35" s="34"/>
      <c r="B35" s="41"/>
      <c r="C35" s="34"/>
      <c r="E35" s="41"/>
      <c r="F35" s="41"/>
      <c r="G35" s="41"/>
      <c r="H35" s="41"/>
    </row>
    <row r="36" spans="1:8" ht="15.75" customHeight="1">
      <c r="A36" s="34"/>
      <c r="B36" s="41"/>
      <c r="C36" s="34"/>
      <c r="E36" s="41"/>
      <c r="F36" s="41"/>
      <c r="G36" s="41"/>
      <c r="H36" s="41"/>
    </row>
    <row r="37" spans="1:8" ht="15.75" customHeight="1">
      <c r="A37" s="34"/>
      <c r="B37" s="41"/>
      <c r="C37" s="34"/>
      <c r="E37" s="41"/>
      <c r="F37" s="41"/>
      <c r="G37" s="41"/>
      <c r="H37" s="41"/>
    </row>
    <row r="38" spans="1:8" ht="15.75" customHeight="1">
      <c r="A38" s="34"/>
      <c r="B38" s="41"/>
      <c r="C38" s="34"/>
      <c r="E38" s="41"/>
      <c r="F38" s="41"/>
      <c r="G38" s="41"/>
      <c r="H38" s="41"/>
    </row>
    <row r="39" spans="1:8" ht="15.75" customHeight="1">
      <c r="A39" s="34"/>
      <c r="B39" s="41"/>
      <c r="C39" s="34"/>
      <c r="E39" s="41"/>
      <c r="F39" s="41"/>
      <c r="G39" s="41"/>
      <c r="H39" s="41"/>
    </row>
    <row r="40" spans="1:8" ht="15.75" customHeight="1">
      <c r="A40" s="34"/>
      <c r="B40" s="41"/>
      <c r="C40" s="34"/>
      <c r="E40" s="41"/>
      <c r="F40" s="41"/>
      <c r="G40" s="41"/>
      <c r="H40" s="41"/>
    </row>
    <row r="41" spans="1:8" ht="15.75" customHeight="1">
      <c r="A41" s="34"/>
      <c r="B41" s="41"/>
      <c r="C41" s="34"/>
      <c r="E41" s="41"/>
      <c r="F41" s="41"/>
      <c r="G41" s="41"/>
      <c r="H41" s="41"/>
    </row>
    <row r="42" spans="1:8" ht="15.75" customHeight="1">
      <c r="A42" s="34"/>
      <c r="B42" s="41"/>
      <c r="C42" s="34"/>
      <c r="E42" s="41"/>
      <c r="F42" s="41"/>
      <c r="G42" s="41"/>
      <c r="H42" s="41"/>
    </row>
    <row r="43" spans="1:8" ht="15.75" customHeight="1">
      <c r="A43" s="34"/>
      <c r="B43" s="41"/>
      <c r="C43" s="34"/>
      <c r="E43" s="41"/>
      <c r="F43" s="41"/>
      <c r="G43" s="41"/>
      <c r="H43" s="41"/>
    </row>
    <row r="44" spans="1:8" ht="15.75" customHeight="1">
      <c r="A44" s="34"/>
      <c r="B44" s="41"/>
      <c r="C44" s="34"/>
      <c r="E44" s="41"/>
      <c r="F44" s="41"/>
      <c r="G44" s="41"/>
      <c r="H44" s="41"/>
    </row>
    <row r="45" spans="1:8" ht="15.75" customHeight="1">
      <c r="A45" s="34"/>
      <c r="B45" s="41"/>
      <c r="C45" s="34"/>
      <c r="E45" s="41"/>
      <c r="F45" s="41"/>
      <c r="G45" s="41"/>
      <c r="H45" s="41"/>
    </row>
    <row r="46" spans="1:8" ht="15.75" customHeight="1">
      <c r="A46" s="34"/>
      <c r="B46" s="41"/>
      <c r="C46" s="34"/>
      <c r="E46" s="41"/>
      <c r="F46" s="41"/>
      <c r="G46" s="41"/>
      <c r="H46" s="41"/>
    </row>
    <row r="47" spans="1:8" ht="15.75" customHeight="1">
      <c r="A47" s="34"/>
      <c r="B47" s="41"/>
      <c r="C47" s="34"/>
      <c r="E47" s="41"/>
      <c r="F47" s="41"/>
      <c r="G47" s="41"/>
      <c r="H47" s="41"/>
    </row>
    <row r="48" spans="1:8" ht="15.75" customHeight="1">
      <c r="A48" s="34"/>
      <c r="B48" s="41"/>
      <c r="C48" s="34"/>
      <c r="E48" s="41"/>
      <c r="F48" s="41"/>
      <c r="G48" s="41"/>
      <c r="H48" s="41"/>
    </row>
  </sheetData>
  <hyperlinks>
    <hyperlink ref="I2" r:id="rId1" xr:uid="{00000000-0004-0000-1200-000000000000}"/>
    <hyperlink ref="I3" r:id="rId2" xr:uid="{00000000-0004-0000-1200-000001000000}"/>
    <hyperlink ref="I4" r:id="rId3" xr:uid="{00000000-0004-0000-1200-000002000000}"/>
    <hyperlink ref="I5" r:id="rId4" xr:uid="{00000000-0004-0000-1200-000003000000}"/>
    <hyperlink ref="I6" r:id="rId5" xr:uid="{00000000-0004-0000-1200-000004000000}"/>
    <hyperlink ref="I7" r:id="rId6" xr:uid="{00000000-0004-0000-1200-000005000000}"/>
    <hyperlink ref="I8" r:id="rId7" xr:uid="{00000000-0004-0000-1200-000006000000}"/>
    <hyperlink ref="I9" r:id="rId8" xr:uid="{00000000-0004-0000-1200-000007000000}"/>
    <hyperlink ref="I10" r:id="rId9" xr:uid="{00000000-0004-0000-1200-000008000000}"/>
    <hyperlink ref="I11" r:id="rId10" xr:uid="{00000000-0004-0000-1200-000009000000}"/>
    <hyperlink ref="I12" r:id="rId11" xr:uid="{00000000-0004-0000-1200-00000A000000}"/>
    <hyperlink ref="I13" r:id="rId12" xr:uid="{00000000-0004-0000-1200-00000B000000}"/>
    <hyperlink ref="I14" r:id="rId13" xr:uid="{00000000-0004-0000-1200-00000C000000}"/>
    <hyperlink ref="I15" r:id="rId14" xr:uid="{00000000-0004-0000-1200-00000D000000}"/>
    <hyperlink ref="I16" r:id="rId15" xr:uid="{00000000-0004-0000-1200-00000E000000}"/>
    <hyperlink ref="I17" r:id="rId16" xr:uid="{00000000-0004-0000-1200-00000F000000}"/>
    <hyperlink ref="I18" r:id="rId17" xr:uid="{00000000-0004-0000-1200-000010000000}"/>
    <hyperlink ref="I19" r:id="rId18" xr:uid="{00000000-0004-0000-1200-000011000000}"/>
    <hyperlink ref="I20" r:id="rId19" xr:uid="{00000000-0004-0000-1200-000012000000}"/>
    <hyperlink ref="I21" r:id="rId20" xr:uid="{00000000-0004-0000-1200-000013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T49"/>
  <sheetViews>
    <sheetView workbookViewId="0">
      <selection activeCell="B3" sqref="B3"/>
    </sheetView>
  </sheetViews>
  <sheetFormatPr baseColWidth="10" defaultColWidth="12.6640625" defaultRowHeight="15.75" customHeight="1"/>
  <sheetData>
    <row r="1" spans="1:20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4"/>
      <c r="I1" s="6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15.75" customHeight="1">
      <c r="A2" s="34" t="s">
        <v>116</v>
      </c>
      <c r="B2" s="41">
        <v>202</v>
      </c>
      <c r="C2" s="41">
        <v>16</v>
      </c>
      <c r="D2" s="41">
        <v>14</v>
      </c>
      <c r="E2" s="41">
        <v>29</v>
      </c>
      <c r="F2" s="41">
        <v>41</v>
      </c>
      <c r="G2" s="41">
        <v>22</v>
      </c>
      <c r="H2" s="64">
        <v>45616</v>
      </c>
      <c r="I2" s="63" t="s">
        <v>496</v>
      </c>
      <c r="J2" s="51">
        <v>0</v>
      </c>
      <c r="K2" s="51">
        <v>11</v>
      </c>
      <c r="L2" s="51"/>
      <c r="M2" s="51"/>
      <c r="N2" s="51"/>
      <c r="O2" s="51"/>
      <c r="P2" s="51"/>
      <c r="Q2" s="51"/>
      <c r="R2" s="51"/>
      <c r="S2" s="51"/>
      <c r="T2" s="51"/>
    </row>
    <row r="3" spans="1:20" ht="15.75" customHeight="1">
      <c r="A3" s="34" t="s">
        <v>118</v>
      </c>
      <c r="B3" s="41">
        <v>72</v>
      </c>
      <c r="C3" s="41">
        <v>7</v>
      </c>
      <c r="D3" s="41">
        <v>20</v>
      </c>
      <c r="E3" s="41">
        <v>44</v>
      </c>
      <c r="F3" s="41" t="s">
        <v>308</v>
      </c>
      <c r="G3" s="41">
        <v>14</v>
      </c>
      <c r="H3" s="64">
        <v>45622</v>
      </c>
      <c r="I3" s="63" t="s">
        <v>497</v>
      </c>
      <c r="J3" s="51">
        <v>0</v>
      </c>
      <c r="K3" s="51">
        <v>4</v>
      </c>
      <c r="L3" s="51"/>
      <c r="M3" s="51"/>
      <c r="N3" s="51"/>
      <c r="O3" s="51"/>
      <c r="P3" s="51"/>
      <c r="Q3" s="51"/>
      <c r="R3" s="51"/>
      <c r="S3" s="51"/>
      <c r="T3" s="51"/>
    </row>
    <row r="4" spans="1:20" ht="15.75" customHeight="1">
      <c r="A4" s="34" t="s">
        <v>119</v>
      </c>
      <c r="B4" s="41">
        <v>358</v>
      </c>
      <c r="C4" s="41">
        <v>43</v>
      </c>
      <c r="D4" s="41">
        <v>21</v>
      </c>
      <c r="E4" s="41">
        <v>44</v>
      </c>
      <c r="F4" s="41">
        <v>58</v>
      </c>
      <c r="G4" s="41">
        <v>51</v>
      </c>
      <c r="H4" s="64">
        <v>45623</v>
      </c>
      <c r="I4" s="63" t="s">
        <v>498</v>
      </c>
      <c r="J4" s="51">
        <v>10</v>
      </c>
      <c r="K4" s="51">
        <v>20</v>
      </c>
      <c r="L4" s="54"/>
      <c r="M4" s="54"/>
      <c r="N4" s="54"/>
      <c r="O4" s="51"/>
      <c r="P4" s="51"/>
      <c r="Q4" s="51"/>
      <c r="R4" s="51"/>
      <c r="S4" s="51"/>
      <c r="T4" s="51"/>
    </row>
    <row r="5" spans="1:20" ht="15.75" customHeight="1">
      <c r="A5" s="34" t="s">
        <v>120</v>
      </c>
      <c r="B5" s="41">
        <v>37</v>
      </c>
      <c r="C5" s="41">
        <v>4</v>
      </c>
      <c r="D5" s="41">
        <v>11</v>
      </c>
      <c r="E5" s="41" t="s">
        <v>308</v>
      </c>
      <c r="F5" s="41" t="s">
        <v>308</v>
      </c>
      <c r="G5" s="41">
        <v>3</v>
      </c>
      <c r="H5" s="61">
        <v>45631</v>
      </c>
      <c r="I5" s="63" t="s">
        <v>499</v>
      </c>
      <c r="J5" s="51">
        <v>0</v>
      </c>
      <c r="K5" s="51">
        <v>2</v>
      </c>
      <c r="L5" s="51"/>
      <c r="M5" s="51"/>
      <c r="N5" s="51"/>
      <c r="O5" s="51"/>
      <c r="P5" s="51"/>
      <c r="Q5" s="51"/>
      <c r="R5" s="51"/>
      <c r="S5" s="51"/>
      <c r="T5" s="51"/>
    </row>
    <row r="6" spans="1:20" ht="15.75" customHeight="1">
      <c r="A6" s="34" t="s">
        <v>121</v>
      </c>
      <c r="B6" s="41">
        <v>88</v>
      </c>
      <c r="C6" s="41">
        <v>7</v>
      </c>
      <c r="D6" s="41">
        <v>14</v>
      </c>
      <c r="E6" s="41">
        <v>34</v>
      </c>
      <c r="F6" s="41">
        <v>54</v>
      </c>
      <c r="G6" s="41">
        <v>10</v>
      </c>
      <c r="H6" s="61">
        <v>45633</v>
      </c>
      <c r="I6" s="63" t="s">
        <v>500</v>
      </c>
      <c r="J6" s="51">
        <v>0</v>
      </c>
      <c r="K6" s="51">
        <v>5</v>
      </c>
      <c r="L6" s="51"/>
      <c r="M6" s="51"/>
      <c r="N6" s="51"/>
      <c r="O6" s="51"/>
      <c r="P6" s="51"/>
      <c r="Q6" s="51"/>
      <c r="R6" s="51"/>
      <c r="S6" s="51"/>
      <c r="T6" s="51"/>
    </row>
    <row r="7" spans="1:20" ht="15.75" customHeight="1">
      <c r="A7" s="34" t="s">
        <v>122</v>
      </c>
      <c r="B7" s="41">
        <v>128</v>
      </c>
      <c r="C7" s="41">
        <v>8</v>
      </c>
      <c r="D7" s="41">
        <v>15</v>
      </c>
      <c r="E7" s="41">
        <v>35</v>
      </c>
      <c r="F7" s="41">
        <v>56</v>
      </c>
      <c r="G7" s="41">
        <v>15</v>
      </c>
      <c r="H7" s="64">
        <v>45639</v>
      </c>
      <c r="I7" s="63" t="s">
        <v>501</v>
      </c>
      <c r="J7" s="51">
        <v>0</v>
      </c>
      <c r="K7" s="51">
        <v>7</v>
      </c>
      <c r="L7" s="51"/>
      <c r="M7" s="51"/>
      <c r="N7" s="51"/>
      <c r="O7" s="51"/>
      <c r="P7" s="51"/>
      <c r="Q7" s="51"/>
      <c r="R7" s="51"/>
      <c r="S7" s="51"/>
      <c r="T7" s="51"/>
    </row>
    <row r="8" spans="1:20" ht="15.75" customHeight="1">
      <c r="A8" s="34" t="s">
        <v>124</v>
      </c>
      <c r="B8" s="41">
        <v>227</v>
      </c>
      <c r="C8" s="41">
        <v>11</v>
      </c>
      <c r="D8" s="41">
        <v>19</v>
      </c>
      <c r="E8" s="41">
        <v>40</v>
      </c>
      <c r="F8" s="41">
        <v>61</v>
      </c>
      <c r="G8" s="41">
        <v>23</v>
      </c>
      <c r="H8" s="64">
        <v>45647</v>
      </c>
      <c r="I8" s="63" t="s">
        <v>502</v>
      </c>
      <c r="J8" s="51">
        <v>2</v>
      </c>
      <c r="K8" s="51">
        <v>14</v>
      </c>
      <c r="L8" s="54"/>
      <c r="M8" s="54"/>
      <c r="N8" s="54"/>
      <c r="O8" s="51"/>
      <c r="P8" s="51"/>
      <c r="Q8" s="51"/>
      <c r="R8" s="51"/>
      <c r="S8" s="51"/>
      <c r="T8" s="51"/>
    </row>
    <row r="9" spans="1:20" ht="15.75" customHeight="1">
      <c r="A9" s="34" t="s">
        <v>125</v>
      </c>
      <c r="B9" s="41">
        <v>336</v>
      </c>
      <c r="C9" s="41">
        <v>17</v>
      </c>
      <c r="D9" s="41">
        <v>19</v>
      </c>
      <c r="E9" s="41">
        <v>42</v>
      </c>
      <c r="F9" s="41">
        <v>51</v>
      </c>
      <c r="G9" s="41">
        <v>26</v>
      </c>
      <c r="H9" s="64">
        <v>45648</v>
      </c>
      <c r="I9" s="63" t="s">
        <v>503</v>
      </c>
      <c r="J9" s="51">
        <v>0</v>
      </c>
      <c r="K9" s="51">
        <v>7</v>
      </c>
      <c r="L9" s="54"/>
      <c r="M9" s="51"/>
      <c r="N9" s="51"/>
      <c r="O9" s="51"/>
      <c r="P9" s="51"/>
      <c r="Q9" s="51"/>
      <c r="R9" s="51"/>
      <c r="S9" s="51"/>
      <c r="T9" s="51"/>
    </row>
    <row r="10" spans="1:20" ht="15.75" customHeight="1">
      <c r="A10" s="34" t="s">
        <v>126</v>
      </c>
      <c r="B10" s="41">
        <v>91</v>
      </c>
      <c r="C10" s="41">
        <v>4</v>
      </c>
      <c r="D10" s="41">
        <v>21</v>
      </c>
      <c r="E10" s="41">
        <v>43</v>
      </c>
      <c r="F10" s="41" t="s">
        <v>308</v>
      </c>
      <c r="G10" s="41">
        <v>17</v>
      </c>
      <c r="H10" s="61">
        <v>45659</v>
      </c>
      <c r="I10" s="63" t="s">
        <v>504</v>
      </c>
      <c r="J10" s="51">
        <v>0</v>
      </c>
      <c r="K10" s="51">
        <v>5</v>
      </c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.75" customHeight="1">
      <c r="A11" s="34" t="s">
        <v>127</v>
      </c>
      <c r="B11" s="41">
        <v>117</v>
      </c>
      <c r="C11" s="41">
        <v>8</v>
      </c>
      <c r="D11" s="41">
        <v>20</v>
      </c>
      <c r="E11" s="41">
        <v>42</v>
      </c>
      <c r="F11" s="41">
        <v>39</v>
      </c>
      <c r="G11" s="41">
        <v>14</v>
      </c>
      <c r="H11" s="61">
        <v>45662</v>
      </c>
      <c r="I11" s="63" t="s">
        <v>505</v>
      </c>
      <c r="J11" s="51">
        <v>0</v>
      </c>
      <c r="K11" s="51">
        <v>7</v>
      </c>
      <c r="L11" s="51"/>
      <c r="M11" s="51"/>
      <c r="N11" s="51"/>
      <c r="O11" s="51"/>
      <c r="P11" s="51"/>
      <c r="Q11" s="51"/>
      <c r="R11" s="51"/>
      <c r="S11" s="51"/>
      <c r="T11" s="51"/>
    </row>
    <row r="12" spans="1:20" ht="15.75" customHeight="1">
      <c r="A12" s="34" t="s">
        <v>315</v>
      </c>
      <c r="B12" s="41">
        <v>88</v>
      </c>
      <c r="C12" s="41">
        <v>7</v>
      </c>
      <c r="D12" s="41">
        <v>16</v>
      </c>
      <c r="E12" s="41">
        <v>34</v>
      </c>
      <c r="F12" s="41">
        <v>26</v>
      </c>
      <c r="G12" s="41">
        <v>6</v>
      </c>
      <c r="H12" s="61">
        <v>45680</v>
      </c>
      <c r="I12" s="63" t="s">
        <v>506</v>
      </c>
      <c r="J12" s="51">
        <v>0</v>
      </c>
      <c r="K12" s="51">
        <v>2</v>
      </c>
      <c r="L12" s="51"/>
      <c r="M12" s="51"/>
      <c r="N12" s="51"/>
      <c r="O12" s="51"/>
      <c r="P12" s="51"/>
      <c r="Q12" s="51"/>
      <c r="R12" s="51"/>
      <c r="S12" s="51"/>
      <c r="T12" s="51"/>
    </row>
    <row r="13" spans="1:20" ht="15.75" customHeight="1">
      <c r="A13" s="34" t="s">
        <v>134</v>
      </c>
      <c r="B13" s="41">
        <v>233</v>
      </c>
      <c r="C13" s="41">
        <v>19</v>
      </c>
      <c r="D13" s="41">
        <v>16</v>
      </c>
      <c r="E13" s="41">
        <v>33</v>
      </c>
      <c r="F13" s="41">
        <v>44</v>
      </c>
      <c r="G13" s="41">
        <v>32</v>
      </c>
      <c r="H13" s="61">
        <v>45694</v>
      </c>
      <c r="I13" s="63" t="s">
        <v>507</v>
      </c>
      <c r="J13" s="51">
        <v>4</v>
      </c>
      <c r="K13" s="51">
        <v>13</v>
      </c>
      <c r="L13" s="51"/>
      <c r="M13" s="51"/>
      <c r="N13" s="51"/>
      <c r="O13" s="51"/>
      <c r="P13" s="51"/>
      <c r="Q13" s="51"/>
      <c r="R13" s="51"/>
      <c r="S13" s="51"/>
      <c r="T13" s="51"/>
    </row>
    <row r="14" spans="1:20" ht="15.75" customHeight="1">
      <c r="A14" s="34" t="s">
        <v>136</v>
      </c>
      <c r="B14" s="41">
        <v>227</v>
      </c>
      <c r="C14" s="41">
        <v>20</v>
      </c>
      <c r="D14" s="41">
        <v>21</v>
      </c>
      <c r="E14" s="41">
        <v>42</v>
      </c>
      <c r="F14" s="41">
        <v>67</v>
      </c>
      <c r="G14" s="41">
        <v>41</v>
      </c>
      <c r="H14" s="61">
        <v>45697</v>
      </c>
      <c r="I14" s="63" t="s">
        <v>508</v>
      </c>
      <c r="J14" s="51">
        <v>2</v>
      </c>
      <c r="K14" s="51">
        <v>11</v>
      </c>
      <c r="L14" s="54"/>
      <c r="M14" s="51"/>
      <c r="N14" s="51"/>
      <c r="O14" s="51"/>
      <c r="P14" s="51"/>
      <c r="Q14" s="51"/>
      <c r="R14" s="51"/>
      <c r="S14" s="51"/>
      <c r="T14" s="51"/>
    </row>
    <row r="15" spans="1:20" ht="15.75" customHeight="1">
      <c r="A15" s="34" t="s">
        <v>137</v>
      </c>
      <c r="B15" s="41">
        <v>129</v>
      </c>
      <c r="C15" s="41">
        <v>7</v>
      </c>
      <c r="D15" s="41">
        <v>19</v>
      </c>
      <c r="E15" s="41">
        <v>35</v>
      </c>
      <c r="F15" s="41">
        <v>44</v>
      </c>
      <c r="G15" s="41">
        <v>13</v>
      </c>
      <c r="H15" s="61">
        <v>45701</v>
      </c>
      <c r="I15" s="63" t="s">
        <v>509</v>
      </c>
      <c r="J15" s="51">
        <v>0</v>
      </c>
      <c r="K15" s="51">
        <v>3</v>
      </c>
      <c r="L15" s="54"/>
      <c r="M15" s="54"/>
      <c r="N15" s="54"/>
      <c r="O15" s="51"/>
      <c r="P15" s="51"/>
      <c r="Q15" s="51"/>
      <c r="R15" s="51"/>
      <c r="S15" s="51"/>
      <c r="T15" s="51"/>
    </row>
    <row r="16" spans="1:20" ht="15.75" customHeight="1">
      <c r="A16" s="34" t="s">
        <v>138</v>
      </c>
      <c r="B16" s="41">
        <v>82</v>
      </c>
      <c r="C16" s="41">
        <v>4</v>
      </c>
      <c r="D16" s="41">
        <v>16</v>
      </c>
      <c r="E16" s="41">
        <v>30</v>
      </c>
      <c r="F16" s="41" t="s">
        <v>308</v>
      </c>
      <c r="G16" s="41">
        <v>16</v>
      </c>
      <c r="H16" s="61">
        <v>45704</v>
      </c>
      <c r="I16" s="63" t="s">
        <v>510</v>
      </c>
      <c r="J16" s="51">
        <v>0</v>
      </c>
      <c r="K16" s="51">
        <v>3</v>
      </c>
      <c r="L16" s="54"/>
      <c r="M16" s="51"/>
      <c r="N16" s="51"/>
      <c r="O16" s="51"/>
      <c r="P16" s="51"/>
      <c r="Q16" s="51"/>
      <c r="R16" s="51"/>
      <c r="S16" s="51"/>
      <c r="T16" s="51"/>
    </row>
    <row r="17" spans="1:20" ht="15.75" customHeight="1">
      <c r="A17" s="34" t="s">
        <v>139</v>
      </c>
      <c r="B17" s="41">
        <v>76</v>
      </c>
      <c r="C17" s="41">
        <v>6</v>
      </c>
      <c r="D17" s="41">
        <v>17</v>
      </c>
      <c r="E17" s="41">
        <v>41</v>
      </c>
      <c r="F17" s="41">
        <v>65</v>
      </c>
      <c r="G17" s="41">
        <v>16</v>
      </c>
      <c r="H17" s="61">
        <v>45708</v>
      </c>
      <c r="I17" s="63" t="s">
        <v>511</v>
      </c>
      <c r="J17" s="51">
        <v>0</v>
      </c>
      <c r="K17" s="51">
        <v>3</v>
      </c>
      <c r="L17" s="51"/>
      <c r="M17" s="51"/>
      <c r="N17" s="51"/>
      <c r="O17" s="51"/>
      <c r="P17" s="51"/>
      <c r="Q17" s="51"/>
      <c r="R17" s="51"/>
      <c r="S17" s="51"/>
      <c r="T17" s="51"/>
    </row>
    <row r="18" spans="1:20" ht="15.75" customHeight="1">
      <c r="A18" s="34" t="s">
        <v>142</v>
      </c>
      <c r="B18" s="41">
        <v>98</v>
      </c>
      <c r="C18" s="41">
        <v>3</v>
      </c>
      <c r="D18" s="41">
        <v>17</v>
      </c>
      <c r="E18" s="41">
        <v>36</v>
      </c>
      <c r="F18" s="41">
        <v>56</v>
      </c>
      <c r="G18" s="41">
        <v>14</v>
      </c>
      <c r="H18" s="61">
        <v>45715</v>
      </c>
      <c r="I18" s="63" t="s">
        <v>512</v>
      </c>
      <c r="J18" s="51">
        <v>0</v>
      </c>
      <c r="K18" s="51">
        <v>5</v>
      </c>
      <c r="L18" s="51"/>
      <c r="M18" s="51"/>
      <c r="N18" s="51"/>
      <c r="O18" s="51"/>
      <c r="P18" s="51"/>
      <c r="Q18" s="51"/>
      <c r="R18" s="51"/>
      <c r="S18" s="51"/>
      <c r="T18" s="51"/>
    </row>
    <row r="19" spans="1:20" ht="15.75" customHeight="1">
      <c r="A19" s="34" t="s">
        <v>143</v>
      </c>
      <c r="B19" s="41">
        <v>92</v>
      </c>
      <c r="C19" s="41">
        <v>7</v>
      </c>
      <c r="D19" s="41">
        <v>16</v>
      </c>
      <c r="E19" s="41">
        <v>27</v>
      </c>
      <c r="F19" s="41">
        <v>31</v>
      </c>
      <c r="G19" s="41">
        <v>15</v>
      </c>
      <c r="H19" s="61">
        <v>45718</v>
      </c>
      <c r="I19" s="63" t="s">
        <v>513</v>
      </c>
      <c r="J19" s="51">
        <v>0</v>
      </c>
      <c r="K19" s="51">
        <v>5</v>
      </c>
      <c r="L19" s="51"/>
      <c r="M19" s="51"/>
      <c r="N19" s="51"/>
      <c r="O19" s="51"/>
      <c r="P19" s="51"/>
      <c r="Q19" s="51"/>
      <c r="R19" s="51"/>
      <c r="S19" s="51"/>
      <c r="T19" s="51"/>
    </row>
    <row r="20" spans="1:20" ht="15.75" customHeight="1">
      <c r="A20" s="34" t="s">
        <v>139</v>
      </c>
      <c r="B20" s="41">
        <v>147</v>
      </c>
      <c r="C20" s="41">
        <v>10</v>
      </c>
      <c r="D20" s="41">
        <v>16</v>
      </c>
      <c r="E20" s="41">
        <v>39</v>
      </c>
      <c r="F20" s="41">
        <v>54</v>
      </c>
      <c r="G20" s="41">
        <v>15</v>
      </c>
      <c r="H20" s="61">
        <v>45722</v>
      </c>
      <c r="I20" s="63" t="s">
        <v>514</v>
      </c>
      <c r="J20" s="51">
        <v>0</v>
      </c>
      <c r="K20" s="51">
        <v>8</v>
      </c>
      <c r="L20" s="51"/>
      <c r="M20" s="51"/>
      <c r="N20" s="51"/>
      <c r="O20" s="51"/>
      <c r="P20" s="51"/>
      <c r="Q20" s="51"/>
      <c r="R20" s="51"/>
      <c r="S20" s="51"/>
      <c r="T20" s="51"/>
    </row>
    <row r="21" spans="1:20" ht="15.75" customHeight="1">
      <c r="A21" s="34" t="s">
        <v>136</v>
      </c>
      <c r="B21" s="41">
        <v>308</v>
      </c>
      <c r="C21" s="41">
        <v>26</v>
      </c>
      <c r="D21" s="41">
        <v>21</v>
      </c>
      <c r="E21" s="41">
        <v>43</v>
      </c>
      <c r="F21" s="41">
        <v>57</v>
      </c>
      <c r="G21" s="41">
        <v>74</v>
      </c>
      <c r="H21" s="66">
        <v>45723</v>
      </c>
      <c r="I21" s="63" t="s">
        <v>515</v>
      </c>
      <c r="J21" s="59">
        <v>0</v>
      </c>
      <c r="K21" s="59">
        <v>15</v>
      </c>
      <c r="L21" s="51"/>
      <c r="M21" s="51"/>
      <c r="N21" s="51"/>
      <c r="O21" s="51"/>
      <c r="P21" s="51"/>
      <c r="Q21" s="51"/>
      <c r="R21" s="51"/>
      <c r="S21" s="51"/>
      <c r="T21" s="51"/>
    </row>
    <row r="22" spans="1:20" ht="15.75" customHeight="1">
      <c r="L22" s="51"/>
      <c r="M22" s="51"/>
      <c r="N22" s="51"/>
      <c r="O22" s="51"/>
      <c r="P22" s="51"/>
      <c r="Q22" s="51"/>
      <c r="R22" s="51"/>
      <c r="S22" s="51"/>
      <c r="T22" s="51"/>
    </row>
    <row r="23" spans="1:20" ht="15.75" customHeight="1">
      <c r="A23" s="1" t="s">
        <v>355</v>
      </c>
      <c r="B23" s="1">
        <f t="shared" ref="B23:G23" si="0">SUM(B2:B21)</f>
        <v>3136</v>
      </c>
      <c r="C23" s="1">
        <f t="shared" si="0"/>
        <v>234</v>
      </c>
      <c r="D23" s="1">
        <f t="shared" si="0"/>
        <v>349</v>
      </c>
      <c r="E23" s="1">
        <f t="shared" si="0"/>
        <v>713</v>
      </c>
      <c r="F23" s="1">
        <f t="shared" si="0"/>
        <v>804</v>
      </c>
      <c r="G23" s="1">
        <f t="shared" si="0"/>
        <v>437</v>
      </c>
      <c r="I23" s="1">
        <f>COUNTA(I2:I21)</f>
        <v>20</v>
      </c>
      <c r="K23" s="1">
        <f>SUM(K2:K21)</f>
        <v>150</v>
      </c>
      <c r="L23" s="59"/>
      <c r="M23" s="59"/>
      <c r="N23" s="59"/>
      <c r="O23" s="59"/>
      <c r="P23" s="59"/>
      <c r="Q23" s="59"/>
      <c r="R23" s="59"/>
      <c r="S23" s="59"/>
      <c r="T23" s="59"/>
    </row>
    <row r="25" spans="1:20" ht="15.75" customHeight="1">
      <c r="A25" s="1" t="s">
        <v>418</v>
      </c>
      <c r="B25" s="1">
        <f t="shared" ref="B25:G25" si="1">B23/$I$23</f>
        <v>156.80000000000001</v>
      </c>
      <c r="C25" s="1">
        <f t="shared" si="1"/>
        <v>11.7</v>
      </c>
      <c r="D25" s="1">
        <f t="shared" si="1"/>
        <v>17.45</v>
      </c>
      <c r="E25" s="1">
        <f t="shared" si="1"/>
        <v>35.65</v>
      </c>
      <c r="F25" s="1">
        <f t="shared" si="1"/>
        <v>40.200000000000003</v>
      </c>
      <c r="G25" s="1">
        <f t="shared" si="1"/>
        <v>21.85</v>
      </c>
      <c r="I25" s="1" t="s">
        <v>262</v>
      </c>
      <c r="J25" s="1">
        <f>K23/I23</f>
        <v>7.5</v>
      </c>
    </row>
    <row r="26" spans="1:20" ht="15.75" customHeight="1">
      <c r="A26" s="1" t="s">
        <v>18</v>
      </c>
      <c r="B26" s="1">
        <f t="shared" ref="B26:G26" si="2">B23/$K$23</f>
        <v>20.906666666666666</v>
      </c>
      <c r="C26" s="1">
        <f t="shared" si="2"/>
        <v>1.56</v>
      </c>
      <c r="D26" s="1">
        <f t="shared" si="2"/>
        <v>2.3266666666666667</v>
      </c>
      <c r="E26" s="1">
        <f t="shared" si="2"/>
        <v>4.753333333333333</v>
      </c>
      <c r="F26" s="1">
        <f t="shared" si="2"/>
        <v>5.36</v>
      </c>
      <c r="G26" s="1">
        <f t="shared" si="2"/>
        <v>2.9133333333333336</v>
      </c>
    </row>
    <row r="27" spans="1:20" ht="15.75" customHeight="1">
      <c r="A27" s="1" t="s">
        <v>264</v>
      </c>
      <c r="B27" s="1">
        <f t="shared" ref="B27:G27" si="3">MAX(B2:B21)</f>
        <v>358</v>
      </c>
      <c r="C27" s="1">
        <f t="shared" si="3"/>
        <v>43</v>
      </c>
      <c r="D27" s="1">
        <f t="shared" si="3"/>
        <v>21</v>
      </c>
      <c r="E27" s="1">
        <f t="shared" si="3"/>
        <v>44</v>
      </c>
      <c r="F27" s="1">
        <f t="shared" si="3"/>
        <v>67</v>
      </c>
      <c r="G27" s="1">
        <f t="shared" si="3"/>
        <v>74</v>
      </c>
    </row>
    <row r="28" spans="1:20" ht="15.75" customHeight="1">
      <c r="A28" s="1" t="s">
        <v>265</v>
      </c>
      <c r="B28" s="1">
        <f t="shared" ref="B28:G28" si="4">STDEV(B2:B21)</f>
        <v>95.024428992039503</v>
      </c>
      <c r="C28" s="1">
        <f t="shared" si="4"/>
        <v>9.6796041676354339</v>
      </c>
      <c r="D28" s="1">
        <f t="shared" si="4"/>
        <v>2.8372521918222198</v>
      </c>
      <c r="E28" s="1">
        <f t="shared" si="4"/>
        <v>5.3992635408568219</v>
      </c>
      <c r="F28" s="1">
        <f t="shared" si="4"/>
        <v>11.727460651536347</v>
      </c>
      <c r="G28" s="1">
        <f t="shared" si="4"/>
        <v>16.702584105145935</v>
      </c>
    </row>
    <row r="30" spans="1:20" ht="15.75" customHeight="1">
      <c r="A30" s="34"/>
      <c r="B30" s="41"/>
      <c r="C30" s="41"/>
      <c r="D30" s="41"/>
      <c r="E30" s="41"/>
      <c r="F30" s="41"/>
    </row>
    <row r="31" spans="1:20" ht="15.75" customHeight="1">
      <c r="A31" s="34"/>
      <c r="B31" s="41"/>
      <c r="C31" s="41"/>
      <c r="D31" s="41"/>
      <c r="E31" s="41"/>
      <c r="F31" s="41"/>
    </row>
    <row r="32" spans="1:20" ht="15.75" customHeight="1">
      <c r="A32" s="34"/>
      <c r="B32" s="41"/>
      <c r="C32" s="41"/>
      <c r="D32" s="41"/>
      <c r="E32" s="41"/>
      <c r="F32" s="41"/>
    </row>
    <row r="33" spans="1:6" ht="15.75" customHeight="1">
      <c r="A33" s="34"/>
      <c r="B33" s="41"/>
      <c r="C33" s="41"/>
      <c r="D33" s="41"/>
      <c r="E33" s="41"/>
      <c r="F33" s="41"/>
    </row>
    <row r="34" spans="1:6" ht="15.75" customHeight="1">
      <c r="A34" s="34"/>
      <c r="B34" s="41"/>
      <c r="C34" s="41"/>
      <c r="D34" s="41"/>
      <c r="E34" s="41"/>
      <c r="F34" s="41"/>
    </row>
    <row r="35" spans="1:6" ht="15.75" customHeight="1">
      <c r="A35" s="34"/>
      <c r="B35" s="41"/>
      <c r="C35" s="41"/>
      <c r="D35" s="41"/>
      <c r="E35" s="41"/>
      <c r="F35" s="41"/>
    </row>
    <row r="36" spans="1:6" ht="15.75" customHeight="1">
      <c r="A36" s="34"/>
      <c r="B36" s="41"/>
      <c r="C36" s="41"/>
      <c r="D36" s="41"/>
      <c r="E36" s="41"/>
      <c r="F36" s="41"/>
    </row>
    <row r="37" spans="1:6" ht="15.75" customHeight="1">
      <c r="A37" s="34"/>
      <c r="B37" s="41"/>
      <c r="C37" s="41"/>
      <c r="D37" s="41"/>
      <c r="E37" s="41"/>
      <c r="F37" s="41"/>
    </row>
    <row r="38" spans="1:6" ht="15.75" customHeight="1">
      <c r="A38" s="34"/>
      <c r="B38" s="41"/>
      <c r="C38" s="41"/>
      <c r="D38" s="41"/>
      <c r="E38" s="41"/>
      <c r="F38" s="41"/>
    </row>
    <row r="39" spans="1:6" ht="15.75" customHeight="1">
      <c r="A39" s="34"/>
      <c r="B39" s="41"/>
      <c r="C39" s="41"/>
      <c r="D39" s="41"/>
      <c r="E39" s="41"/>
      <c r="F39" s="41"/>
    </row>
    <row r="40" spans="1:6" ht="15.75" customHeight="1">
      <c r="A40" s="34"/>
      <c r="B40" s="41"/>
      <c r="C40" s="41"/>
      <c r="D40" s="41"/>
      <c r="E40" s="41"/>
      <c r="F40" s="41"/>
    </row>
    <row r="41" spans="1:6" ht="15.75" customHeight="1">
      <c r="A41" s="34"/>
      <c r="B41" s="41"/>
      <c r="C41" s="41"/>
      <c r="D41" s="41"/>
      <c r="E41" s="41"/>
      <c r="F41" s="41"/>
    </row>
    <row r="42" spans="1:6" ht="15.75" customHeight="1">
      <c r="A42" s="34"/>
      <c r="B42" s="41"/>
      <c r="C42" s="41"/>
      <c r="D42" s="41"/>
      <c r="E42" s="41"/>
      <c r="F42" s="41"/>
    </row>
    <row r="43" spans="1:6" ht="15.75" customHeight="1">
      <c r="A43" s="34"/>
      <c r="B43" s="41"/>
      <c r="C43" s="41"/>
      <c r="D43" s="41"/>
      <c r="E43" s="41"/>
      <c r="F43" s="41"/>
    </row>
    <row r="44" spans="1:6" ht="15.75" customHeight="1">
      <c r="A44" s="34"/>
      <c r="B44" s="41"/>
      <c r="C44" s="41"/>
      <c r="D44" s="41"/>
      <c r="E44" s="41"/>
      <c r="F44" s="41"/>
    </row>
    <row r="45" spans="1:6" ht="15.75" customHeight="1">
      <c r="A45" s="34"/>
      <c r="B45" s="41"/>
      <c r="C45" s="41"/>
      <c r="D45" s="41"/>
      <c r="E45" s="41"/>
      <c r="F45" s="41"/>
    </row>
    <row r="46" spans="1:6" ht="15.75" customHeight="1">
      <c r="A46" s="34"/>
      <c r="B46" s="41"/>
      <c r="C46" s="41"/>
      <c r="D46" s="41"/>
      <c r="E46" s="41"/>
      <c r="F46" s="41"/>
    </row>
    <row r="47" spans="1:6" ht="15.75" customHeight="1">
      <c r="A47" s="34"/>
      <c r="B47" s="41"/>
      <c r="C47" s="41"/>
      <c r="D47" s="41"/>
      <c r="E47" s="41"/>
      <c r="F47" s="41"/>
    </row>
    <row r="48" spans="1:6" ht="15.75" customHeight="1">
      <c r="A48" s="34"/>
      <c r="B48" s="41"/>
      <c r="C48" s="41"/>
      <c r="D48" s="41"/>
      <c r="E48" s="41"/>
      <c r="F48" s="41"/>
    </row>
    <row r="49" spans="1:6" ht="15.75" customHeight="1">
      <c r="A49" s="34"/>
      <c r="B49" s="41"/>
      <c r="C49" s="41"/>
      <c r="D49" s="41"/>
      <c r="E49" s="41"/>
      <c r="F49" s="41"/>
    </row>
  </sheetData>
  <hyperlinks>
    <hyperlink ref="I2" r:id="rId1" xr:uid="{00000000-0004-0000-1300-000000000000}"/>
    <hyperlink ref="I3" r:id="rId2" xr:uid="{00000000-0004-0000-1300-000001000000}"/>
    <hyperlink ref="I4" r:id="rId3" xr:uid="{00000000-0004-0000-1300-000002000000}"/>
    <hyperlink ref="I5" r:id="rId4" xr:uid="{00000000-0004-0000-1300-000003000000}"/>
    <hyperlink ref="I6" r:id="rId5" xr:uid="{00000000-0004-0000-1300-000004000000}"/>
    <hyperlink ref="I7" r:id="rId6" xr:uid="{00000000-0004-0000-1300-000005000000}"/>
    <hyperlink ref="I8" r:id="rId7" xr:uid="{00000000-0004-0000-1300-000006000000}"/>
    <hyperlink ref="I9" r:id="rId8" xr:uid="{00000000-0004-0000-1300-000007000000}"/>
    <hyperlink ref="I10" r:id="rId9" xr:uid="{00000000-0004-0000-1300-000008000000}"/>
    <hyperlink ref="I11" r:id="rId10" xr:uid="{00000000-0004-0000-1300-000009000000}"/>
    <hyperlink ref="I12" r:id="rId11" xr:uid="{00000000-0004-0000-1300-00000A000000}"/>
    <hyperlink ref="I13" r:id="rId12" xr:uid="{00000000-0004-0000-1300-00000B000000}"/>
    <hyperlink ref="I14" r:id="rId13" xr:uid="{00000000-0004-0000-1300-00000C000000}"/>
    <hyperlink ref="I15" r:id="rId14" xr:uid="{00000000-0004-0000-1300-00000D000000}"/>
    <hyperlink ref="I16" r:id="rId15" xr:uid="{00000000-0004-0000-1300-00000E000000}"/>
    <hyperlink ref="I17" r:id="rId16" xr:uid="{00000000-0004-0000-1300-00000F000000}"/>
    <hyperlink ref="I18" r:id="rId17" xr:uid="{00000000-0004-0000-1300-000010000000}"/>
    <hyperlink ref="I19" r:id="rId18" xr:uid="{00000000-0004-0000-1300-000011000000}"/>
    <hyperlink ref="I20" r:id="rId19" xr:uid="{00000000-0004-0000-1300-000012000000}"/>
    <hyperlink ref="I21" r:id="rId20" xr:uid="{00000000-0004-0000-1300-000013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R18"/>
  <sheetViews>
    <sheetView workbookViewId="0">
      <selection activeCell="B3" sqref="B3"/>
    </sheetView>
  </sheetViews>
  <sheetFormatPr baseColWidth="10" defaultColWidth="12.6640625" defaultRowHeight="15.75" customHeight="1"/>
  <sheetData>
    <row r="1" spans="1:18" ht="15.75" customHeight="1">
      <c r="A1" s="34" t="s">
        <v>112</v>
      </c>
      <c r="B1" s="41">
        <v>173</v>
      </c>
      <c r="C1" s="71">
        <v>5.8333333333333336E-3</v>
      </c>
      <c r="D1" s="71">
        <v>1.5104166666666667E-2</v>
      </c>
      <c r="F1" s="61">
        <v>45600</v>
      </c>
      <c r="G1" s="63" t="s">
        <v>516</v>
      </c>
      <c r="H1" s="51">
        <v>3</v>
      </c>
      <c r="I1" s="51">
        <v>10</v>
      </c>
      <c r="J1" s="54"/>
      <c r="K1" s="54"/>
      <c r="L1" s="51"/>
      <c r="M1" s="51"/>
      <c r="N1" s="51"/>
      <c r="O1" s="51"/>
      <c r="P1" s="51"/>
      <c r="Q1" s="51">
        <v>0</v>
      </c>
      <c r="R1" s="51">
        <v>2</v>
      </c>
    </row>
    <row r="2" spans="1:18" ht="15.75" customHeight="1">
      <c r="A2" s="34" t="s">
        <v>113</v>
      </c>
      <c r="B2" s="41">
        <v>233</v>
      </c>
      <c r="C2" s="71">
        <v>8.4490740740740741E-3</v>
      </c>
      <c r="D2" s="71">
        <v>2.1030092592592593E-2</v>
      </c>
      <c r="F2" s="61">
        <v>45603</v>
      </c>
      <c r="G2" s="63" t="s">
        <v>517</v>
      </c>
      <c r="H2" s="51">
        <v>5</v>
      </c>
      <c r="I2" s="51">
        <v>15</v>
      </c>
      <c r="J2" s="54"/>
      <c r="K2" s="54"/>
      <c r="L2" s="51"/>
      <c r="M2" s="51"/>
      <c r="N2" s="51"/>
      <c r="O2" s="51"/>
      <c r="P2" s="51"/>
      <c r="Q2" s="51">
        <v>0</v>
      </c>
      <c r="R2" s="51">
        <v>0</v>
      </c>
    </row>
    <row r="3" spans="1:18" ht="15.75" customHeight="1">
      <c r="A3" s="34" t="s">
        <v>114</v>
      </c>
      <c r="B3" s="41">
        <v>92</v>
      </c>
      <c r="C3" s="71">
        <v>3.5069444444444445E-3</v>
      </c>
      <c r="D3" s="71">
        <v>8.9814814814814809E-3</v>
      </c>
      <c r="F3" s="61">
        <v>45605</v>
      </c>
      <c r="G3" s="63" t="s">
        <v>518</v>
      </c>
      <c r="H3" s="51">
        <v>0</v>
      </c>
      <c r="I3" s="51">
        <v>9</v>
      </c>
      <c r="J3" s="51"/>
      <c r="K3" s="51"/>
      <c r="L3" s="51"/>
      <c r="M3" s="51"/>
      <c r="N3" s="51"/>
      <c r="O3" s="51"/>
      <c r="P3" s="51"/>
      <c r="Q3" s="51">
        <v>0</v>
      </c>
      <c r="R3" s="51">
        <v>2</v>
      </c>
    </row>
    <row r="4" spans="1:18" ht="15.75" customHeight="1">
      <c r="A4" s="34" t="s">
        <v>115</v>
      </c>
      <c r="B4" s="41">
        <v>198</v>
      </c>
      <c r="C4" s="71">
        <v>9.9884259259259266E-3</v>
      </c>
      <c r="D4" s="71">
        <v>4.2372685185185187E-2</v>
      </c>
      <c r="F4" s="64">
        <v>45610</v>
      </c>
      <c r="G4" s="63" t="s">
        <v>519</v>
      </c>
      <c r="H4" s="51">
        <v>0</v>
      </c>
      <c r="I4" s="51">
        <v>1</v>
      </c>
      <c r="J4" s="51"/>
      <c r="K4" s="51"/>
      <c r="L4" s="51"/>
      <c r="M4" s="51"/>
      <c r="N4" s="51"/>
      <c r="O4" s="51"/>
      <c r="P4" s="51"/>
      <c r="Q4" s="51">
        <v>0</v>
      </c>
      <c r="R4" s="51">
        <v>0</v>
      </c>
    </row>
    <row r="5" spans="1:18" ht="15.75" customHeight="1">
      <c r="A5" s="34" t="s">
        <v>116</v>
      </c>
      <c r="B5" s="41">
        <v>162</v>
      </c>
      <c r="C5" s="71">
        <v>6.3078703703703708E-3</v>
      </c>
      <c r="D5" s="71">
        <v>2.1840277777777778E-2</v>
      </c>
      <c r="F5" s="64">
        <v>45616</v>
      </c>
      <c r="G5" s="63" t="s">
        <v>520</v>
      </c>
      <c r="H5" s="51">
        <v>0</v>
      </c>
      <c r="I5" s="51">
        <v>9</v>
      </c>
      <c r="J5" s="51"/>
      <c r="K5" s="51"/>
      <c r="L5" s="51"/>
      <c r="M5" s="51"/>
      <c r="N5" s="51"/>
      <c r="O5" s="51"/>
      <c r="P5" s="51"/>
      <c r="Q5" s="51">
        <v>2</v>
      </c>
      <c r="R5" s="51">
        <v>0</v>
      </c>
    </row>
    <row r="6" spans="1:18" ht="15.75" customHeight="1">
      <c r="A6" s="34" t="s">
        <v>122</v>
      </c>
      <c r="B6" s="41">
        <v>61</v>
      </c>
      <c r="C6" s="71">
        <v>2.9282407407407408E-3</v>
      </c>
      <c r="D6" s="71">
        <v>7.5694444444444446E-3</v>
      </c>
      <c r="F6" s="64">
        <v>45639</v>
      </c>
      <c r="G6" s="63" t="s">
        <v>521</v>
      </c>
      <c r="H6" s="51">
        <v>0</v>
      </c>
      <c r="I6" s="51">
        <v>1</v>
      </c>
      <c r="J6" s="51"/>
      <c r="K6" s="51"/>
      <c r="L6" s="51"/>
      <c r="M6" s="51"/>
      <c r="N6" s="51"/>
      <c r="O6" s="51"/>
      <c r="P6" s="51"/>
      <c r="Q6" s="51">
        <v>0</v>
      </c>
      <c r="R6" s="51">
        <v>0</v>
      </c>
    </row>
    <row r="7" spans="1:18" ht="15.75" customHeight="1">
      <c r="A7" s="34" t="s">
        <v>124</v>
      </c>
      <c r="B7" s="41">
        <v>72</v>
      </c>
      <c r="C7" s="71">
        <v>2.0601851851851853E-3</v>
      </c>
      <c r="D7" s="71">
        <v>6.3425925925925924E-3</v>
      </c>
      <c r="F7" s="64">
        <v>45647</v>
      </c>
      <c r="G7" s="63" t="s">
        <v>522</v>
      </c>
      <c r="H7" s="51">
        <v>0</v>
      </c>
      <c r="I7" s="51">
        <v>3</v>
      </c>
      <c r="J7" s="49"/>
      <c r="K7" s="51"/>
      <c r="L7" s="51"/>
      <c r="M7" s="51"/>
      <c r="N7" s="51"/>
      <c r="O7" s="51"/>
      <c r="P7" s="51"/>
      <c r="Q7" s="51">
        <v>1</v>
      </c>
      <c r="R7" s="51">
        <v>1</v>
      </c>
    </row>
    <row r="8" spans="1:18" ht="15.75" customHeight="1">
      <c r="A8" s="34" t="s">
        <v>125</v>
      </c>
      <c r="B8" s="41">
        <v>335</v>
      </c>
      <c r="C8" s="71">
        <v>1.8553240740740742E-2</v>
      </c>
      <c r="D8" s="71">
        <v>5.1296296296296298E-2</v>
      </c>
      <c r="F8" s="64">
        <v>45648</v>
      </c>
      <c r="G8" s="63" t="s">
        <v>523</v>
      </c>
      <c r="H8" s="51">
        <v>4</v>
      </c>
      <c r="I8" s="51">
        <v>7</v>
      </c>
      <c r="J8" s="51"/>
      <c r="K8" s="51"/>
      <c r="L8" s="51"/>
      <c r="M8" s="51"/>
      <c r="N8" s="51"/>
      <c r="O8" s="51"/>
      <c r="P8" s="51"/>
      <c r="Q8" s="51">
        <v>0</v>
      </c>
      <c r="R8" s="51">
        <v>0</v>
      </c>
    </row>
    <row r="9" spans="1:18" ht="15.75" customHeight="1">
      <c r="A9" s="34" t="s">
        <v>128</v>
      </c>
      <c r="B9" s="41">
        <v>52</v>
      </c>
      <c r="C9" s="71">
        <v>2.9282407407407408E-3</v>
      </c>
      <c r="D9" s="71">
        <v>1.0115740740740741E-2</v>
      </c>
      <c r="F9" s="61">
        <v>45662</v>
      </c>
      <c r="G9" s="63" t="s">
        <v>524</v>
      </c>
      <c r="H9" s="51">
        <v>0</v>
      </c>
      <c r="I9" s="51">
        <v>1</v>
      </c>
      <c r="J9" s="54"/>
      <c r="K9" s="51"/>
      <c r="L9" s="51"/>
      <c r="M9" s="51"/>
      <c r="N9" s="51"/>
      <c r="O9" s="51"/>
      <c r="P9" s="51"/>
      <c r="Q9" s="51">
        <v>1</v>
      </c>
      <c r="R9" s="51">
        <v>0</v>
      </c>
    </row>
    <row r="10" spans="1:18" ht="15.75" customHeight="1">
      <c r="A10" s="34" t="s">
        <v>129</v>
      </c>
      <c r="B10" s="41">
        <v>154</v>
      </c>
      <c r="C10" s="71">
        <v>7.6273148148148151E-3</v>
      </c>
      <c r="D10" s="71">
        <v>2.5011574074074075E-2</v>
      </c>
      <c r="F10" s="61">
        <v>45669</v>
      </c>
      <c r="G10" s="63" t="s">
        <v>525</v>
      </c>
      <c r="H10" s="51">
        <v>0</v>
      </c>
      <c r="I10" s="51">
        <v>1</v>
      </c>
      <c r="J10" s="51"/>
      <c r="K10" s="51"/>
      <c r="L10" s="51"/>
      <c r="M10" s="51"/>
      <c r="N10" s="51"/>
      <c r="O10" s="51"/>
      <c r="P10" s="51"/>
      <c r="Q10" s="51">
        <v>0</v>
      </c>
      <c r="R10" s="51">
        <v>0</v>
      </c>
    </row>
    <row r="11" spans="1:18" ht="15.75" customHeight="1">
      <c r="A11" s="34" t="s">
        <v>131</v>
      </c>
      <c r="B11" s="41">
        <v>37</v>
      </c>
      <c r="C11" s="71">
        <v>1.5972222222222223E-3</v>
      </c>
      <c r="D11" s="71">
        <v>3.6226851851851854E-3</v>
      </c>
      <c r="F11" s="61">
        <v>45676</v>
      </c>
      <c r="G11" s="63" t="s">
        <v>526</v>
      </c>
      <c r="H11" s="51">
        <v>0</v>
      </c>
      <c r="I11" s="51">
        <v>2</v>
      </c>
      <c r="J11" s="51"/>
      <c r="K11" s="51"/>
      <c r="L11" s="51"/>
      <c r="M11" s="51"/>
      <c r="N11" s="51"/>
      <c r="O11" s="51"/>
      <c r="P11" s="51"/>
      <c r="Q11" s="51">
        <v>1</v>
      </c>
      <c r="R11" s="51">
        <v>0</v>
      </c>
    </row>
    <row r="12" spans="1:18" ht="15.75" customHeight="1">
      <c r="A12" s="73" t="s">
        <v>122</v>
      </c>
      <c r="B12" s="74">
        <v>68</v>
      </c>
      <c r="C12" s="75">
        <v>4.3287037037037035E-3</v>
      </c>
      <c r="D12" s="75">
        <v>1.1597222222222222E-2</v>
      </c>
      <c r="F12" s="226" t="s">
        <v>527</v>
      </c>
      <c r="G12" s="227"/>
      <c r="H12" s="227"/>
      <c r="I12" s="227"/>
      <c r="J12" s="51"/>
      <c r="K12" s="51"/>
      <c r="L12" s="51"/>
      <c r="M12" s="51"/>
      <c r="N12" s="51"/>
      <c r="O12" s="51"/>
      <c r="P12" s="51"/>
      <c r="Q12" s="51">
        <v>0</v>
      </c>
      <c r="R12" s="51">
        <v>1</v>
      </c>
    </row>
    <row r="13" spans="1:18" ht="15.75" customHeight="1">
      <c r="A13" s="73" t="s">
        <v>137</v>
      </c>
      <c r="B13" s="74">
        <v>111</v>
      </c>
      <c r="C13" s="75">
        <v>7.1064814814814819E-3</v>
      </c>
      <c r="D13" s="75">
        <v>1.9629629629629629E-2</v>
      </c>
      <c r="F13" s="226" t="s">
        <v>527</v>
      </c>
      <c r="G13" s="227"/>
      <c r="H13" s="227"/>
      <c r="I13" s="227"/>
      <c r="J13" s="54"/>
      <c r="K13" s="54"/>
      <c r="L13" s="51"/>
      <c r="M13" s="51"/>
      <c r="N13" s="51"/>
      <c r="O13" s="51"/>
      <c r="P13" s="51"/>
      <c r="Q13" s="51">
        <v>0</v>
      </c>
      <c r="R13" s="51">
        <v>3</v>
      </c>
    </row>
    <row r="14" spans="1:18" ht="15.75" customHeight="1">
      <c r="A14" s="34" t="s">
        <v>142</v>
      </c>
      <c r="B14" s="41">
        <v>13</v>
      </c>
      <c r="C14" s="71">
        <v>4.861111111111111E-4</v>
      </c>
      <c r="D14" s="71">
        <v>1.0416666666666667E-3</v>
      </c>
      <c r="F14" s="61">
        <v>45715</v>
      </c>
      <c r="G14" s="63" t="s">
        <v>528</v>
      </c>
      <c r="H14" s="51">
        <v>0</v>
      </c>
      <c r="I14" s="51">
        <v>1</v>
      </c>
      <c r="J14" s="51"/>
      <c r="K14" s="51"/>
      <c r="L14" s="51"/>
      <c r="M14" s="51"/>
      <c r="N14" s="51"/>
      <c r="O14" s="51"/>
      <c r="P14" s="51"/>
      <c r="Q14" s="51">
        <v>0</v>
      </c>
      <c r="R14" s="51">
        <v>0</v>
      </c>
    </row>
    <row r="15" spans="1:18" ht="15.75" customHeight="1">
      <c r="A15" s="34" t="s">
        <v>143</v>
      </c>
      <c r="B15" s="41">
        <v>125</v>
      </c>
      <c r="C15" s="71">
        <v>3.9583333333333337E-3</v>
      </c>
      <c r="D15" s="71">
        <v>1.1076388888888889E-2</v>
      </c>
      <c r="F15" s="66">
        <v>45718</v>
      </c>
      <c r="G15" s="63" t="s">
        <v>529</v>
      </c>
      <c r="H15" s="59">
        <v>5</v>
      </c>
      <c r="I15" s="59">
        <v>7</v>
      </c>
      <c r="J15" s="60"/>
      <c r="K15" s="60"/>
      <c r="L15" s="60"/>
      <c r="M15" s="59"/>
      <c r="N15" s="59"/>
      <c r="O15" s="59"/>
      <c r="P15" s="59"/>
      <c r="Q15" s="59">
        <v>0</v>
      </c>
      <c r="R15" s="59">
        <v>1</v>
      </c>
    </row>
    <row r="16" spans="1:18" ht="15.75" customHeight="1">
      <c r="A16" s="1" t="s">
        <v>105</v>
      </c>
      <c r="B16" s="1">
        <f>SUM(B14:B15,B1:B11)</f>
        <v>1707</v>
      </c>
    </row>
    <row r="17" spans="1:9" ht="15.75" customHeight="1">
      <c r="A17" s="1" t="s">
        <v>17</v>
      </c>
      <c r="B17" s="1">
        <f>AVERAGE(B1:B11,B14:B15)</f>
        <v>131.30769230769232</v>
      </c>
      <c r="G17" s="1">
        <f>COUNTA(G14:G15,G1:G11)</f>
        <v>13</v>
      </c>
      <c r="I17" s="1">
        <f>SUM(I1:I15)</f>
        <v>67</v>
      </c>
    </row>
    <row r="18" spans="1:9" ht="15.75" customHeight="1">
      <c r="A18" s="1" t="s">
        <v>18</v>
      </c>
      <c r="B18" s="1">
        <f>B16/I17</f>
        <v>25.477611940298509</v>
      </c>
      <c r="G18" s="1" t="s">
        <v>262</v>
      </c>
      <c r="H18" s="1">
        <f>I17/G17</f>
        <v>5.1538461538461542</v>
      </c>
    </row>
  </sheetData>
  <mergeCells count="2">
    <mergeCell ref="F12:I12"/>
    <mergeCell ref="F13:I13"/>
  </mergeCells>
  <hyperlinks>
    <hyperlink ref="G1" r:id="rId1" xr:uid="{00000000-0004-0000-1400-000000000000}"/>
    <hyperlink ref="G2" r:id="rId2" xr:uid="{00000000-0004-0000-1400-000001000000}"/>
    <hyperlink ref="G3" r:id="rId3" xr:uid="{00000000-0004-0000-1400-000002000000}"/>
    <hyperlink ref="G4" r:id="rId4" xr:uid="{00000000-0004-0000-1400-000003000000}"/>
    <hyperlink ref="G5" r:id="rId5" xr:uid="{00000000-0004-0000-1400-000004000000}"/>
    <hyperlink ref="G6" r:id="rId6" xr:uid="{00000000-0004-0000-1400-000005000000}"/>
    <hyperlink ref="G7" r:id="rId7" xr:uid="{00000000-0004-0000-1400-000006000000}"/>
    <hyperlink ref="G8" r:id="rId8" xr:uid="{00000000-0004-0000-1400-000007000000}"/>
    <hyperlink ref="G9" r:id="rId9" xr:uid="{00000000-0004-0000-1400-000008000000}"/>
    <hyperlink ref="G10" r:id="rId10" xr:uid="{00000000-0004-0000-1400-000009000000}"/>
    <hyperlink ref="G11" r:id="rId11" xr:uid="{00000000-0004-0000-1400-00000A000000}"/>
    <hyperlink ref="G14" r:id="rId12" xr:uid="{00000000-0004-0000-1400-00000B000000}"/>
    <hyperlink ref="G15" r:id="rId13" xr:uid="{00000000-0004-0000-1400-00000C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S58"/>
  <sheetViews>
    <sheetView workbookViewId="0">
      <selection activeCell="B3" sqref="B3"/>
    </sheetView>
  </sheetViews>
  <sheetFormatPr baseColWidth="10" defaultColWidth="12.6640625" defaultRowHeight="15.75" customHeight="1"/>
  <cols>
    <col min="8" max="8" width="14.6640625" customWidth="1"/>
  </cols>
  <sheetData>
    <row r="1" spans="1:19" ht="15.75" customHeight="1">
      <c r="A1" s="34"/>
      <c r="B1" s="52" t="s">
        <v>227</v>
      </c>
      <c r="C1" s="52" t="s">
        <v>5</v>
      </c>
      <c r="D1" s="52" t="s">
        <v>6</v>
      </c>
      <c r="E1" s="52" t="s">
        <v>7</v>
      </c>
      <c r="F1" s="1" t="s">
        <v>8</v>
      </c>
      <c r="G1" s="51" t="s">
        <v>9</v>
      </c>
      <c r="H1" s="62"/>
      <c r="I1" s="51"/>
      <c r="J1" s="51"/>
      <c r="K1" s="54"/>
      <c r="L1" s="51"/>
      <c r="M1" s="54"/>
      <c r="N1" s="51"/>
      <c r="O1" s="51"/>
      <c r="P1" s="51"/>
      <c r="Q1" s="51"/>
      <c r="R1" s="51"/>
      <c r="S1" s="51"/>
    </row>
    <row r="2" spans="1:19" ht="15.75" customHeight="1">
      <c r="A2" s="34" t="s">
        <v>112</v>
      </c>
      <c r="B2" s="41">
        <v>178</v>
      </c>
      <c r="C2" s="41">
        <v>15</v>
      </c>
      <c r="D2" s="41">
        <v>18</v>
      </c>
      <c r="E2" s="41">
        <v>41</v>
      </c>
      <c r="F2" s="41">
        <v>61</v>
      </c>
      <c r="G2" s="41">
        <v>45</v>
      </c>
      <c r="H2" s="61">
        <v>45600</v>
      </c>
      <c r="I2" s="63" t="s">
        <v>530</v>
      </c>
      <c r="J2" s="51">
        <v>8</v>
      </c>
      <c r="K2" s="51">
        <v>9</v>
      </c>
      <c r="L2" s="51"/>
      <c r="M2" s="54"/>
      <c r="N2" s="51"/>
      <c r="O2" s="51"/>
      <c r="P2" s="51"/>
      <c r="Q2" s="51"/>
      <c r="R2" s="51"/>
      <c r="S2" s="51"/>
    </row>
    <row r="3" spans="1:19" ht="15.75" customHeight="1">
      <c r="A3" s="34" t="s">
        <v>113</v>
      </c>
      <c r="B3" s="41">
        <v>218</v>
      </c>
      <c r="C3" s="41">
        <v>23</v>
      </c>
      <c r="D3" s="41">
        <v>19</v>
      </c>
      <c r="E3" s="41">
        <v>36</v>
      </c>
      <c r="F3" s="41">
        <v>53</v>
      </c>
      <c r="G3" s="41">
        <v>49</v>
      </c>
      <c r="H3" s="61">
        <v>45603</v>
      </c>
      <c r="I3" s="63" t="s">
        <v>531</v>
      </c>
      <c r="J3" s="51">
        <v>6</v>
      </c>
      <c r="K3" s="51">
        <v>13</v>
      </c>
      <c r="L3" s="51"/>
      <c r="M3" s="51"/>
      <c r="N3" s="51"/>
      <c r="O3" s="51"/>
      <c r="P3" s="51"/>
      <c r="Q3" s="51"/>
      <c r="R3" s="51"/>
      <c r="S3" s="51"/>
    </row>
    <row r="4" spans="1:19" ht="15.75" customHeight="1">
      <c r="A4" s="34" t="s">
        <v>114</v>
      </c>
      <c r="B4" s="41">
        <v>243</v>
      </c>
      <c r="C4" s="41">
        <v>20</v>
      </c>
      <c r="D4" s="41">
        <v>15</v>
      </c>
      <c r="E4" s="41">
        <v>33</v>
      </c>
      <c r="F4" s="41">
        <v>52</v>
      </c>
      <c r="G4" s="41">
        <v>50</v>
      </c>
      <c r="H4" s="61">
        <v>45605</v>
      </c>
      <c r="I4" s="63" t="s">
        <v>532</v>
      </c>
      <c r="J4" s="51">
        <v>8</v>
      </c>
      <c r="K4" s="51">
        <v>13</v>
      </c>
      <c r="L4" s="51"/>
      <c r="M4" s="54"/>
      <c r="N4" s="51"/>
      <c r="O4" s="51"/>
      <c r="P4" s="51"/>
      <c r="Q4" s="51"/>
      <c r="R4" s="51"/>
      <c r="S4" s="51"/>
    </row>
    <row r="5" spans="1:19" ht="15.75" customHeight="1">
      <c r="A5" s="34" t="s">
        <v>115</v>
      </c>
      <c r="B5" s="41">
        <v>402</v>
      </c>
      <c r="C5" s="41">
        <v>45</v>
      </c>
      <c r="D5" s="41">
        <v>19</v>
      </c>
      <c r="E5" s="41">
        <v>39</v>
      </c>
      <c r="F5" s="41">
        <v>54</v>
      </c>
      <c r="G5" s="41">
        <v>57</v>
      </c>
      <c r="H5" s="64">
        <v>45610</v>
      </c>
      <c r="I5" s="63" t="s">
        <v>533</v>
      </c>
      <c r="J5" s="51">
        <v>2</v>
      </c>
      <c r="K5" s="51">
        <v>16</v>
      </c>
      <c r="L5" s="51"/>
      <c r="M5" s="51"/>
      <c r="N5" s="51"/>
      <c r="O5" s="51"/>
      <c r="P5" s="51"/>
      <c r="Q5" s="51"/>
      <c r="R5" s="51"/>
      <c r="S5" s="51"/>
    </row>
    <row r="6" spans="1:19" ht="15.75" customHeight="1">
      <c r="A6" s="34" t="s">
        <v>116</v>
      </c>
      <c r="B6" s="41">
        <v>244</v>
      </c>
      <c r="C6" s="41">
        <v>19</v>
      </c>
      <c r="D6" s="41">
        <v>19</v>
      </c>
      <c r="E6" s="41">
        <v>44</v>
      </c>
      <c r="F6" s="41">
        <v>60</v>
      </c>
      <c r="G6" s="41">
        <v>43</v>
      </c>
      <c r="H6" s="64">
        <v>45616</v>
      </c>
      <c r="I6" s="63" t="s">
        <v>534</v>
      </c>
      <c r="J6" s="51">
        <v>4</v>
      </c>
      <c r="K6" s="51">
        <v>12</v>
      </c>
      <c r="L6" s="51"/>
      <c r="M6" s="51"/>
      <c r="N6" s="51"/>
      <c r="O6" s="51"/>
      <c r="P6" s="51"/>
      <c r="Q6" s="51"/>
      <c r="R6" s="51"/>
      <c r="S6" s="51"/>
    </row>
    <row r="7" spans="1:19" ht="15.75" customHeight="1">
      <c r="A7" s="34" t="s">
        <v>117</v>
      </c>
      <c r="B7" s="41">
        <v>105</v>
      </c>
      <c r="C7" s="41">
        <v>16</v>
      </c>
      <c r="D7" s="41">
        <v>19</v>
      </c>
      <c r="E7" s="41">
        <v>38</v>
      </c>
      <c r="F7" s="41">
        <v>55</v>
      </c>
      <c r="G7" s="41">
        <v>22</v>
      </c>
      <c r="H7" s="64">
        <v>45618</v>
      </c>
      <c r="I7" s="63" t="s">
        <v>535</v>
      </c>
      <c r="J7" s="51">
        <v>0</v>
      </c>
      <c r="K7" s="51">
        <v>6</v>
      </c>
      <c r="L7" s="51"/>
      <c r="M7" s="51"/>
      <c r="N7" s="51"/>
      <c r="O7" s="51"/>
      <c r="P7" s="51"/>
      <c r="Q7" s="51"/>
      <c r="R7" s="51"/>
      <c r="S7" s="51"/>
    </row>
    <row r="8" spans="1:19" ht="15.75" customHeight="1">
      <c r="A8" s="34" t="s">
        <v>118</v>
      </c>
      <c r="B8" s="41">
        <v>83</v>
      </c>
      <c r="C8" s="41">
        <v>6</v>
      </c>
      <c r="D8" s="41">
        <v>18</v>
      </c>
      <c r="E8" s="41">
        <v>36</v>
      </c>
      <c r="F8" s="41">
        <v>3</v>
      </c>
      <c r="G8" s="41">
        <v>14</v>
      </c>
      <c r="H8" s="64">
        <v>45622</v>
      </c>
      <c r="I8" s="63" t="s">
        <v>536</v>
      </c>
      <c r="J8" s="51">
        <v>1</v>
      </c>
      <c r="K8" s="51">
        <v>3</v>
      </c>
      <c r="L8" s="51"/>
      <c r="M8" s="54"/>
      <c r="N8" s="51"/>
      <c r="O8" s="51"/>
      <c r="P8" s="51"/>
      <c r="Q8" s="51"/>
      <c r="R8" s="51"/>
      <c r="S8" s="51"/>
    </row>
    <row r="9" spans="1:19" ht="15.75" customHeight="1">
      <c r="A9" s="34" t="s">
        <v>120</v>
      </c>
      <c r="B9" s="41">
        <v>118</v>
      </c>
      <c r="C9" s="41">
        <v>4</v>
      </c>
      <c r="D9" s="41">
        <v>18</v>
      </c>
      <c r="E9" s="41">
        <v>37</v>
      </c>
      <c r="F9" s="41">
        <v>60</v>
      </c>
      <c r="G9" s="41">
        <v>33</v>
      </c>
      <c r="H9" s="61">
        <v>45631</v>
      </c>
      <c r="I9" s="63" t="s">
        <v>537</v>
      </c>
      <c r="J9" s="51">
        <v>2</v>
      </c>
      <c r="K9" s="51">
        <v>7</v>
      </c>
      <c r="L9" s="51"/>
      <c r="M9" s="51"/>
      <c r="N9" s="51"/>
      <c r="O9" s="51"/>
      <c r="P9" s="51"/>
      <c r="Q9" s="51"/>
      <c r="R9" s="51"/>
      <c r="S9" s="51"/>
    </row>
    <row r="10" spans="1:19" ht="15.75" customHeight="1">
      <c r="A10" s="34" t="s">
        <v>121</v>
      </c>
      <c r="B10" s="41">
        <v>111</v>
      </c>
      <c r="C10" s="41">
        <v>8</v>
      </c>
      <c r="D10" s="41">
        <v>19</v>
      </c>
      <c r="E10" s="41">
        <v>35</v>
      </c>
      <c r="F10" s="41">
        <v>52</v>
      </c>
      <c r="G10" s="41">
        <v>26</v>
      </c>
      <c r="H10" s="61">
        <v>45633</v>
      </c>
      <c r="I10" s="63" t="s">
        <v>538</v>
      </c>
      <c r="J10" s="51">
        <v>0</v>
      </c>
      <c r="K10" s="51">
        <v>5</v>
      </c>
      <c r="L10" s="51"/>
      <c r="M10" s="51"/>
      <c r="N10" s="51"/>
      <c r="O10" s="51"/>
      <c r="P10" s="51"/>
      <c r="Q10" s="51"/>
      <c r="R10" s="51"/>
      <c r="S10" s="51"/>
    </row>
    <row r="11" spans="1:19" ht="15.75" customHeight="1">
      <c r="A11" s="34" t="s">
        <v>122</v>
      </c>
      <c r="B11" s="41">
        <v>39</v>
      </c>
      <c r="C11" s="41">
        <v>1</v>
      </c>
      <c r="D11" s="41">
        <v>12</v>
      </c>
      <c r="E11" s="41">
        <v>23</v>
      </c>
      <c r="F11" s="41">
        <v>7</v>
      </c>
      <c r="G11" s="41">
        <v>3</v>
      </c>
      <c r="H11" s="64">
        <v>45639</v>
      </c>
      <c r="I11" s="63" t="s">
        <v>539</v>
      </c>
      <c r="J11" s="51">
        <v>0</v>
      </c>
      <c r="K11" s="51">
        <v>1</v>
      </c>
      <c r="L11" s="51"/>
      <c r="M11" s="51"/>
      <c r="N11" s="51"/>
      <c r="O11" s="51"/>
      <c r="P11" s="51"/>
      <c r="Q11" s="51"/>
      <c r="R11" s="51"/>
      <c r="S11" s="51"/>
    </row>
    <row r="12" spans="1:19" ht="15.75" customHeight="1">
      <c r="A12" s="34" t="s">
        <v>124</v>
      </c>
      <c r="B12" s="41">
        <v>70</v>
      </c>
      <c r="C12" s="41">
        <v>5</v>
      </c>
      <c r="D12" s="41">
        <v>19</v>
      </c>
      <c r="E12" s="41">
        <v>40</v>
      </c>
      <c r="F12" s="41">
        <v>59</v>
      </c>
      <c r="G12" s="41">
        <v>6</v>
      </c>
      <c r="H12" s="64">
        <v>45647</v>
      </c>
      <c r="I12" s="63" t="s">
        <v>540</v>
      </c>
      <c r="J12" s="51">
        <v>2</v>
      </c>
      <c r="K12" s="51">
        <v>4</v>
      </c>
      <c r="L12" s="51"/>
      <c r="M12" s="54"/>
      <c r="N12" s="51"/>
      <c r="O12" s="51"/>
      <c r="P12" s="51"/>
      <c r="Q12" s="51"/>
      <c r="R12" s="51"/>
      <c r="S12" s="51"/>
    </row>
    <row r="13" spans="1:19" ht="15.75" customHeight="1">
      <c r="A13" s="34" t="s">
        <v>125</v>
      </c>
      <c r="B13" s="41">
        <v>256</v>
      </c>
      <c r="C13" s="41">
        <v>27</v>
      </c>
      <c r="D13" s="41">
        <v>17</v>
      </c>
      <c r="E13" s="41">
        <v>41</v>
      </c>
      <c r="F13" s="41">
        <v>61</v>
      </c>
      <c r="G13" s="41">
        <v>30</v>
      </c>
      <c r="H13" s="64">
        <v>45648</v>
      </c>
      <c r="I13" s="63" t="s">
        <v>541</v>
      </c>
      <c r="J13" s="51">
        <v>0</v>
      </c>
      <c r="K13" s="51">
        <v>7</v>
      </c>
      <c r="L13" s="51"/>
      <c r="M13" s="51"/>
      <c r="N13" s="51"/>
      <c r="O13" s="51"/>
      <c r="P13" s="51"/>
      <c r="Q13" s="51"/>
      <c r="R13" s="51"/>
      <c r="S13" s="51"/>
    </row>
    <row r="14" spans="1:19" ht="15.75" customHeight="1">
      <c r="A14" s="34" t="s">
        <v>126</v>
      </c>
      <c r="B14" s="41">
        <v>48</v>
      </c>
      <c r="C14" s="41">
        <v>6</v>
      </c>
      <c r="D14" s="41">
        <v>19</v>
      </c>
      <c r="E14" s="41">
        <v>40</v>
      </c>
      <c r="F14" s="41" t="s">
        <v>308</v>
      </c>
      <c r="G14" s="41">
        <v>8</v>
      </c>
      <c r="H14" s="61">
        <v>45659</v>
      </c>
      <c r="I14" s="63" t="s">
        <v>542</v>
      </c>
      <c r="J14" s="51">
        <v>0</v>
      </c>
      <c r="K14" s="51">
        <v>2</v>
      </c>
      <c r="L14" s="51"/>
      <c r="M14" s="51"/>
      <c r="N14" s="51"/>
      <c r="O14" s="51"/>
      <c r="P14" s="51"/>
      <c r="Q14" s="51"/>
      <c r="R14" s="51"/>
      <c r="S14" s="51"/>
    </row>
    <row r="15" spans="1:19" ht="15.75" customHeight="1">
      <c r="A15" s="34" t="s">
        <v>127</v>
      </c>
      <c r="B15" s="41">
        <v>162</v>
      </c>
      <c r="C15" s="41">
        <v>13</v>
      </c>
      <c r="D15" s="41">
        <v>17</v>
      </c>
      <c r="E15" s="41">
        <v>38</v>
      </c>
      <c r="F15" s="41">
        <v>38</v>
      </c>
      <c r="G15" s="41">
        <v>18</v>
      </c>
      <c r="H15" s="61">
        <v>45662</v>
      </c>
      <c r="I15" s="63" t="s">
        <v>543</v>
      </c>
      <c r="J15" s="51">
        <v>3</v>
      </c>
      <c r="K15" s="51">
        <v>10</v>
      </c>
      <c r="L15" s="51"/>
      <c r="M15" s="51"/>
      <c r="N15" s="51"/>
      <c r="O15" s="51"/>
      <c r="P15" s="51"/>
      <c r="Q15" s="51"/>
      <c r="R15" s="51"/>
      <c r="S15" s="51"/>
    </row>
    <row r="16" spans="1:19" ht="15.75" customHeight="1">
      <c r="A16" s="34" t="s">
        <v>128</v>
      </c>
      <c r="B16" s="74">
        <v>46</v>
      </c>
      <c r="C16" s="74">
        <v>5</v>
      </c>
      <c r="D16" s="74">
        <v>9</v>
      </c>
      <c r="E16" s="74">
        <v>23</v>
      </c>
      <c r="F16" s="74">
        <v>32</v>
      </c>
      <c r="G16" s="41">
        <v>1</v>
      </c>
      <c r="H16" s="226" t="s">
        <v>527</v>
      </c>
      <c r="I16" s="227"/>
      <c r="J16" s="227"/>
      <c r="K16" s="227"/>
      <c r="L16" s="51"/>
      <c r="M16" s="54"/>
      <c r="N16" s="51"/>
      <c r="O16" s="51"/>
      <c r="P16" s="51"/>
      <c r="Q16" s="51"/>
      <c r="R16" s="51"/>
      <c r="S16" s="51"/>
    </row>
    <row r="17" spans="1:19" ht="15.75" customHeight="1">
      <c r="A17" s="34" t="s">
        <v>129</v>
      </c>
      <c r="B17" s="41">
        <v>199</v>
      </c>
      <c r="C17" s="41">
        <v>17</v>
      </c>
      <c r="D17" s="41">
        <v>19</v>
      </c>
      <c r="E17" s="41">
        <v>44</v>
      </c>
      <c r="F17" s="41">
        <v>62</v>
      </c>
      <c r="G17" s="41">
        <v>31</v>
      </c>
      <c r="H17" s="61">
        <v>45669</v>
      </c>
      <c r="I17" s="63" t="s">
        <v>544</v>
      </c>
      <c r="J17" s="51">
        <v>6</v>
      </c>
      <c r="K17" s="51">
        <v>6</v>
      </c>
      <c r="L17" s="51"/>
      <c r="M17" s="51"/>
      <c r="N17" s="51"/>
      <c r="O17" s="51"/>
      <c r="P17" s="51"/>
      <c r="Q17" s="51"/>
      <c r="R17" s="51"/>
      <c r="S17" s="51"/>
    </row>
    <row r="18" spans="1:19" ht="15.75" customHeight="1">
      <c r="A18" s="34" t="s">
        <v>130</v>
      </c>
      <c r="B18" s="41">
        <v>207</v>
      </c>
      <c r="C18" s="41">
        <v>26</v>
      </c>
      <c r="D18" s="41">
        <v>17</v>
      </c>
      <c r="E18" s="41">
        <v>33</v>
      </c>
      <c r="F18" s="41">
        <v>51</v>
      </c>
      <c r="G18" s="41">
        <v>31</v>
      </c>
      <c r="H18" s="61">
        <v>45673</v>
      </c>
      <c r="I18" s="63" t="s">
        <v>545</v>
      </c>
      <c r="J18" s="51">
        <v>6</v>
      </c>
      <c r="K18" s="51">
        <v>12</v>
      </c>
      <c r="L18" s="51"/>
      <c r="M18" s="51"/>
      <c r="N18" s="51"/>
      <c r="O18" s="51"/>
      <c r="P18" s="51"/>
      <c r="Q18" s="51"/>
      <c r="R18" s="51"/>
      <c r="S18" s="51"/>
    </row>
    <row r="19" spans="1:19" ht="15.75" customHeight="1">
      <c r="A19" s="34" t="s">
        <v>131</v>
      </c>
      <c r="B19" s="41">
        <v>211</v>
      </c>
      <c r="C19" s="41">
        <v>17</v>
      </c>
      <c r="D19" s="41">
        <v>19</v>
      </c>
      <c r="E19" s="41">
        <v>39</v>
      </c>
      <c r="F19" s="41">
        <v>52</v>
      </c>
      <c r="G19" s="41">
        <v>44</v>
      </c>
      <c r="H19" s="61">
        <v>45676</v>
      </c>
      <c r="I19" s="63" t="s">
        <v>546</v>
      </c>
      <c r="J19" s="51">
        <v>3</v>
      </c>
      <c r="K19" s="51">
        <v>12</v>
      </c>
      <c r="L19" s="51"/>
      <c r="M19" s="54"/>
      <c r="N19" s="51"/>
      <c r="O19" s="51"/>
      <c r="P19" s="51"/>
      <c r="Q19" s="51"/>
      <c r="R19" s="51"/>
      <c r="S19" s="51"/>
    </row>
    <row r="20" spans="1:19" ht="15.75" customHeight="1">
      <c r="A20" s="34" t="s">
        <v>122</v>
      </c>
      <c r="B20" s="41">
        <v>232</v>
      </c>
      <c r="C20" s="41">
        <v>28</v>
      </c>
      <c r="D20" s="41">
        <v>17</v>
      </c>
      <c r="E20" s="41">
        <v>34</v>
      </c>
      <c r="F20" s="41">
        <v>21</v>
      </c>
      <c r="G20" s="41">
        <v>39</v>
      </c>
      <c r="H20" s="61">
        <v>45680</v>
      </c>
      <c r="I20" s="63" t="s">
        <v>547</v>
      </c>
      <c r="J20" s="51">
        <v>6</v>
      </c>
      <c r="K20" s="51">
        <v>11</v>
      </c>
      <c r="L20" s="51"/>
      <c r="M20" s="54"/>
      <c r="N20" s="51"/>
      <c r="O20" s="51"/>
      <c r="P20" s="51"/>
      <c r="Q20" s="51"/>
      <c r="R20" s="51"/>
      <c r="S20" s="51"/>
    </row>
    <row r="21" spans="1:19" ht="15.75" customHeight="1">
      <c r="A21" s="34" t="s">
        <v>138</v>
      </c>
      <c r="B21" s="41">
        <v>214</v>
      </c>
      <c r="C21" s="41">
        <v>19</v>
      </c>
      <c r="D21" s="41">
        <v>20</v>
      </c>
      <c r="E21" s="41">
        <v>44</v>
      </c>
      <c r="F21" s="41">
        <v>48</v>
      </c>
      <c r="G21" s="41">
        <v>30</v>
      </c>
      <c r="H21" s="61">
        <v>45704</v>
      </c>
      <c r="I21" s="63" t="s">
        <v>548</v>
      </c>
      <c r="J21" s="51">
        <v>0</v>
      </c>
      <c r="K21" s="51">
        <v>8</v>
      </c>
      <c r="L21" s="51"/>
      <c r="M21" s="51"/>
      <c r="N21" s="51"/>
      <c r="O21" s="51"/>
      <c r="P21" s="51"/>
      <c r="Q21" s="51"/>
      <c r="R21" s="51"/>
      <c r="S21" s="51"/>
    </row>
    <row r="22" spans="1:19" ht="15.75" customHeight="1">
      <c r="A22" s="34" t="s">
        <v>139</v>
      </c>
      <c r="B22" s="41">
        <v>7</v>
      </c>
      <c r="C22" s="41">
        <v>0</v>
      </c>
      <c r="D22" s="41">
        <v>5</v>
      </c>
      <c r="E22" s="41" t="s">
        <v>308</v>
      </c>
      <c r="F22" s="41" t="s">
        <v>308</v>
      </c>
      <c r="G22" s="41">
        <v>0</v>
      </c>
      <c r="H22" s="61">
        <v>45708</v>
      </c>
      <c r="I22" s="63" t="s">
        <v>549</v>
      </c>
      <c r="J22" s="51">
        <v>0</v>
      </c>
      <c r="K22" s="51">
        <v>0</v>
      </c>
      <c r="L22" s="51"/>
      <c r="M22" s="51"/>
      <c r="N22" s="51"/>
      <c r="O22" s="51"/>
      <c r="P22" s="51"/>
      <c r="Q22" s="51"/>
      <c r="R22" s="51"/>
      <c r="S22" s="51"/>
    </row>
    <row r="23" spans="1:19" ht="15.75" customHeight="1">
      <c r="A23" s="34" t="s">
        <v>140</v>
      </c>
      <c r="B23" s="41">
        <v>88</v>
      </c>
      <c r="C23" s="41">
        <v>4</v>
      </c>
      <c r="D23" s="41">
        <v>17</v>
      </c>
      <c r="E23" s="41">
        <v>34</v>
      </c>
      <c r="F23" s="41" t="s">
        <v>308</v>
      </c>
      <c r="G23" s="41">
        <v>15</v>
      </c>
      <c r="H23" s="61">
        <v>45711</v>
      </c>
      <c r="I23" s="63" t="s">
        <v>550</v>
      </c>
      <c r="J23" s="51">
        <v>0</v>
      </c>
      <c r="K23" s="51">
        <v>5</v>
      </c>
      <c r="L23" s="51"/>
      <c r="M23" s="51"/>
      <c r="N23" s="51"/>
      <c r="O23" s="51"/>
      <c r="P23" s="51"/>
      <c r="Q23" s="51"/>
      <c r="R23" s="51"/>
      <c r="S23" s="51"/>
    </row>
    <row r="24" spans="1:19" ht="15.75" customHeight="1">
      <c r="A24" s="34" t="s">
        <v>143</v>
      </c>
      <c r="B24" s="41">
        <v>93</v>
      </c>
      <c r="C24" s="41">
        <v>11</v>
      </c>
      <c r="D24" s="41">
        <v>18</v>
      </c>
      <c r="E24" s="41">
        <v>38</v>
      </c>
      <c r="F24" s="41">
        <v>59</v>
      </c>
      <c r="G24" s="41">
        <v>21</v>
      </c>
      <c r="H24" s="61">
        <v>45718</v>
      </c>
      <c r="I24" s="63" t="s">
        <v>551</v>
      </c>
      <c r="J24" s="51">
        <v>2</v>
      </c>
      <c r="K24" s="51">
        <v>4</v>
      </c>
      <c r="L24" s="51"/>
      <c r="M24" s="51"/>
      <c r="N24" s="51"/>
      <c r="O24" s="51"/>
      <c r="P24" s="51"/>
      <c r="Q24" s="51"/>
      <c r="R24" s="51"/>
      <c r="S24" s="51"/>
    </row>
    <row r="25" spans="1:19" ht="15.75" customHeight="1">
      <c r="A25" s="34" t="s">
        <v>136</v>
      </c>
      <c r="B25" s="41">
        <v>39</v>
      </c>
      <c r="C25" s="41">
        <v>4</v>
      </c>
      <c r="D25" s="41">
        <v>17</v>
      </c>
      <c r="E25" s="41">
        <v>30</v>
      </c>
      <c r="F25" s="41" t="s">
        <v>308</v>
      </c>
      <c r="G25" s="41">
        <v>7</v>
      </c>
      <c r="H25" s="61">
        <v>45723</v>
      </c>
      <c r="I25" s="63" t="s">
        <v>552</v>
      </c>
      <c r="J25" s="51">
        <v>0</v>
      </c>
      <c r="K25" s="51">
        <v>2</v>
      </c>
      <c r="L25" s="51"/>
      <c r="M25" s="51"/>
      <c r="N25" s="51"/>
      <c r="O25" s="51"/>
      <c r="P25" s="51"/>
      <c r="Q25" s="51"/>
      <c r="R25" s="51"/>
      <c r="S25" s="51"/>
    </row>
    <row r="27" spans="1:19" ht="15.75" customHeight="1">
      <c r="A27" s="1" t="s">
        <v>355</v>
      </c>
      <c r="B27" s="1">
        <f>SUM(B17:B25,B2:B15)</f>
        <v>3567</v>
      </c>
      <c r="C27" s="1">
        <f t="shared" ref="C27:F27" si="0">SUM(C2:C25)</f>
        <v>339</v>
      </c>
      <c r="D27" s="1">
        <f t="shared" si="0"/>
        <v>406</v>
      </c>
      <c r="E27" s="1">
        <f t="shared" si="0"/>
        <v>840</v>
      </c>
      <c r="F27" s="1">
        <f t="shared" si="0"/>
        <v>940</v>
      </c>
      <c r="G27" s="1" t="s">
        <v>553</v>
      </c>
      <c r="H27" s="1">
        <f>COUNTA(I17:I25,I2:I15)</f>
        <v>23</v>
      </c>
      <c r="I27" s="1" t="s">
        <v>554</v>
      </c>
      <c r="J27" s="1">
        <f>SUM(K2:K25)</f>
        <v>168</v>
      </c>
    </row>
    <row r="28" spans="1:19" ht="15.75" customHeight="1">
      <c r="A28" s="1" t="s">
        <v>555</v>
      </c>
      <c r="B28" s="1">
        <f>B27/H27</f>
        <v>155.08695652173913</v>
      </c>
      <c r="C28" s="1">
        <f t="shared" ref="C28:F28" si="1">C27/$H$27</f>
        <v>14.739130434782609</v>
      </c>
      <c r="D28" s="1">
        <f t="shared" si="1"/>
        <v>17.652173913043477</v>
      </c>
      <c r="E28" s="1">
        <f t="shared" si="1"/>
        <v>36.521739130434781</v>
      </c>
      <c r="F28" s="1">
        <f t="shared" si="1"/>
        <v>40.869565217391305</v>
      </c>
      <c r="H28" s="1" t="s">
        <v>262</v>
      </c>
      <c r="I28" s="1">
        <f>J27/H27</f>
        <v>7.3043478260869561</v>
      </c>
    </row>
    <row r="29" spans="1:19" ht="15.75" customHeight="1">
      <c r="A29" s="1" t="s">
        <v>556</v>
      </c>
      <c r="B29" s="1">
        <f t="shared" ref="B29:F29" si="2">B27/$J$27</f>
        <v>21.232142857142858</v>
      </c>
      <c r="C29" s="1">
        <f t="shared" si="2"/>
        <v>2.0178571428571428</v>
      </c>
      <c r="D29" s="1">
        <f t="shared" si="2"/>
        <v>2.4166666666666665</v>
      </c>
      <c r="E29" s="1">
        <f t="shared" si="2"/>
        <v>5</v>
      </c>
      <c r="F29" s="1">
        <f t="shared" si="2"/>
        <v>5.5952380952380949</v>
      </c>
    </row>
    <row r="32" spans="1:19" ht="15.75" customHeight="1">
      <c r="A32" s="34"/>
      <c r="B32" s="41"/>
      <c r="C32" s="41"/>
      <c r="D32" s="41"/>
      <c r="E32" s="41"/>
      <c r="F32" s="41"/>
    </row>
    <row r="33" spans="1:6" ht="15.75" customHeight="1">
      <c r="A33" s="34"/>
      <c r="B33" s="41"/>
      <c r="C33" s="41"/>
      <c r="D33" s="41"/>
      <c r="E33" s="41"/>
      <c r="F33" s="41"/>
    </row>
    <row r="34" spans="1:6" ht="15.75" customHeight="1">
      <c r="A34" s="34"/>
      <c r="B34" s="41"/>
      <c r="C34" s="41"/>
      <c r="D34" s="41"/>
      <c r="E34" s="34" t="s">
        <v>112</v>
      </c>
      <c r="F34" s="41">
        <v>45</v>
      </c>
    </row>
    <row r="35" spans="1:6" ht="15.75" customHeight="1">
      <c r="A35" s="34"/>
      <c r="B35" s="41"/>
      <c r="C35" s="41"/>
      <c r="D35" s="41"/>
      <c r="E35" s="34" t="s">
        <v>113</v>
      </c>
      <c r="F35" s="41">
        <v>49</v>
      </c>
    </row>
    <row r="36" spans="1:6" ht="15.75" customHeight="1">
      <c r="A36" s="34"/>
      <c r="B36" s="41"/>
      <c r="C36" s="41"/>
      <c r="D36" s="41"/>
      <c r="E36" s="34" t="s">
        <v>114</v>
      </c>
      <c r="F36" s="41">
        <v>50</v>
      </c>
    </row>
    <row r="37" spans="1:6" ht="15.75" customHeight="1">
      <c r="A37" s="34"/>
      <c r="B37" s="41"/>
      <c r="C37" s="41"/>
      <c r="D37" s="41"/>
      <c r="E37" s="34" t="s">
        <v>115</v>
      </c>
      <c r="F37" s="41">
        <v>57</v>
      </c>
    </row>
    <row r="38" spans="1:6" ht="15.75" customHeight="1">
      <c r="A38" s="34"/>
      <c r="B38" s="41"/>
      <c r="C38" s="41"/>
      <c r="D38" s="41"/>
      <c r="E38" s="34" t="s">
        <v>116</v>
      </c>
      <c r="F38" s="41">
        <v>43</v>
      </c>
    </row>
    <row r="39" spans="1:6" ht="15.75" customHeight="1">
      <c r="A39" s="34"/>
      <c r="B39" s="41"/>
      <c r="C39" s="41"/>
      <c r="D39" s="41"/>
      <c r="E39" s="34" t="s">
        <v>117</v>
      </c>
      <c r="F39" s="41">
        <v>22</v>
      </c>
    </row>
    <row r="40" spans="1:6" ht="15.75" customHeight="1">
      <c r="A40" s="34"/>
      <c r="B40" s="41"/>
      <c r="C40" s="41"/>
      <c r="D40" s="41"/>
      <c r="E40" s="34" t="s">
        <v>118</v>
      </c>
      <c r="F40" s="41">
        <v>14</v>
      </c>
    </row>
    <row r="41" spans="1:6" ht="15.75" customHeight="1">
      <c r="A41" s="34"/>
      <c r="B41" s="41"/>
      <c r="C41" s="41"/>
      <c r="D41" s="41"/>
      <c r="E41" s="34" t="s">
        <v>120</v>
      </c>
      <c r="F41" s="41">
        <v>33</v>
      </c>
    </row>
    <row r="42" spans="1:6" ht="15.75" customHeight="1">
      <c r="A42" s="34"/>
      <c r="B42" s="41"/>
      <c r="C42" s="41"/>
      <c r="D42" s="41"/>
      <c r="E42" s="34" t="s">
        <v>121</v>
      </c>
      <c r="F42" s="41">
        <v>26</v>
      </c>
    </row>
    <row r="43" spans="1:6" ht="15.75" customHeight="1">
      <c r="A43" s="34"/>
      <c r="B43" s="41"/>
      <c r="C43" s="41"/>
      <c r="D43" s="41"/>
      <c r="E43" s="34" t="s">
        <v>122</v>
      </c>
      <c r="F43" s="41">
        <v>3</v>
      </c>
    </row>
    <row r="44" spans="1:6" ht="15.75" customHeight="1">
      <c r="A44" s="34"/>
      <c r="B44" s="41"/>
      <c r="C44" s="41"/>
      <c r="D44" s="41"/>
      <c r="E44" s="34" t="s">
        <v>124</v>
      </c>
      <c r="F44" s="41">
        <v>6</v>
      </c>
    </row>
    <row r="45" spans="1:6" ht="15.75" customHeight="1">
      <c r="A45" s="34"/>
      <c r="B45" s="41"/>
      <c r="C45" s="41"/>
      <c r="D45" s="41"/>
      <c r="E45" s="34" t="s">
        <v>125</v>
      </c>
      <c r="F45" s="41">
        <v>30</v>
      </c>
    </row>
    <row r="46" spans="1:6" ht="15.75" customHeight="1">
      <c r="A46" s="34"/>
      <c r="B46" s="41"/>
      <c r="C46" s="41"/>
      <c r="D46" s="41"/>
      <c r="E46" s="34" t="s">
        <v>126</v>
      </c>
      <c r="F46" s="41">
        <v>8</v>
      </c>
    </row>
    <row r="47" spans="1:6" ht="15.75" customHeight="1">
      <c r="A47" s="34"/>
      <c r="B47" s="41"/>
      <c r="C47" s="41"/>
      <c r="D47" s="41"/>
      <c r="E47" s="34" t="s">
        <v>127</v>
      </c>
      <c r="F47" s="41">
        <v>18</v>
      </c>
    </row>
    <row r="48" spans="1:6" ht="15.75" customHeight="1">
      <c r="A48" s="34"/>
      <c r="B48" s="41"/>
      <c r="C48" s="41"/>
      <c r="D48" s="41"/>
      <c r="E48" s="34" t="s">
        <v>128</v>
      </c>
      <c r="F48" s="41">
        <v>1</v>
      </c>
    </row>
    <row r="49" spans="1:6" ht="15.75" customHeight="1">
      <c r="A49" s="34"/>
      <c r="B49" s="41"/>
      <c r="C49" s="41"/>
      <c r="D49" s="41"/>
      <c r="E49" s="34" t="s">
        <v>129</v>
      </c>
      <c r="F49" s="41">
        <v>31</v>
      </c>
    </row>
    <row r="50" spans="1:6" ht="15.75" customHeight="1">
      <c r="A50" s="34"/>
      <c r="B50" s="41"/>
      <c r="C50" s="41"/>
      <c r="D50" s="41"/>
      <c r="E50" s="34" t="s">
        <v>130</v>
      </c>
      <c r="F50" s="41">
        <v>31</v>
      </c>
    </row>
    <row r="51" spans="1:6" ht="13">
      <c r="A51" s="34"/>
      <c r="B51" s="41"/>
      <c r="C51" s="41"/>
      <c r="D51" s="41"/>
      <c r="E51" s="34" t="s">
        <v>131</v>
      </c>
      <c r="F51" s="41">
        <v>44</v>
      </c>
    </row>
    <row r="52" spans="1:6" ht="13">
      <c r="A52" s="34"/>
      <c r="B52" s="41"/>
      <c r="C52" s="41"/>
      <c r="D52" s="41"/>
      <c r="E52" s="34" t="s">
        <v>315</v>
      </c>
      <c r="F52" s="41">
        <v>39</v>
      </c>
    </row>
    <row r="53" spans="1:6" ht="13">
      <c r="A53" s="34"/>
      <c r="B53" s="41"/>
      <c r="C53" s="41"/>
      <c r="D53" s="41"/>
      <c r="E53" s="34" t="s">
        <v>137</v>
      </c>
      <c r="F53" s="41">
        <v>0</v>
      </c>
    </row>
    <row r="54" spans="1:6" ht="13">
      <c r="A54" s="34"/>
      <c r="B54" s="41"/>
      <c r="C54" s="41"/>
      <c r="D54" s="41"/>
      <c r="E54" s="34" t="s">
        <v>138</v>
      </c>
      <c r="F54" s="41">
        <v>30</v>
      </c>
    </row>
    <row r="55" spans="1:6" ht="13">
      <c r="A55" s="34"/>
      <c r="B55" s="41"/>
      <c r="C55" s="41"/>
      <c r="D55" s="41"/>
      <c r="E55" s="34" t="s">
        <v>139</v>
      </c>
      <c r="F55" s="41">
        <v>0</v>
      </c>
    </row>
    <row r="56" spans="1:6" ht="13">
      <c r="A56" s="34"/>
      <c r="B56" s="41"/>
      <c r="C56" s="41"/>
      <c r="D56" s="41"/>
      <c r="E56" s="34" t="s">
        <v>140</v>
      </c>
      <c r="F56" s="41">
        <v>15</v>
      </c>
    </row>
    <row r="57" spans="1:6" ht="13">
      <c r="E57" s="34" t="s">
        <v>143</v>
      </c>
      <c r="F57" s="41">
        <v>21</v>
      </c>
    </row>
    <row r="58" spans="1:6" ht="13">
      <c r="E58" s="34" t="s">
        <v>136</v>
      </c>
      <c r="F58" s="41">
        <v>7</v>
      </c>
    </row>
  </sheetData>
  <mergeCells count="1">
    <mergeCell ref="H16:K16"/>
  </mergeCells>
  <hyperlinks>
    <hyperlink ref="I2" r:id="rId1" xr:uid="{00000000-0004-0000-1500-000000000000}"/>
    <hyperlink ref="I3" r:id="rId2" xr:uid="{00000000-0004-0000-1500-000001000000}"/>
    <hyperlink ref="I4" r:id="rId3" xr:uid="{00000000-0004-0000-1500-000002000000}"/>
    <hyperlink ref="I5" r:id="rId4" xr:uid="{00000000-0004-0000-1500-000003000000}"/>
    <hyperlink ref="I6" r:id="rId5" xr:uid="{00000000-0004-0000-1500-000004000000}"/>
    <hyperlink ref="I7" r:id="rId6" xr:uid="{00000000-0004-0000-1500-000005000000}"/>
    <hyperlink ref="I8" r:id="rId7" xr:uid="{00000000-0004-0000-1500-000006000000}"/>
    <hyperlink ref="I9" r:id="rId8" xr:uid="{00000000-0004-0000-1500-000007000000}"/>
    <hyperlink ref="I10" r:id="rId9" xr:uid="{00000000-0004-0000-1500-000008000000}"/>
    <hyperlink ref="I11" r:id="rId10" xr:uid="{00000000-0004-0000-1500-000009000000}"/>
    <hyperlink ref="I12" r:id="rId11" xr:uid="{00000000-0004-0000-1500-00000A000000}"/>
    <hyperlink ref="I13" r:id="rId12" xr:uid="{00000000-0004-0000-1500-00000B000000}"/>
    <hyperlink ref="I14" r:id="rId13" xr:uid="{00000000-0004-0000-1500-00000C000000}"/>
    <hyperlink ref="I15" r:id="rId14" xr:uid="{00000000-0004-0000-1500-00000D000000}"/>
    <hyperlink ref="I17" r:id="rId15" xr:uid="{00000000-0004-0000-1500-00000E000000}"/>
    <hyperlink ref="I18" r:id="rId16" xr:uid="{00000000-0004-0000-1500-00000F000000}"/>
    <hyperlink ref="I19" r:id="rId17" xr:uid="{00000000-0004-0000-1500-000010000000}"/>
    <hyperlink ref="I20" r:id="rId18" xr:uid="{00000000-0004-0000-1500-000011000000}"/>
    <hyperlink ref="I21" r:id="rId19" xr:uid="{00000000-0004-0000-1500-000012000000}"/>
    <hyperlink ref="I22" r:id="rId20" xr:uid="{00000000-0004-0000-1500-000013000000}"/>
    <hyperlink ref="I23" r:id="rId21" xr:uid="{00000000-0004-0000-1500-000014000000}"/>
    <hyperlink ref="I24" r:id="rId22" xr:uid="{00000000-0004-0000-1500-000015000000}"/>
    <hyperlink ref="I25" r:id="rId23" xr:uid="{00000000-0004-0000-1500-000016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R9"/>
  <sheetViews>
    <sheetView workbookViewId="0">
      <selection activeCell="B3" sqref="B3"/>
    </sheetView>
  </sheetViews>
  <sheetFormatPr baseColWidth="10" defaultColWidth="12.6640625" defaultRowHeight="15.75" customHeight="1"/>
  <cols>
    <col min="7" max="7" width="14.5" customWidth="1"/>
  </cols>
  <sheetData>
    <row r="1" spans="1:18" ht="15.75" customHeight="1">
      <c r="A1" s="34" t="s">
        <v>112</v>
      </c>
      <c r="B1" s="41">
        <v>18</v>
      </c>
      <c r="C1" s="71">
        <v>7.7546296296296293E-4</v>
      </c>
      <c r="D1" s="71">
        <v>1.724537037037037E-3</v>
      </c>
      <c r="F1" s="61">
        <v>45600</v>
      </c>
      <c r="G1" s="63" t="s">
        <v>557</v>
      </c>
      <c r="H1" s="51">
        <v>0</v>
      </c>
      <c r="I1" s="51">
        <v>1</v>
      </c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34" t="s">
        <v>113</v>
      </c>
      <c r="B2" s="41">
        <v>38</v>
      </c>
      <c r="C2" s="71">
        <v>1.4351851851851852E-3</v>
      </c>
      <c r="D2" s="71">
        <v>3.414351851851852E-3</v>
      </c>
      <c r="F2" s="61">
        <v>45603</v>
      </c>
      <c r="G2" s="63" t="s">
        <v>558</v>
      </c>
      <c r="H2" s="51">
        <v>0</v>
      </c>
      <c r="I2" s="51">
        <v>2</v>
      </c>
      <c r="J2" s="51"/>
      <c r="K2" s="51"/>
      <c r="L2" s="51"/>
      <c r="M2" s="51"/>
      <c r="N2" s="51"/>
      <c r="O2" s="51"/>
      <c r="P2" s="51"/>
      <c r="Q2" s="51"/>
      <c r="R2" s="51"/>
    </row>
    <row r="3" spans="1:18" ht="15.75" customHeight="1">
      <c r="A3" s="34" t="s">
        <v>115</v>
      </c>
      <c r="B3" s="41">
        <v>180</v>
      </c>
      <c r="C3" s="71">
        <v>9.0509259259259258E-3</v>
      </c>
      <c r="D3" s="71">
        <v>4.1504629629629627E-2</v>
      </c>
      <c r="F3" s="61">
        <v>45605</v>
      </c>
      <c r="G3" s="63" t="s">
        <v>559</v>
      </c>
      <c r="H3" s="51">
        <v>0</v>
      </c>
      <c r="I3" s="51">
        <v>2</v>
      </c>
      <c r="J3" s="51"/>
      <c r="K3" s="51"/>
      <c r="L3" s="51"/>
      <c r="M3" s="51"/>
      <c r="N3" s="51"/>
      <c r="O3" s="51"/>
      <c r="P3" s="51"/>
      <c r="Q3" s="51"/>
      <c r="R3" s="51"/>
    </row>
    <row r="4" spans="1:18" ht="15.75" customHeight="1">
      <c r="A4" s="34" t="s">
        <v>116</v>
      </c>
      <c r="B4" s="41">
        <v>3</v>
      </c>
      <c r="C4" s="71">
        <v>2.4305555555555555E-4</v>
      </c>
      <c r="D4" s="71">
        <v>6.5972222222222224E-4</v>
      </c>
      <c r="F4" s="64">
        <v>45616</v>
      </c>
      <c r="G4" s="63" t="s">
        <v>560</v>
      </c>
      <c r="H4" s="51">
        <v>0</v>
      </c>
      <c r="I4" s="51">
        <v>0</v>
      </c>
      <c r="J4" s="51"/>
      <c r="K4" s="51"/>
      <c r="L4" s="51"/>
      <c r="M4" s="51"/>
      <c r="N4" s="51"/>
      <c r="O4" s="51"/>
      <c r="P4" s="51"/>
      <c r="Q4" s="51"/>
      <c r="R4" s="51"/>
    </row>
    <row r="5" spans="1:18" ht="15.75" customHeight="1">
      <c r="A5" s="34" t="s">
        <v>122</v>
      </c>
      <c r="B5" s="41">
        <v>51</v>
      </c>
      <c r="C5" s="71">
        <v>2.2800925925925927E-3</v>
      </c>
      <c r="D5" s="71">
        <v>6.4351851851851853E-3</v>
      </c>
      <c r="F5" s="64">
        <v>45639</v>
      </c>
      <c r="G5" s="63" t="s">
        <v>561</v>
      </c>
      <c r="H5" s="51">
        <v>0</v>
      </c>
      <c r="I5" s="51">
        <v>1</v>
      </c>
      <c r="J5" s="51"/>
      <c r="K5" s="51"/>
      <c r="L5" s="51"/>
      <c r="M5" s="51"/>
      <c r="N5" s="51"/>
      <c r="O5" s="51"/>
      <c r="P5" s="51"/>
      <c r="Q5" s="51"/>
      <c r="R5" s="51"/>
    </row>
    <row r="6" spans="1:18" ht="15.75" customHeight="1">
      <c r="A6" s="34" t="s">
        <v>125</v>
      </c>
      <c r="B6" s="41">
        <v>248</v>
      </c>
      <c r="C6" s="71">
        <v>1.2939814814814815E-2</v>
      </c>
      <c r="D6" s="71">
        <v>4.5868055555555558E-2</v>
      </c>
      <c r="F6" s="76">
        <v>45648</v>
      </c>
      <c r="G6" s="63" t="s">
        <v>562</v>
      </c>
      <c r="H6" s="59">
        <v>0</v>
      </c>
      <c r="I6" s="59">
        <v>2</v>
      </c>
      <c r="J6" s="51"/>
      <c r="K6" s="51"/>
      <c r="L6" s="51"/>
      <c r="M6" s="51"/>
      <c r="N6" s="51"/>
      <c r="O6" s="51"/>
      <c r="P6" s="51"/>
      <c r="Q6" s="51"/>
      <c r="R6" s="51"/>
    </row>
    <row r="7" spans="1:18" ht="15.75" customHeight="1">
      <c r="A7" s="34" t="s">
        <v>128</v>
      </c>
      <c r="B7" s="41">
        <v>51</v>
      </c>
      <c r="C7" s="71">
        <v>3.1018518518518517E-3</v>
      </c>
      <c r="D7" s="71">
        <v>1.0115740740740741E-2</v>
      </c>
      <c r="J7" s="59"/>
      <c r="K7" s="59"/>
      <c r="L7" s="59"/>
      <c r="M7" s="59"/>
      <c r="N7" s="59"/>
      <c r="O7" s="59"/>
      <c r="P7" s="59"/>
      <c r="Q7" s="59"/>
      <c r="R7" s="59"/>
    </row>
    <row r="8" spans="1:18" ht="15.75" customHeight="1">
      <c r="A8" s="34" t="s">
        <v>129</v>
      </c>
      <c r="B8" s="41">
        <v>97</v>
      </c>
      <c r="C8" s="71">
        <v>5.9259259259259256E-3</v>
      </c>
      <c r="D8" s="71">
        <v>2.2222222222222223E-2</v>
      </c>
    </row>
    <row r="9" spans="1:18" ht="15.75" customHeight="1">
      <c r="A9" s="34" t="s">
        <v>137</v>
      </c>
      <c r="B9" s="41">
        <v>4</v>
      </c>
      <c r="C9" s="71">
        <v>1.1574074074074073E-5</v>
      </c>
      <c r="D9" s="71">
        <v>1.9085648148148147E-2</v>
      </c>
    </row>
  </sheetData>
  <hyperlinks>
    <hyperlink ref="G1" r:id="rId1" xr:uid="{00000000-0004-0000-1600-000000000000}"/>
    <hyperlink ref="G2" r:id="rId2" xr:uid="{00000000-0004-0000-1600-000001000000}"/>
    <hyperlink ref="G3" r:id="rId3" xr:uid="{00000000-0004-0000-1600-000002000000}"/>
    <hyperlink ref="G4" r:id="rId4" xr:uid="{00000000-0004-0000-1600-000003000000}"/>
    <hyperlink ref="G5" r:id="rId5" xr:uid="{00000000-0004-0000-1600-000004000000}"/>
    <hyperlink ref="G6" r:id="rId6" xr:uid="{00000000-0004-0000-1600-000005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R19"/>
  <sheetViews>
    <sheetView workbookViewId="0">
      <selection activeCell="B3" sqref="B3"/>
    </sheetView>
  </sheetViews>
  <sheetFormatPr baseColWidth="10" defaultColWidth="12.6640625" defaultRowHeight="15.75" customHeight="1"/>
  <cols>
    <col min="7" max="7" width="14.6640625" customWidth="1"/>
  </cols>
  <sheetData>
    <row r="1" spans="1:18" ht="15.75" customHeight="1">
      <c r="A1" s="34" t="s">
        <v>112</v>
      </c>
      <c r="B1" s="41">
        <v>177</v>
      </c>
      <c r="C1" s="71">
        <v>5.7523148148148151E-3</v>
      </c>
      <c r="D1" s="71">
        <v>1.5046296296296295E-2</v>
      </c>
      <c r="F1" s="61">
        <v>45600</v>
      </c>
      <c r="G1" s="63" t="s">
        <v>563</v>
      </c>
      <c r="H1" s="51">
        <v>1</v>
      </c>
      <c r="I1" s="51">
        <v>10</v>
      </c>
      <c r="J1" s="51"/>
      <c r="K1" s="51"/>
      <c r="L1" s="54"/>
      <c r="M1" s="51"/>
      <c r="N1" s="51"/>
      <c r="O1" s="51"/>
      <c r="P1" s="51"/>
      <c r="Q1" s="51">
        <v>1</v>
      </c>
      <c r="R1" s="51">
        <v>1</v>
      </c>
    </row>
    <row r="2" spans="1:18" ht="15.75" customHeight="1">
      <c r="A2" s="34" t="s">
        <v>113</v>
      </c>
      <c r="B2" s="41">
        <v>237</v>
      </c>
      <c r="C2" s="71">
        <v>7.9976851851851858E-3</v>
      </c>
      <c r="D2" s="71">
        <v>2.2268518518518517E-2</v>
      </c>
      <c r="F2" s="61">
        <v>45603</v>
      </c>
      <c r="G2" s="63" t="s">
        <v>564</v>
      </c>
      <c r="H2" s="51">
        <v>9</v>
      </c>
      <c r="I2" s="51">
        <v>13</v>
      </c>
      <c r="J2" s="54"/>
      <c r="K2" s="51"/>
      <c r="L2" s="54"/>
      <c r="M2" s="51"/>
      <c r="N2" s="51"/>
      <c r="O2" s="51"/>
      <c r="P2" s="51"/>
      <c r="Q2" s="51">
        <v>4</v>
      </c>
      <c r="R2" s="51">
        <v>0</v>
      </c>
    </row>
    <row r="3" spans="1:18" ht="15.75" customHeight="1">
      <c r="A3" s="34" t="s">
        <v>114</v>
      </c>
      <c r="B3" s="41">
        <v>244</v>
      </c>
      <c r="C3" s="71">
        <v>8.1828703703703699E-3</v>
      </c>
      <c r="D3" s="71">
        <v>2.8333333333333332E-2</v>
      </c>
      <c r="F3" s="61">
        <v>45605</v>
      </c>
      <c r="G3" s="63" t="s">
        <v>565</v>
      </c>
      <c r="H3" s="51">
        <v>3</v>
      </c>
      <c r="I3" s="51">
        <v>14</v>
      </c>
      <c r="J3" s="51"/>
      <c r="K3" s="51"/>
      <c r="L3" s="54"/>
      <c r="M3" s="51"/>
      <c r="N3" s="51"/>
      <c r="O3" s="51"/>
      <c r="P3" s="51"/>
      <c r="Q3" s="51">
        <v>0</v>
      </c>
      <c r="R3" s="51">
        <v>0</v>
      </c>
    </row>
    <row r="4" spans="1:18" ht="15.75" customHeight="1">
      <c r="A4" s="34" t="s">
        <v>115</v>
      </c>
      <c r="B4" s="41">
        <v>187</v>
      </c>
      <c r="C4" s="71">
        <v>8.3449074074074068E-3</v>
      </c>
      <c r="D4" s="71">
        <v>4.2372685185185187E-2</v>
      </c>
      <c r="F4" s="64">
        <v>45610</v>
      </c>
      <c r="G4" s="63" t="s">
        <v>566</v>
      </c>
      <c r="H4" s="51">
        <v>0</v>
      </c>
      <c r="I4" s="51">
        <v>1</v>
      </c>
      <c r="J4" s="51"/>
      <c r="K4" s="51"/>
      <c r="L4" s="51"/>
      <c r="M4" s="51"/>
      <c r="N4" s="51"/>
      <c r="O4" s="51"/>
      <c r="P4" s="51"/>
      <c r="Q4" s="51">
        <v>0</v>
      </c>
      <c r="R4" s="51">
        <v>0</v>
      </c>
    </row>
    <row r="5" spans="1:18" ht="15.75" customHeight="1">
      <c r="A5" s="34" t="s">
        <v>116</v>
      </c>
      <c r="B5" s="41">
        <v>311</v>
      </c>
      <c r="C5" s="71">
        <v>9.3981481481481485E-3</v>
      </c>
      <c r="D5" s="71">
        <v>3.1446759259259258E-2</v>
      </c>
      <c r="F5" s="64">
        <v>45616</v>
      </c>
      <c r="G5" s="63" t="s">
        <v>567</v>
      </c>
      <c r="H5" s="51">
        <v>6</v>
      </c>
      <c r="I5" s="51">
        <v>14</v>
      </c>
      <c r="J5" s="54"/>
      <c r="K5" s="51"/>
      <c r="L5" s="54"/>
      <c r="M5" s="51"/>
      <c r="N5" s="51"/>
      <c r="O5" s="51"/>
      <c r="P5" s="51"/>
      <c r="Q5" s="51">
        <v>3</v>
      </c>
      <c r="R5" s="51">
        <v>1</v>
      </c>
    </row>
    <row r="6" spans="1:18" ht="15.75" customHeight="1">
      <c r="A6" s="34" t="s">
        <v>119</v>
      </c>
      <c r="B6" s="41">
        <v>101</v>
      </c>
      <c r="C6" s="71">
        <v>3.2291666666666666E-3</v>
      </c>
      <c r="D6" s="71">
        <v>8.3564814814814821E-3</v>
      </c>
      <c r="F6" s="64">
        <v>45623</v>
      </c>
      <c r="G6" s="63" t="s">
        <v>568</v>
      </c>
      <c r="H6" s="51">
        <v>2</v>
      </c>
      <c r="I6" s="51">
        <v>5</v>
      </c>
      <c r="J6" s="54"/>
      <c r="K6" s="51"/>
      <c r="L6" s="51"/>
      <c r="M6" s="51"/>
      <c r="N6" s="51"/>
      <c r="O6" s="51"/>
      <c r="P6" s="51"/>
      <c r="Q6" s="51">
        <v>0</v>
      </c>
      <c r="R6" s="51">
        <v>0</v>
      </c>
    </row>
    <row r="7" spans="1:18" ht="15.75" customHeight="1">
      <c r="A7" s="34" t="s">
        <v>121</v>
      </c>
      <c r="B7" s="41">
        <v>35</v>
      </c>
      <c r="C7" s="71">
        <v>1.1689814814814816E-3</v>
      </c>
      <c r="D7" s="71">
        <v>2.662037037037037E-3</v>
      </c>
      <c r="F7" s="61">
        <v>45633</v>
      </c>
      <c r="G7" s="63" t="s">
        <v>569</v>
      </c>
      <c r="H7" s="51">
        <v>0</v>
      </c>
      <c r="I7" s="51">
        <v>2</v>
      </c>
      <c r="J7" s="51"/>
      <c r="K7" s="51"/>
      <c r="L7" s="51"/>
      <c r="M7" s="51"/>
      <c r="N7" s="51"/>
      <c r="O7" s="51"/>
      <c r="P7" s="51"/>
      <c r="Q7" s="51">
        <v>0</v>
      </c>
      <c r="R7" s="51">
        <v>0</v>
      </c>
    </row>
    <row r="8" spans="1:18" ht="15.75" customHeight="1">
      <c r="A8" s="34" t="s">
        <v>122</v>
      </c>
      <c r="B8" s="41">
        <v>84</v>
      </c>
      <c r="C8" s="71">
        <v>2.8124999999999999E-3</v>
      </c>
      <c r="D8" s="71">
        <v>1.074074074074074E-2</v>
      </c>
      <c r="F8" s="64">
        <v>45639</v>
      </c>
      <c r="G8" s="63" t="s">
        <v>570</v>
      </c>
      <c r="H8" s="51">
        <v>0</v>
      </c>
      <c r="I8" s="51">
        <v>3</v>
      </c>
      <c r="J8" s="51"/>
      <c r="K8" s="51"/>
      <c r="L8" s="51"/>
      <c r="M8" s="51"/>
      <c r="N8" s="51"/>
      <c r="O8" s="51"/>
      <c r="P8" s="51"/>
      <c r="Q8" s="51">
        <v>0</v>
      </c>
      <c r="R8" s="51">
        <v>1</v>
      </c>
    </row>
    <row r="9" spans="1:18" ht="15.75" customHeight="1">
      <c r="A9" s="34" t="s">
        <v>124</v>
      </c>
      <c r="B9" s="41">
        <v>161</v>
      </c>
      <c r="C9" s="71">
        <v>3.7847222222222223E-3</v>
      </c>
      <c r="D9" s="71">
        <v>1.1006944444444444E-2</v>
      </c>
      <c r="F9" s="64">
        <v>45647</v>
      </c>
      <c r="G9" s="63" t="s">
        <v>571</v>
      </c>
      <c r="H9" s="51">
        <v>4</v>
      </c>
      <c r="I9" s="51">
        <v>9</v>
      </c>
      <c r="J9" s="54"/>
      <c r="K9" s="54"/>
      <c r="L9" s="54"/>
      <c r="M9" s="51"/>
      <c r="N9" s="51"/>
      <c r="O9" s="51"/>
      <c r="P9" s="51"/>
      <c r="Q9" s="51">
        <v>0</v>
      </c>
      <c r="R9" s="51">
        <v>2</v>
      </c>
    </row>
    <row r="10" spans="1:18" ht="15.75" customHeight="1">
      <c r="A10" s="34" t="s">
        <v>125</v>
      </c>
      <c r="B10" s="41">
        <v>465</v>
      </c>
      <c r="C10" s="71">
        <v>2.1122685185185185E-2</v>
      </c>
      <c r="D10" s="71">
        <v>5.7430555555555554E-2</v>
      </c>
      <c r="F10" s="64">
        <v>45648</v>
      </c>
      <c r="G10" s="63" t="s">
        <v>572</v>
      </c>
      <c r="H10" s="51">
        <v>5</v>
      </c>
      <c r="I10" s="51">
        <v>13</v>
      </c>
      <c r="J10" s="54"/>
      <c r="K10" s="51"/>
      <c r="L10" s="51"/>
      <c r="M10" s="51"/>
      <c r="N10" s="51"/>
      <c r="O10" s="51"/>
      <c r="P10" s="51"/>
      <c r="Q10" s="51">
        <v>1</v>
      </c>
      <c r="R10" s="51">
        <v>2</v>
      </c>
    </row>
    <row r="11" spans="1:18" ht="15.75" customHeight="1">
      <c r="A11" s="34" t="s">
        <v>127</v>
      </c>
      <c r="B11" s="41">
        <v>130</v>
      </c>
      <c r="C11" s="71">
        <v>4.2129629629629626E-3</v>
      </c>
      <c r="D11" s="71">
        <v>9.8263888888888897E-3</v>
      </c>
      <c r="F11" s="61">
        <v>45662</v>
      </c>
      <c r="G11" s="63" t="s">
        <v>573</v>
      </c>
      <c r="H11" s="51">
        <v>2</v>
      </c>
      <c r="I11" s="51">
        <v>8</v>
      </c>
      <c r="J11" s="54"/>
      <c r="K11" s="54"/>
      <c r="L11" s="51"/>
      <c r="M11" s="51"/>
      <c r="N11" s="51"/>
      <c r="O11" s="51"/>
      <c r="P11" s="51"/>
      <c r="Q11" s="51">
        <v>4</v>
      </c>
      <c r="R11" s="51">
        <v>1</v>
      </c>
    </row>
    <row r="12" spans="1:18" ht="15.75" customHeight="1">
      <c r="A12" s="34" t="s">
        <v>128</v>
      </c>
      <c r="B12" s="41">
        <v>49</v>
      </c>
      <c r="C12" s="71">
        <v>2.7893518518518519E-3</v>
      </c>
      <c r="D12" s="71">
        <v>1.0115740740740741E-2</v>
      </c>
      <c r="J12" s="54"/>
      <c r="K12" s="51"/>
      <c r="L12" s="51"/>
      <c r="M12" s="51"/>
      <c r="N12" s="51"/>
      <c r="O12" s="51"/>
      <c r="P12" s="51"/>
      <c r="Q12" s="51">
        <v>2</v>
      </c>
      <c r="R12" s="51">
        <v>0</v>
      </c>
    </row>
    <row r="13" spans="1:18" ht="15.75" customHeight="1">
      <c r="A13" s="34" t="s">
        <v>129</v>
      </c>
      <c r="B13" s="41">
        <v>92</v>
      </c>
      <c r="C13" s="71">
        <v>5.3356481481481484E-3</v>
      </c>
      <c r="D13" s="71">
        <v>2.3078703703703702E-2</v>
      </c>
      <c r="F13" s="61">
        <v>45669</v>
      </c>
      <c r="G13" s="63" t="s">
        <v>574</v>
      </c>
      <c r="H13" s="51">
        <v>0</v>
      </c>
      <c r="I13" s="51">
        <v>3</v>
      </c>
      <c r="J13" s="51"/>
      <c r="K13" s="51"/>
      <c r="L13" s="51"/>
      <c r="M13" s="51"/>
      <c r="N13" s="51"/>
      <c r="O13" s="51"/>
      <c r="P13" s="51"/>
      <c r="Q13" s="51">
        <v>0</v>
      </c>
      <c r="R13" s="51">
        <v>0</v>
      </c>
    </row>
    <row r="14" spans="1:18" ht="15.75" customHeight="1">
      <c r="A14" s="34" t="s">
        <v>130</v>
      </c>
      <c r="B14" s="41">
        <v>346</v>
      </c>
      <c r="C14" s="71">
        <v>1.0833333333333334E-2</v>
      </c>
      <c r="D14" s="71">
        <v>2.8356481481481483E-2</v>
      </c>
      <c r="F14" s="61">
        <v>45673</v>
      </c>
      <c r="G14" s="63" t="s">
        <v>575</v>
      </c>
      <c r="H14" s="51">
        <v>3</v>
      </c>
      <c r="I14" s="51">
        <v>18</v>
      </c>
      <c r="J14" s="54"/>
      <c r="K14" s="51"/>
      <c r="L14" s="54"/>
      <c r="M14" s="51"/>
      <c r="N14" s="51"/>
      <c r="O14" s="51"/>
      <c r="P14" s="51"/>
      <c r="Q14" s="51">
        <v>2</v>
      </c>
      <c r="R14" s="51">
        <v>1</v>
      </c>
    </row>
    <row r="15" spans="1:18" ht="15.75" customHeight="1">
      <c r="A15" s="34" t="s">
        <v>131</v>
      </c>
      <c r="B15" s="41">
        <v>63</v>
      </c>
      <c r="C15" s="71">
        <v>2.0370370370370369E-3</v>
      </c>
      <c r="D15" s="71">
        <v>5.3356481481481484E-3</v>
      </c>
      <c r="F15" s="61">
        <v>45676</v>
      </c>
      <c r="G15" s="63" t="s">
        <v>576</v>
      </c>
      <c r="H15" s="51">
        <v>1</v>
      </c>
      <c r="I15" s="51">
        <v>3</v>
      </c>
      <c r="J15" s="51"/>
      <c r="K15" s="51"/>
      <c r="L15" s="54"/>
      <c r="M15" s="51"/>
      <c r="N15" s="51"/>
      <c r="O15" s="51"/>
      <c r="P15" s="51"/>
      <c r="Q15" s="51">
        <v>3</v>
      </c>
      <c r="R15" s="51">
        <v>0</v>
      </c>
    </row>
    <row r="16" spans="1:18" ht="15.75" customHeight="1">
      <c r="A16" s="34" t="s">
        <v>315</v>
      </c>
      <c r="B16" s="41">
        <v>61</v>
      </c>
      <c r="C16" s="71">
        <v>3.4953703703703705E-3</v>
      </c>
      <c r="D16" s="71">
        <v>1.1597222222222222E-2</v>
      </c>
      <c r="J16" s="54"/>
      <c r="K16" s="51"/>
      <c r="L16" s="54"/>
      <c r="M16" s="51"/>
      <c r="N16" s="51"/>
      <c r="O16" s="51"/>
      <c r="P16" s="51"/>
      <c r="Q16" s="51">
        <v>1</v>
      </c>
      <c r="R16" s="51">
        <v>0</v>
      </c>
    </row>
    <row r="17" spans="1:18" ht="15.75" customHeight="1">
      <c r="A17" s="34" t="s">
        <v>136</v>
      </c>
      <c r="B17" s="41">
        <v>71</v>
      </c>
      <c r="C17" s="71">
        <v>2.4652777777777776E-3</v>
      </c>
      <c r="D17" s="71">
        <v>5.9027777777777776E-3</v>
      </c>
      <c r="F17" s="61">
        <v>45697</v>
      </c>
      <c r="G17" s="63" t="s">
        <v>577</v>
      </c>
      <c r="H17" s="51">
        <v>0</v>
      </c>
      <c r="I17" s="51">
        <v>4</v>
      </c>
      <c r="J17" s="51"/>
      <c r="K17" s="51"/>
      <c r="L17" s="51"/>
      <c r="M17" s="51"/>
      <c r="N17" s="51"/>
      <c r="O17" s="51"/>
      <c r="P17" s="51"/>
      <c r="Q17" s="51">
        <v>1</v>
      </c>
      <c r="R17" s="51">
        <v>0</v>
      </c>
    </row>
    <row r="18" spans="1:18" ht="15.75" customHeight="1">
      <c r="A18" s="34" t="s">
        <v>137</v>
      </c>
      <c r="B18" s="41">
        <v>58</v>
      </c>
      <c r="C18" s="71">
        <v>3.5416666666666665E-3</v>
      </c>
      <c r="D18" s="71">
        <v>2.0752314814814814E-2</v>
      </c>
      <c r="F18" s="61">
        <v>45715</v>
      </c>
      <c r="G18" s="63" t="s">
        <v>578</v>
      </c>
      <c r="H18" s="51">
        <v>0</v>
      </c>
      <c r="I18" s="51">
        <v>2</v>
      </c>
      <c r="J18" s="51"/>
      <c r="K18" s="51"/>
      <c r="L18" s="51"/>
      <c r="M18" s="51"/>
      <c r="N18" s="51"/>
      <c r="O18" s="51"/>
      <c r="P18" s="51"/>
      <c r="Q18" s="51">
        <v>0</v>
      </c>
      <c r="R18" s="51">
        <v>0</v>
      </c>
    </row>
    <row r="19" spans="1:18" ht="15.75" customHeight="1">
      <c r="F19" s="61"/>
      <c r="G19" s="62"/>
      <c r="H19" s="51"/>
      <c r="I19" s="51"/>
      <c r="J19" s="51"/>
      <c r="K19" s="51"/>
      <c r="L19" s="51"/>
      <c r="M19" s="51"/>
      <c r="N19" s="51"/>
      <c r="O19" s="51"/>
      <c r="P19" s="51"/>
      <c r="Q19" s="51">
        <v>0</v>
      </c>
      <c r="R19" s="51">
        <v>0</v>
      </c>
    </row>
  </sheetData>
  <hyperlinks>
    <hyperlink ref="G1" r:id="rId1" xr:uid="{00000000-0004-0000-1700-000000000000}"/>
    <hyperlink ref="G2" r:id="rId2" xr:uid="{00000000-0004-0000-1700-000001000000}"/>
    <hyperlink ref="G3" r:id="rId3" xr:uid="{00000000-0004-0000-1700-000002000000}"/>
    <hyperlink ref="G4" r:id="rId4" xr:uid="{00000000-0004-0000-1700-000003000000}"/>
    <hyperlink ref="G5" r:id="rId5" xr:uid="{00000000-0004-0000-1700-000004000000}"/>
    <hyperlink ref="G6" r:id="rId6" xr:uid="{00000000-0004-0000-1700-000005000000}"/>
    <hyperlink ref="G7" r:id="rId7" xr:uid="{00000000-0004-0000-1700-000006000000}"/>
    <hyperlink ref="G8" r:id="rId8" xr:uid="{00000000-0004-0000-1700-000007000000}"/>
    <hyperlink ref="G9" r:id="rId9" xr:uid="{00000000-0004-0000-1700-000008000000}"/>
    <hyperlink ref="G10" r:id="rId10" xr:uid="{00000000-0004-0000-1700-000009000000}"/>
    <hyperlink ref="G11" r:id="rId11" xr:uid="{00000000-0004-0000-1700-00000A000000}"/>
    <hyperlink ref="G13" r:id="rId12" xr:uid="{00000000-0004-0000-1700-00000B000000}"/>
    <hyperlink ref="G14" r:id="rId13" xr:uid="{00000000-0004-0000-1700-00000C000000}"/>
    <hyperlink ref="G15" r:id="rId14" xr:uid="{00000000-0004-0000-1700-00000D000000}"/>
    <hyperlink ref="G17" r:id="rId15" xr:uid="{00000000-0004-0000-1700-00000E000000}"/>
    <hyperlink ref="G18" r:id="rId16" xr:uid="{00000000-0004-0000-1700-00000F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6" customWidth="1"/>
    <col min="3" max="3" width="14.1640625" customWidth="1"/>
    <col min="4" max="4" width="15.33203125" customWidth="1"/>
    <col min="9" max="9" width="16.6640625" customWidth="1"/>
    <col min="10" max="10" width="15.6640625" customWidth="1"/>
    <col min="11" max="11" width="13" customWidth="1"/>
    <col min="16" max="16" width="15.6640625" customWidth="1"/>
    <col min="17" max="17" width="14.33203125" customWidth="1"/>
    <col min="18" max="18" width="16" customWidth="1"/>
    <col min="19" max="19" width="14.6640625" customWidth="1"/>
    <col min="20" max="20" width="18.1640625" customWidth="1"/>
    <col min="21" max="21" width="18.83203125" customWidth="1"/>
  </cols>
  <sheetData>
    <row r="1" spans="1:26" ht="15.75" customHeight="1">
      <c r="A1" s="39" t="s">
        <v>16</v>
      </c>
      <c r="B1" s="77" t="s">
        <v>104</v>
      </c>
      <c r="C1" s="77" t="s">
        <v>579</v>
      </c>
      <c r="D1" s="77" t="s">
        <v>580</v>
      </c>
      <c r="E1" s="77" t="s">
        <v>581</v>
      </c>
      <c r="F1" s="77" t="s">
        <v>582</v>
      </c>
      <c r="G1" s="77" t="s">
        <v>583</v>
      </c>
      <c r="H1" s="77" t="s">
        <v>584</v>
      </c>
      <c r="I1" s="77" t="s">
        <v>585</v>
      </c>
      <c r="J1" s="1" t="s">
        <v>586</v>
      </c>
      <c r="K1" s="1" t="s">
        <v>587</v>
      </c>
      <c r="L1" s="1" t="s">
        <v>4</v>
      </c>
      <c r="M1" s="1" t="s">
        <v>588</v>
      </c>
      <c r="N1" s="1" t="s">
        <v>106</v>
      </c>
      <c r="O1" s="1" t="s">
        <v>106</v>
      </c>
    </row>
    <row r="2" spans="1:26" ht="15.75" customHeight="1">
      <c r="A2" s="34" t="s">
        <v>190</v>
      </c>
      <c r="B2" s="35">
        <v>45917</v>
      </c>
      <c r="C2" s="41">
        <v>5.8</v>
      </c>
      <c r="D2" s="41">
        <v>6.15</v>
      </c>
      <c r="E2" s="41">
        <v>0.17</v>
      </c>
      <c r="F2" s="41">
        <v>0.17</v>
      </c>
      <c r="G2" s="41">
        <v>10</v>
      </c>
      <c r="H2" s="41">
        <v>22</v>
      </c>
      <c r="I2" s="41">
        <v>32</v>
      </c>
      <c r="J2" s="41">
        <v>36</v>
      </c>
      <c r="K2" s="1">
        <f t="shared" ref="K2:K17" si="0">J2/D2</f>
        <v>5.8536585365853657</v>
      </c>
      <c r="L2" s="1">
        <f t="shared" ref="L2:L4" si="1">K2*D2/3</f>
        <v>12</v>
      </c>
      <c r="M2" s="1">
        <f t="shared" ref="M2:M4" si="2">K2*E2/3</f>
        <v>0.33170731707317075</v>
      </c>
      <c r="N2" s="1">
        <f t="shared" ref="N2:N4" si="3">K2*E2/3</f>
        <v>0.33170731707317075</v>
      </c>
      <c r="O2" s="1">
        <f t="shared" ref="O2:O17" si="4">K2*E2</f>
        <v>0.99512195121951219</v>
      </c>
    </row>
    <row r="3" spans="1:26" ht="15.75" customHeight="1">
      <c r="A3" s="34" t="s">
        <v>589</v>
      </c>
      <c r="B3" s="35">
        <v>45917</v>
      </c>
      <c r="C3" s="41">
        <v>5.8</v>
      </c>
      <c r="D3" s="78">
        <v>9.89</v>
      </c>
      <c r="E3" s="79">
        <v>1.37</v>
      </c>
      <c r="F3" s="78">
        <v>1.89</v>
      </c>
      <c r="G3" s="41">
        <v>13</v>
      </c>
      <c r="H3" s="41">
        <v>33</v>
      </c>
      <c r="I3" s="41">
        <v>48</v>
      </c>
      <c r="J3" s="41">
        <v>58</v>
      </c>
      <c r="K3" s="1">
        <f t="shared" si="0"/>
        <v>5.8645096056622847</v>
      </c>
      <c r="L3" s="1">
        <f t="shared" si="1"/>
        <v>19.333333333333332</v>
      </c>
      <c r="M3" s="1">
        <f t="shared" si="2"/>
        <v>2.6781260532524436</v>
      </c>
      <c r="N3" s="1">
        <f t="shared" si="3"/>
        <v>2.6781260532524436</v>
      </c>
      <c r="O3" s="1">
        <f t="shared" si="4"/>
        <v>8.0343781597573312</v>
      </c>
    </row>
    <row r="4" spans="1:26" ht="15.75" customHeight="1">
      <c r="A4" s="34" t="s">
        <v>590</v>
      </c>
      <c r="B4" s="35">
        <v>45917</v>
      </c>
      <c r="C4" s="41">
        <v>5.8</v>
      </c>
      <c r="D4" s="41">
        <v>6.95</v>
      </c>
      <c r="E4" s="79">
        <v>1.03</v>
      </c>
      <c r="F4" s="41">
        <v>0.86</v>
      </c>
      <c r="G4" s="41">
        <v>10</v>
      </c>
      <c r="H4" s="41">
        <v>23</v>
      </c>
      <c r="I4" s="41">
        <v>35</v>
      </c>
      <c r="J4" s="41">
        <v>41</v>
      </c>
      <c r="K4" s="1">
        <f t="shared" si="0"/>
        <v>5.8992805755395681</v>
      </c>
      <c r="L4" s="1">
        <f t="shared" si="1"/>
        <v>13.666666666666666</v>
      </c>
      <c r="M4" s="1">
        <f t="shared" si="2"/>
        <v>2.0254196642685849</v>
      </c>
      <c r="N4" s="1">
        <f t="shared" si="3"/>
        <v>2.0254196642685849</v>
      </c>
      <c r="O4" s="1">
        <f t="shared" si="4"/>
        <v>6.0762589928057551</v>
      </c>
    </row>
    <row r="5" spans="1:26" ht="15.75" customHeight="1">
      <c r="A5" s="80" t="s">
        <v>190</v>
      </c>
      <c r="B5" s="81">
        <v>45918</v>
      </c>
      <c r="C5" s="82">
        <v>7.8</v>
      </c>
      <c r="D5" s="82">
        <v>6.3</v>
      </c>
      <c r="E5" s="82">
        <v>0.26</v>
      </c>
      <c r="F5" s="82">
        <v>0.77</v>
      </c>
      <c r="G5" s="82">
        <v>15</v>
      </c>
      <c r="H5" s="82">
        <v>33</v>
      </c>
      <c r="I5" s="82">
        <v>47</v>
      </c>
      <c r="J5" s="82">
        <v>49</v>
      </c>
      <c r="K5" s="1">
        <f t="shared" si="0"/>
        <v>7.7777777777777777</v>
      </c>
      <c r="L5" s="1">
        <f t="shared" ref="L5:L14" si="5">K5*D5/5</f>
        <v>9.8000000000000007</v>
      </c>
      <c r="M5" s="1">
        <f t="shared" ref="M5:M14" si="6">K5*E5/5</f>
        <v>0.40444444444444444</v>
      </c>
      <c r="N5" s="1">
        <f t="shared" ref="N5:N14" si="7">K5*E5/5</f>
        <v>0.40444444444444444</v>
      </c>
      <c r="O5" s="1">
        <f t="shared" si="4"/>
        <v>2.0222222222222221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15.75" customHeight="1">
      <c r="A6" s="34" t="s">
        <v>590</v>
      </c>
      <c r="B6" s="35">
        <v>45918</v>
      </c>
      <c r="C6" s="41">
        <v>7.8</v>
      </c>
      <c r="D6" s="41">
        <v>7.2</v>
      </c>
      <c r="E6" s="41">
        <v>0.39</v>
      </c>
      <c r="F6" s="41">
        <v>0.9</v>
      </c>
      <c r="G6" s="41">
        <v>15</v>
      </c>
      <c r="H6" s="41">
        <v>28</v>
      </c>
      <c r="I6" s="41">
        <v>30</v>
      </c>
      <c r="J6" s="41">
        <v>56</v>
      </c>
      <c r="K6" s="1">
        <f t="shared" si="0"/>
        <v>7.7777777777777777</v>
      </c>
      <c r="L6" s="1">
        <f t="shared" si="5"/>
        <v>11.2</v>
      </c>
      <c r="M6" s="1">
        <f t="shared" si="6"/>
        <v>0.60666666666666669</v>
      </c>
      <c r="N6" s="1">
        <f t="shared" si="7"/>
        <v>0.60666666666666669</v>
      </c>
      <c r="O6" s="1">
        <f t="shared" si="4"/>
        <v>3.0333333333333332</v>
      </c>
    </row>
    <row r="7" spans="1:26" ht="15.75" customHeight="1">
      <c r="A7" s="80" t="s">
        <v>590</v>
      </c>
      <c r="B7" s="81">
        <v>45922</v>
      </c>
      <c r="C7" s="82">
        <v>5.6</v>
      </c>
      <c r="D7" s="84">
        <v>9.25</v>
      </c>
      <c r="E7" s="82">
        <v>0.18</v>
      </c>
      <c r="F7" s="82">
        <v>0.71</v>
      </c>
      <c r="G7" s="82">
        <v>15</v>
      </c>
      <c r="H7" s="82">
        <v>37</v>
      </c>
      <c r="I7" s="82">
        <v>50</v>
      </c>
      <c r="J7" s="82">
        <v>52</v>
      </c>
      <c r="K7" s="1">
        <f t="shared" si="0"/>
        <v>5.6216216216216219</v>
      </c>
      <c r="L7" s="1">
        <f t="shared" si="5"/>
        <v>10.4</v>
      </c>
      <c r="M7" s="1">
        <f t="shared" si="6"/>
        <v>0.20237837837837841</v>
      </c>
      <c r="N7" s="1">
        <f t="shared" si="7"/>
        <v>0.20237837837837841</v>
      </c>
      <c r="O7" s="1">
        <f t="shared" si="4"/>
        <v>1.011891891891892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5.75" customHeight="1">
      <c r="A8" s="80" t="s">
        <v>190</v>
      </c>
      <c r="B8" s="81">
        <v>45923</v>
      </c>
      <c r="C8" s="82">
        <v>7.5</v>
      </c>
      <c r="D8" s="82">
        <v>7.34</v>
      </c>
      <c r="E8" s="82">
        <v>0.27</v>
      </c>
      <c r="F8" s="82">
        <v>0.13</v>
      </c>
      <c r="G8" s="82">
        <v>12</v>
      </c>
      <c r="H8" s="82">
        <v>30</v>
      </c>
      <c r="I8" s="82">
        <v>45</v>
      </c>
      <c r="J8" s="82">
        <v>55</v>
      </c>
      <c r="K8" s="1">
        <f t="shared" si="0"/>
        <v>7.4931880108991828</v>
      </c>
      <c r="L8" s="1">
        <f t="shared" si="5"/>
        <v>11</v>
      </c>
      <c r="M8" s="1">
        <f t="shared" si="6"/>
        <v>0.40463215258855589</v>
      </c>
      <c r="N8" s="1">
        <f t="shared" si="7"/>
        <v>0.40463215258855589</v>
      </c>
      <c r="O8" s="1">
        <f t="shared" si="4"/>
        <v>2.0231607629427795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5.75" customHeight="1">
      <c r="A9" s="34" t="s">
        <v>590</v>
      </c>
      <c r="B9" s="35">
        <v>45923</v>
      </c>
      <c r="C9" s="41">
        <v>7.5</v>
      </c>
      <c r="D9" s="41">
        <v>6.76</v>
      </c>
      <c r="E9" s="41">
        <v>0.67</v>
      </c>
      <c r="F9" s="41">
        <v>0.27</v>
      </c>
      <c r="G9" s="41">
        <v>10</v>
      </c>
      <c r="H9" s="41">
        <v>28</v>
      </c>
      <c r="I9" s="41">
        <v>40</v>
      </c>
      <c r="J9" s="41">
        <v>51</v>
      </c>
      <c r="K9" s="1">
        <f t="shared" si="0"/>
        <v>7.5443786982248522</v>
      </c>
      <c r="L9" s="1">
        <f t="shared" si="5"/>
        <v>10.199999999999999</v>
      </c>
      <c r="M9" s="1">
        <f t="shared" si="6"/>
        <v>1.0109467455621304</v>
      </c>
      <c r="N9" s="1">
        <f t="shared" si="7"/>
        <v>1.0109467455621304</v>
      </c>
      <c r="O9" s="1">
        <f t="shared" si="4"/>
        <v>5.0547337278106514</v>
      </c>
    </row>
    <row r="10" spans="1:26" ht="15.75" customHeight="1">
      <c r="A10" s="34" t="s">
        <v>590</v>
      </c>
      <c r="B10" s="35">
        <v>45927</v>
      </c>
      <c r="C10" s="41">
        <v>8.4</v>
      </c>
      <c r="D10" s="41">
        <v>5.89</v>
      </c>
      <c r="E10" s="41">
        <v>0.48</v>
      </c>
      <c r="F10" s="41">
        <v>0.72</v>
      </c>
      <c r="G10" s="41">
        <v>14</v>
      </c>
      <c r="H10" s="41">
        <v>30</v>
      </c>
      <c r="I10" s="41">
        <v>46</v>
      </c>
      <c r="J10" s="41">
        <v>49</v>
      </c>
      <c r="K10" s="1">
        <f t="shared" si="0"/>
        <v>8.3191850594227503</v>
      </c>
      <c r="L10" s="1">
        <f t="shared" si="5"/>
        <v>9.8000000000000007</v>
      </c>
      <c r="M10" s="1">
        <f t="shared" si="6"/>
        <v>0.79864176570458401</v>
      </c>
      <c r="N10" s="1">
        <f t="shared" si="7"/>
        <v>0.79864176570458401</v>
      </c>
      <c r="O10" s="1">
        <f t="shared" si="4"/>
        <v>3.9932088285229201</v>
      </c>
    </row>
    <row r="11" spans="1:26" ht="15.75" customHeight="1">
      <c r="A11" s="80" t="s">
        <v>190</v>
      </c>
      <c r="B11" s="81">
        <v>45930</v>
      </c>
      <c r="C11" s="82">
        <v>7.3</v>
      </c>
      <c r="D11" s="82">
        <v>8.0500000000000007</v>
      </c>
      <c r="E11" s="82">
        <v>0.82</v>
      </c>
      <c r="F11" s="82">
        <v>0.82</v>
      </c>
      <c r="G11" s="82">
        <v>13</v>
      </c>
      <c r="H11" s="82">
        <v>30</v>
      </c>
      <c r="I11" s="82">
        <v>46</v>
      </c>
      <c r="J11" s="82">
        <v>59</v>
      </c>
      <c r="K11" s="1">
        <f t="shared" si="0"/>
        <v>7.3291925465838501</v>
      </c>
      <c r="L11" s="1">
        <f t="shared" si="5"/>
        <v>11.8</v>
      </c>
      <c r="M11" s="1">
        <f t="shared" si="6"/>
        <v>1.2019875776397515</v>
      </c>
      <c r="N11" s="1">
        <f t="shared" si="7"/>
        <v>1.2019875776397515</v>
      </c>
      <c r="O11" s="1">
        <f t="shared" si="4"/>
        <v>6.0099378881987571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.75" customHeight="1">
      <c r="A12" s="34" t="s">
        <v>589</v>
      </c>
      <c r="B12" s="35">
        <v>45930</v>
      </c>
      <c r="C12" s="41">
        <v>7.3</v>
      </c>
      <c r="D12" s="78">
        <v>9.65</v>
      </c>
      <c r="E12" s="79">
        <v>1.23</v>
      </c>
      <c r="F12" s="78">
        <v>1.5</v>
      </c>
      <c r="G12" s="41">
        <v>15</v>
      </c>
      <c r="H12" s="41">
        <v>33</v>
      </c>
      <c r="I12" s="41">
        <v>52</v>
      </c>
      <c r="J12" s="41">
        <v>71</v>
      </c>
      <c r="K12" s="1">
        <f t="shared" si="0"/>
        <v>7.3575129533678751</v>
      </c>
      <c r="L12" s="1">
        <f t="shared" si="5"/>
        <v>14.2</v>
      </c>
      <c r="M12" s="1">
        <f t="shared" si="6"/>
        <v>1.8099481865284972</v>
      </c>
      <c r="N12" s="1">
        <f t="shared" si="7"/>
        <v>1.8099481865284972</v>
      </c>
      <c r="O12" s="1">
        <f t="shared" si="4"/>
        <v>9.0497409326424858</v>
      </c>
    </row>
    <row r="13" spans="1:26" ht="15.75" customHeight="1">
      <c r="A13" s="34" t="s">
        <v>590</v>
      </c>
      <c r="B13" s="35">
        <v>45930</v>
      </c>
      <c r="C13" s="41">
        <v>7.3</v>
      </c>
      <c r="D13" s="41">
        <v>7.7</v>
      </c>
      <c r="E13" s="79">
        <v>1.36</v>
      </c>
      <c r="F13" s="41">
        <v>0.27</v>
      </c>
      <c r="G13" s="41">
        <v>12</v>
      </c>
      <c r="H13" s="41">
        <v>28</v>
      </c>
      <c r="I13" s="41">
        <v>43</v>
      </c>
      <c r="J13" s="41">
        <v>56</v>
      </c>
      <c r="K13" s="1">
        <f t="shared" si="0"/>
        <v>7.2727272727272725</v>
      </c>
      <c r="L13" s="1">
        <f t="shared" si="5"/>
        <v>11.2</v>
      </c>
      <c r="M13" s="1">
        <f t="shared" si="6"/>
        <v>1.978181818181818</v>
      </c>
      <c r="N13" s="1">
        <f t="shared" si="7"/>
        <v>1.978181818181818</v>
      </c>
      <c r="O13" s="1">
        <f t="shared" si="4"/>
        <v>9.8909090909090907</v>
      </c>
    </row>
    <row r="14" spans="1:26" ht="15.75" customHeight="1">
      <c r="A14" s="80" t="s">
        <v>590</v>
      </c>
      <c r="B14" s="81">
        <v>45931</v>
      </c>
      <c r="C14" s="82">
        <v>7.6</v>
      </c>
      <c r="D14" s="82">
        <v>8.84</v>
      </c>
      <c r="E14" s="82">
        <v>0.39</v>
      </c>
      <c r="F14" s="82">
        <v>0.92</v>
      </c>
      <c r="G14" s="82">
        <v>17</v>
      </c>
      <c r="H14" s="82">
        <v>35</v>
      </c>
      <c r="I14" s="82">
        <v>48</v>
      </c>
      <c r="J14" s="82">
        <v>68</v>
      </c>
      <c r="K14" s="1">
        <f t="shared" si="0"/>
        <v>7.6923076923076925</v>
      </c>
      <c r="L14" s="1">
        <f t="shared" si="5"/>
        <v>13.6</v>
      </c>
      <c r="M14" s="1">
        <f t="shared" si="6"/>
        <v>0.6</v>
      </c>
      <c r="N14" s="1">
        <f t="shared" si="7"/>
        <v>0.6</v>
      </c>
      <c r="O14" s="1">
        <f t="shared" si="4"/>
        <v>3</v>
      </c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5.75" customHeight="1">
      <c r="A15" s="80" t="s">
        <v>190</v>
      </c>
      <c r="B15" s="81">
        <v>45938</v>
      </c>
      <c r="C15" s="82">
        <v>3.9</v>
      </c>
      <c r="D15" s="82">
        <v>8.58</v>
      </c>
      <c r="E15" s="82">
        <v>0.77</v>
      </c>
      <c r="F15" s="82">
        <v>0.26</v>
      </c>
      <c r="G15" s="82">
        <v>14</v>
      </c>
      <c r="H15" s="82">
        <v>29</v>
      </c>
      <c r="I15" s="82" t="s">
        <v>308</v>
      </c>
      <c r="J15" s="82">
        <v>33</v>
      </c>
      <c r="K15" s="1">
        <f t="shared" si="0"/>
        <v>3.8461538461538463</v>
      </c>
      <c r="L15" s="1">
        <f t="shared" ref="L15:L17" si="8">K15*D15/3</f>
        <v>11</v>
      </c>
      <c r="M15" s="1">
        <f t="shared" ref="M15:M17" si="9">K15*E15/3</f>
        <v>0.98717948717948723</v>
      </c>
      <c r="N15" s="1">
        <f t="shared" ref="N15:N17" si="10">K15*E15/3</f>
        <v>0.98717948717948723</v>
      </c>
      <c r="O15" s="1">
        <f t="shared" si="4"/>
        <v>2.9615384615384617</v>
      </c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5.75" customHeight="1">
      <c r="A16" s="34" t="s">
        <v>589</v>
      </c>
      <c r="B16" s="35">
        <v>45938</v>
      </c>
      <c r="C16" s="41">
        <v>3.9</v>
      </c>
      <c r="D16" s="78">
        <v>10.17</v>
      </c>
      <c r="E16" s="79">
        <v>1.54</v>
      </c>
      <c r="F16" s="78">
        <v>1.03</v>
      </c>
      <c r="G16" s="41">
        <v>13</v>
      </c>
      <c r="H16" s="41">
        <v>32</v>
      </c>
      <c r="I16" s="41" t="s">
        <v>308</v>
      </c>
      <c r="J16" s="41">
        <v>40</v>
      </c>
      <c r="K16" s="1">
        <f t="shared" si="0"/>
        <v>3.9331366764995086</v>
      </c>
      <c r="L16" s="1">
        <f t="shared" si="8"/>
        <v>13.333333333333334</v>
      </c>
      <c r="M16" s="1">
        <f t="shared" si="9"/>
        <v>2.0190101606030812</v>
      </c>
      <c r="N16" s="1">
        <f t="shared" si="10"/>
        <v>2.0190101606030812</v>
      </c>
      <c r="O16" s="1">
        <f t="shared" si="4"/>
        <v>6.0570304818092433</v>
      </c>
    </row>
    <row r="17" spans="1:15" ht="15.75" customHeight="1">
      <c r="A17" s="34" t="s">
        <v>590</v>
      </c>
      <c r="B17" s="35">
        <v>45938</v>
      </c>
      <c r="C17" s="41">
        <v>3.9</v>
      </c>
      <c r="D17" s="78">
        <v>9.5299999999999994</v>
      </c>
      <c r="E17" s="41">
        <v>0.51</v>
      </c>
      <c r="F17" s="41">
        <v>0.77</v>
      </c>
      <c r="G17" s="41">
        <v>14</v>
      </c>
      <c r="H17" s="41">
        <v>32</v>
      </c>
      <c r="I17" s="41" t="s">
        <v>308</v>
      </c>
      <c r="J17" s="41">
        <v>37</v>
      </c>
      <c r="K17" s="1">
        <f t="shared" si="0"/>
        <v>3.8824763903462753</v>
      </c>
      <c r="L17" s="1">
        <f t="shared" si="8"/>
        <v>12.333333333333334</v>
      </c>
      <c r="M17" s="1">
        <f t="shared" si="9"/>
        <v>0.66002098635886675</v>
      </c>
      <c r="N17" s="1">
        <f t="shared" si="10"/>
        <v>0.66002098635886675</v>
      </c>
      <c r="O17" s="1">
        <f t="shared" si="4"/>
        <v>1.9800629590766003</v>
      </c>
    </row>
    <row r="21" spans="1:15" ht="15.75" customHeight="1">
      <c r="I21" s="228" t="s">
        <v>591</v>
      </c>
      <c r="J21" s="227"/>
      <c r="K21" s="227"/>
    </row>
    <row r="22" spans="1:15" ht="15.75" customHeight="1">
      <c r="B22" s="229" t="s">
        <v>592</v>
      </c>
      <c r="C22" s="230"/>
      <c r="D22" s="231" t="s">
        <v>593</v>
      </c>
      <c r="E22" s="230"/>
      <c r="F22" s="1" t="s">
        <v>594</v>
      </c>
      <c r="G22" s="1" t="s">
        <v>595</v>
      </c>
      <c r="H22" s="1" t="s">
        <v>596</v>
      </c>
      <c r="I22" s="1" t="s">
        <v>597</v>
      </c>
      <c r="J22" s="1" t="s">
        <v>598</v>
      </c>
      <c r="K22" s="1" t="s">
        <v>599</v>
      </c>
    </row>
    <row r="23" spans="1:15" ht="15.75" customHeight="1">
      <c r="A23" s="86"/>
      <c r="B23" s="86" t="s">
        <v>18</v>
      </c>
      <c r="C23" s="86" t="s">
        <v>600</v>
      </c>
      <c r="D23" s="86" t="s">
        <v>601</v>
      </c>
      <c r="E23" s="86" t="s">
        <v>600</v>
      </c>
      <c r="F23" s="87"/>
      <c r="G23" s="87"/>
      <c r="H23" s="87"/>
      <c r="I23" s="87"/>
      <c r="J23" s="87"/>
      <c r="K23" s="87"/>
    </row>
    <row r="24" spans="1:15" ht="15.75" customHeight="1">
      <c r="A24" s="88" t="s">
        <v>602</v>
      </c>
      <c r="B24" s="30">
        <f>AVERAGEIF(A2:A17,A24,D2:D17)</f>
        <v>7.2840000000000007</v>
      </c>
      <c r="C24" s="30">
        <f t="shared" ref="C24:C26" si="11">B24*40</f>
        <v>291.36</v>
      </c>
      <c r="D24" s="30">
        <f>AVERAGEIF(A2:A17,A24,G2:G17)</f>
        <v>12.8</v>
      </c>
      <c r="E24" s="30">
        <f t="shared" ref="E24:E26" si="12">D24*40</f>
        <v>512</v>
      </c>
      <c r="F24" s="1">
        <f>AVERAGEIF(A2:A17,A24,L2:L17)</f>
        <v>11.12</v>
      </c>
      <c r="G24" s="1">
        <f t="shared" ref="G24:G26" si="13">AVERAGEIF(A2:A17,A24,M2:M17)</f>
        <v>0.66599019578508201</v>
      </c>
      <c r="H24" s="1">
        <f t="shared" ref="H24:H26" si="14">AVERAGEIF(A2:A17,A24,N2:N17)</f>
        <v>0.66599019578508201</v>
      </c>
      <c r="I24" s="89">
        <v>503</v>
      </c>
      <c r="J24" s="89">
        <v>29</v>
      </c>
      <c r="K24" s="89">
        <v>21</v>
      </c>
    </row>
    <row r="25" spans="1:15" ht="15.75" customHeight="1">
      <c r="A25" s="88" t="s">
        <v>603</v>
      </c>
      <c r="B25" s="30">
        <f>AVERAGEIF(A2:A17,A25,D2:D17)</f>
        <v>9.9033333333333342</v>
      </c>
      <c r="C25" s="30">
        <f t="shared" si="11"/>
        <v>396.13333333333338</v>
      </c>
      <c r="D25" s="30">
        <f>AVERAGEIF(A2:A17,A25,G2:G17)</f>
        <v>13.666666666666666</v>
      </c>
      <c r="E25" s="30">
        <f t="shared" si="12"/>
        <v>546.66666666666663</v>
      </c>
      <c r="F25" s="1">
        <f>AVERAGEIF(A2:A17,A25,L2:L17)</f>
        <v>15.622222222222222</v>
      </c>
      <c r="G25" s="1">
        <f t="shared" si="13"/>
        <v>2.1690281334613406</v>
      </c>
      <c r="H25" s="1">
        <f t="shared" si="14"/>
        <v>2.1690281334613406</v>
      </c>
      <c r="I25" s="89">
        <v>621</v>
      </c>
      <c r="J25" s="89">
        <v>85</v>
      </c>
      <c r="K25" s="89">
        <v>95</v>
      </c>
    </row>
    <row r="26" spans="1:15" ht="15.75" customHeight="1">
      <c r="A26" s="90" t="s">
        <v>604</v>
      </c>
      <c r="B26" s="20">
        <f>AVERAGEIF(A2:A17,A26,D2:D17)</f>
        <v>7.7650000000000006</v>
      </c>
      <c r="C26" s="20">
        <f t="shared" si="11"/>
        <v>310.60000000000002</v>
      </c>
      <c r="D26" s="20">
        <f>AVERAGEIF(A2:A17,A26,G2:G17)</f>
        <v>13.375</v>
      </c>
      <c r="E26" s="20">
        <f t="shared" si="12"/>
        <v>535</v>
      </c>
      <c r="F26" s="1">
        <f>AVERAGEIF(A2:A17,A26,L2:L17)</f>
        <v>11.549999999999999</v>
      </c>
      <c r="G26" s="1">
        <f t="shared" si="13"/>
        <v>0.9852820031401287</v>
      </c>
      <c r="H26" s="1">
        <f t="shared" si="14"/>
        <v>0.9852820031401287</v>
      </c>
      <c r="I26" s="89">
        <v>582</v>
      </c>
      <c r="J26" s="89">
        <v>73</v>
      </c>
      <c r="K26" s="89">
        <v>52</v>
      </c>
    </row>
    <row r="28" spans="1:15" ht="15.75" customHeight="1">
      <c r="B28" s="232" t="s">
        <v>605</v>
      </c>
      <c r="C28" s="227"/>
      <c r="D28" s="227"/>
      <c r="F28" s="1" t="s">
        <v>606</v>
      </c>
      <c r="J28" s="1" t="s">
        <v>607</v>
      </c>
    </row>
    <row r="29" spans="1:15" ht="15.75" customHeight="1">
      <c r="B29" s="1" t="s">
        <v>608</v>
      </c>
      <c r="C29" s="1" t="s">
        <v>609</v>
      </c>
      <c r="D29" s="1" t="s">
        <v>610</v>
      </c>
      <c r="F29" s="1" t="s">
        <v>611</v>
      </c>
      <c r="G29" s="1" t="s">
        <v>612</v>
      </c>
      <c r="H29" s="1" t="s">
        <v>613</v>
      </c>
      <c r="I29" s="1" t="s">
        <v>614</v>
      </c>
      <c r="J29" s="1" t="s">
        <v>615</v>
      </c>
      <c r="K29" s="1" t="s">
        <v>611</v>
      </c>
      <c r="L29" s="1" t="s">
        <v>616</v>
      </c>
      <c r="M29" s="1" t="s">
        <v>617</v>
      </c>
      <c r="N29" s="1" t="s">
        <v>618</v>
      </c>
    </row>
    <row r="30" spans="1:15" ht="15.75" customHeight="1">
      <c r="A30" s="91" t="s">
        <v>50</v>
      </c>
      <c r="B30" s="89">
        <f t="shared" ref="B30:B32" si="15">(I24-200)/F24</f>
        <v>27.248201438848923</v>
      </c>
      <c r="C30" s="1">
        <f t="shared" ref="C30:D30" si="16">J24/G24</f>
        <v>43.544184559375147</v>
      </c>
      <c r="D30" s="1">
        <f t="shared" si="16"/>
        <v>31.53199571540959</v>
      </c>
      <c r="F30" s="1">
        <f>291/4</f>
        <v>72.75</v>
      </c>
      <c r="G30" s="1">
        <f t="shared" ref="G30:G32" si="17">F30*2</f>
        <v>145.5</v>
      </c>
      <c r="H30" s="1">
        <f t="shared" ref="H30:H32" si="18">F30*3</f>
        <v>218.25</v>
      </c>
      <c r="I30" s="1">
        <f t="shared" ref="I30:I32" si="19">F30*4</f>
        <v>291</v>
      </c>
      <c r="J30" s="1">
        <v>139</v>
      </c>
      <c r="K30" s="1">
        <v>59</v>
      </c>
      <c r="L30" s="1">
        <v>43</v>
      </c>
      <c r="M30" s="1">
        <v>97</v>
      </c>
      <c r="O30" s="1">
        <f t="shared" ref="O30:O32" si="20">SUM(K30:M30)</f>
        <v>199</v>
      </c>
    </row>
    <row r="31" spans="1:15" ht="15.75" customHeight="1">
      <c r="A31" s="91" t="s">
        <v>37</v>
      </c>
      <c r="B31" s="89">
        <f t="shared" si="15"/>
        <v>26.948790896159316</v>
      </c>
      <c r="C31" s="1">
        <f t="shared" ref="C31:D31" si="21">J25/G25</f>
        <v>39.188057862742788</v>
      </c>
      <c r="D31" s="1">
        <f t="shared" si="21"/>
        <v>43.798417611300763</v>
      </c>
      <c r="F31" s="1">
        <f>396/4</f>
        <v>99</v>
      </c>
      <c r="G31" s="1">
        <f t="shared" si="17"/>
        <v>198</v>
      </c>
      <c r="H31" s="1">
        <f t="shared" si="18"/>
        <v>297</v>
      </c>
      <c r="I31" s="1">
        <f t="shared" si="19"/>
        <v>396</v>
      </c>
      <c r="J31" s="1">
        <v>129</v>
      </c>
      <c r="K31" s="1">
        <v>72</v>
      </c>
      <c r="L31" s="1">
        <v>76</v>
      </c>
      <c r="M31" s="1">
        <v>40</v>
      </c>
      <c r="O31" s="1">
        <f t="shared" si="20"/>
        <v>188</v>
      </c>
    </row>
    <row r="32" spans="1:15" ht="15.75" customHeight="1">
      <c r="A32" s="91" t="s">
        <v>53</v>
      </c>
      <c r="B32" s="89">
        <f t="shared" si="15"/>
        <v>33.073593073593074</v>
      </c>
      <c r="C32" s="1">
        <f t="shared" ref="C32:D32" si="22">J26/G26</f>
        <v>74.090463204794574</v>
      </c>
      <c r="D32" s="1">
        <f t="shared" si="22"/>
        <v>52.776768310264629</v>
      </c>
      <c r="F32" s="1">
        <f>310/4</f>
        <v>77.5</v>
      </c>
      <c r="G32" s="1">
        <f t="shared" si="17"/>
        <v>155</v>
      </c>
      <c r="H32" s="1">
        <f t="shared" si="18"/>
        <v>232.5</v>
      </c>
      <c r="I32" s="1">
        <f t="shared" si="19"/>
        <v>310</v>
      </c>
      <c r="J32" s="1">
        <v>132</v>
      </c>
      <c r="K32" s="1">
        <v>59</v>
      </c>
      <c r="L32" s="1">
        <v>87</v>
      </c>
      <c r="M32" s="1">
        <v>71</v>
      </c>
      <c r="O32" s="1">
        <f t="shared" si="20"/>
        <v>217</v>
      </c>
    </row>
    <row r="37" spans="1:11" ht="15.75" customHeight="1">
      <c r="A37" s="92" t="s">
        <v>589</v>
      </c>
      <c r="B37" s="93">
        <v>45927</v>
      </c>
      <c r="C37" s="94">
        <v>8.4</v>
      </c>
      <c r="D37" s="94">
        <v>3</v>
      </c>
      <c r="E37" s="94">
        <v>0</v>
      </c>
      <c r="F37" s="94">
        <v>0.36</v>
      </c>
      <c r="G37" s="94">
        <v>13</v>
      </c>
      <c r="H37" s="94">
        <v>20</v>
      </c>
      <c r="I37" s="94">
        <v>22</v>
      </c>
      <c r="J37" s="94">
        <v>25</v>
      </c>
      <c r="K37" s="95">
        <f>J37/D37</f>
        <v>8.3333333333333339</v>
      </c>
    </row>
  </sheetData>
  <mergeCells count="4">
    <mergeCell ref="I21:K21"/>
    <mergeCell ref="B22:C22"/>
    <mergeCell ref="D22:E22"/>
    <mergeCell ref="B28:D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  <outlinePr summaryBelow="0" summaryRight="0"/>
  </sheetPr>
  <dimension ref="A1:L41"/>
  <sheetViews>
    <sheetView workbookViewId="0"/>
  </sheetViews>
  <sheetFormatPr baseColWidth="10" defaultColWidth="12.6640625" defaultRowHeight="15.75" customHeight="1"/>
  <cols>
    <col min="7" max="7" width="16.5" customWidth="1"/>
  </cols>
  <sheetData>
    <row r="1" spans="1:12" ht="16">
      <c r="A1" s="237" t="s">
        <v>650</v>
      </c>
      <c r="B1" s="242"/>
      <c r="C1" s="243" t="s">
        <v>651</v>
      </c>
      <c r="D1" s="242"/>
      <c r="E1" s="243" t="s">
        <v>652</v>
      </c>
      <c r="F1" s="242"/>
      <c r="G1" s="243" t="s">
        <v>653</v>
      </c>
      <c r="H1" s="242"/>
      <c r="I1" s="243" t="s">
        <v>654</v>
      </c>
      <c r="J1" s="242"/>
      <c r="K1" s="237" t="s">
        <v>655</v>
      </c>
      <c r="L1" s="238"/>
    </row>
    <row r="2" spans="1:12" ht="13">
      <c r="A2" s="117" t="s">
        <v>656</v>
      </c>
      <c r="B2" s="1" t="s">
        <v>657</v>
      </c>
      <c r="C2" s="1" t="s">
        <v>656</v>
      </c>
      <c r="D2" s="1" t="s">
        <v>657</v>
      </c>
      <c r="E2" s="1" t="s">
        <v>656</v>
      </c>
      <c r="F2" s="1" t="s">
        <v>657</v>
      </c>
      <c r="G2" s="1" t="s">
        <v>656</v>
      </c>
      <c r="H2" s="1" t="s">
        <v>657</v>
      </c>
      <c r="I2" s="1" t="s">
        <v>656</v>
      </c>
      <c r="J2" s="1" t="s">
        <v>657</v>
      </c>
      <c r="K2" s="117" t="s">
        <v>656</v>
      </c>
      <c r="L2" s="118" t="s">
        <v>657</v>
      </c>
    </row>
    <row r="3" spans="1:12" ht="13">
      <c r="A3" s="119">
        <v>0.79180555555555554</v>
      </c>
      <c r="B3" s="120">
        <v>0.7955902777777778</v>
      </c>
      <c r="C3" s="120">
        <v>0.79556712962962961</v>
      </c>
      <c r="D3" s="120">
        <v>0.79690972222222223</v>
      </c>
      <c r="E3" s="120">
        <v>0.80518518518518523</v>
      </c>
      <c r="F3" s="120">
        <v>0.80714120370370368</v>
      </c>
      <c r="G3" s="120">
        <v>0.79180555555555554</v>
      </c>
      <c r="H3" s="120">
        <v>0.79690972222222223</v>
      </c>
      <c r="I3" s="120">
        <v>0.80138888888888893</v>
      </c>
      <c r="J3" s="120">
        <v>0.80230324074074078</v>
      </c>
      <c r="K3" s="119">
        <v>0.80138888888888893</v>
      </c>
      <c r="L3" s="121">
        <v>0.80230324074074078</v>
      </c>
    </row>
    <row r="4" spans="1:12" ht="13">
      <c r="A4" s="120">
        <v>0.80957175925925928</v>
      </c>
      <c r="B4" s="120">
        <v>0.81571759259259258</v>
      </c>
      <c r="C4" s="120">
        <v>0.79851851851851852</v>
      </c>
      <c r="D4" s="120">
        <v>0.80230324074074078</v>
      </c>
      <c r="E4" s="120">
        <v>0.80857638888888894</v>
      </c>
      <c r="F4" s="120">
        <v>0.81265046296296295</v>
      </c>
      <c r="G4" s="120">
        <v>0.79851851851851852</v>
      </c>
      <c r="H4" s="120">
        <v>0.80138888888888893</v>
      </c>
      <c r="I4" s="120">
        <v>0.80401620370370375</v>
      </c>
      <c r="J4" s="120">
        <v>0.80714120370370368</v>
      </c>
      <c r="K4" s="119">
        <v>0.80401620370370375</v>
      </c>
      <c r="L4" s="121">
        <v>0.80687500000000001</v>
      </c>
    </row>
    <row r="5" spans="1:12" ht="13">
      <c r="A5" s="119">
        <v>0.82670138888888889</v>
      </c>
      <c r="B5" s="120">
        <v>0.83228009259259261</v>
      </c>
      <c r="C5" s="120">
        <v>0.80401620370370375</v>
      </c>
      <c r="D5" s="120">
        <v>0.80687500000000001</v>
      </c>
      <c r="E5" s="120">
        <v>0.83655092592592595</v>
      </c>
      <c r="F5" s="120">
        <v>0.8376851851851852</v>
      </c>
      <c r="G5" s="120">
        <v>0.80687500000000001</v>
      </c>
      <c r="H5" s="120">
        <v>0.80714120370370368</v>
      </c>
      <c r="I5" s="120">
        <v>0.80857638888888894</v>
      </c>
      <c r="J5" s="120">
        <v>0.81013888888888885</v>
      </c>
      <c r="K5" s="119">
        <v>0.84027777777777779</v>
      </c>
      <c r="L5" s="121">
        <v>0.84185185185185185</v>
      </c>
    </row>
    <row r="6" spans="1:12" ht="13">
      <c r="A6" s="119">
        <v>0.83380787037037041</v>
      </c>
      <c r="B6" s="120">
        <v>0.83655092592592595</v>
      </c>
      <c r="C6" s="120">
        <v>0.81265046296296295</v>
      </c>
      <c r="D6" s="120">
        <v>0.81571759259259258</v>
      </c>
      <c r="E6" s="120">
        <v>0.83957175925925931</v>
      </c>
      <c r="F6" s="120">
        <v>0.84185185185185185</v>
      </c>
      <c r="G6" s="120">
        <v>0.80857638888888894</v>
      </c>
      <c r="H6" s="120">
        <v>0.81571759259259258</v>
      </c>
      <c r="I6" s="119">
        <v>0.83380787037037041</v>
      </c>
      <c r="J6" s="120">
        <v>0.8376851851851852</v>
      </c>
      <c r="K6" s="119"/>
      <c r="L6" s="121"/>
    </row>
    <row r="7" spans="1:12" ht="13">
      <c r="A7" s="119"/>
      <c r="B7" s="120"/>
      <c r="C7" s="120">
        <v>0.82962962962962961</v>
      </c>
      <c r="D7" s="120">
        <v>0.83228009259259261</v>
      </c>
      <c r="E7" s="120"/>
      <c r="F7" s="120"/>
      <c r="G7" s="119">
        <v>0.82670138888888889</v>
      </c>
      <c r="H7" s="120">
        <v>0.83228009259259261</v>
      </c>
      <c r="I7" s="120">
        <v>0.83957175925925931</v>
      </c>
      <c r="J7" s="120">
        <v>0.84185185185185185</v>
      </c>
      <c r="K7" s="119"/>
      <c r="L7" s="121"/>
    </row>
    <row r="8" spans="1:12" ht="13">
      <c r="A8" s="119"/>
      <c r="B8" s="120"/>
      <c r="C8" s="119">
        <v>0.83380787037037041</v>
      </c>
      <c r="D8" s="120">
        <v>0.83655092592592595</v>
      </c>
      <c r="E8" s="120"/>
      <c r="F8" s="120"/>
      <c r="G8" s="119">
        <v>0.83380787037037041</v>
      </c>
      <c r="H8" s="120">
        <v>0.8376851851851852</v>
      </c>
      <c r="I8" s="120"/>
      <c r="J8" s="120"/>
      <c r="K8" s="119"/>
      <c r="L8" s="121"/>
    </row>
    <row r="9" spans="1:12" ht="13">
      <c r="A9" s="119"/>
      <c r="B9" s="120"/>
      <c r="C9" s="120"/>
      <c r="D9" s="120"/>
      <c r="E9" s="120"/>
      <c r="F9" s="120"/>
      <c r="G9" s="120">
        <v>0.83957175925925931</v>
      </c>
      <c r="H9" s="120">
        <v>0.84027777777777779</v>
      </c>
      <c r="I9" s="120"/>
      <c r="J9" s="120"/>
      <c r="K9" s="119"/>
      <c r="L9" s="121"/>
    </row>
    <row r="10" spans="1:12" ht="13">
      <c r="A10" s="119"/>
      <c r="B10" s="120"/>
      <c r="C10" s="120"/>
      <c r="D10" s="120"/>
      <c r="E10" s="120"/>
      <c r="F10" s="120"/>
      <c r="G10" s="120"/>
      <c r="H10" s="120"/>
      <c r="I10" s="120"/>
      <c r="J10" s="120"/>
      <c r="K10" s="119"/>
      <c r="L10" s="121"/>
    </row>
    <row r="11" spans="1:12" ht="13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19"/>
      <c r="L11" s="121"/>
    </row>
    <row r="12" spans="1:12" ht="13">
      <c r="A12" s="119"/>
      <c r="B12" s="120"/>
      <c r="C12" s="120"/>
      <c r="D12" s="120"/>
      <c r="E12" s="120"/>
      <c r="F12" s="120"/>
      <c r="G12" s="120"/>
      <c r="H12" s="120"/>
      <c r="I12" s="120"/>
      <c r="J12" s="120"/>
      <c r="K12" s="119"/>
      <c r="L12" s="121"/>
    </row>
    <row r="13" spans="1:12" ht="16">
      <c r="A13" s="122" t="s">
        <v>658</v>
      </c>
      <c r="B13" s="123">
        <f>(B3-A3)+B4-A4+B5-A5+B6-A6+B7-A7+B8-A8+B9-A9+B10-A10+B11-A11+B12-A12</f>
        <v>1.8252314814814818E-2</v>
      </c>
      <c r="C13" s="124" t="s">
        <v>658</v>
      </c>
      <c r="D13" s="123">
        <f>(D3-C3)+D4-C4+D5-C5+D6-C6+D7-C7+D8-C8+D9-C9+D10-C10+D11-C11+D12-C12</f>
        <v>1.6446759259259314E-2</v>
      </c>
      <c r="E13" s="124" t="s">
        <v>658</v>
      </c>
      <c r="F13" s="123">
        <f>(F3-E3)+F4-E4+F5-E5+F6-E6+F7-E7+F8-E8+F9-E9+F10-E10+F11-E11+F12-E12</f>
        <v>9.4444444444442555E-3</v>
      </c>
      <c r="G13" s="124" t="s">
        <v>658</v>
      </c>
      <c r="H13" s="123">
        <f>(H3-G3)+H4-G4+H5-G5+H6-G6+H7-G7+H8-G8+H9-G9+H10-G10+H11-G11+H12-G12</f>
        <v>2.5543981481481404E-2</v>
      </c>
      <c r="I13" s="124" t="s">
        <v>658</v>
      </c>
      <c r="J13" s="123">
        <f>(J3-I3)+J4-I4+J5-I5+J6-I6+J7-I7+J8-I8+J9-I9+J10-I10+J11-I11+J12-I12</f>
        <v>1.1759259259259025E-2</v>
      </c>
      <c r="K13" s="122" t="s">
        <v>658</v>
      </c>
      <c r="L13" s="123">
        <f>(L3-K3)+L4-K4+L5-K5+L6-K6+L7-K7+L8-K8+L9-K9+L10-K10+L11-K11+L12-K12</f>
        <v>5.3472222222221699E-3</v>
      </c>
    </row>
    <row r="14" spans="1:12" ht="16">
      <c r="A14" s="239" t="s">
        <v>659</v>
      </c>
      <c r="B14" s="227"/>
      <c r="C14" s="241" t="s">
        <v>660</v>
      </c>
      <c r="D14" s="227"/>
      <c r="E14" s="241" t="s">
        <v>661</v>
      </c>
      <c r="F14" s="227"/>
      <c r="G14" s="241" t="s">
        <v>662</v>
      </c>
      <c r="H14" s="227"/>
      <c r="I14" s="241" t="s">
        <v>663</v>
      </c>
      <c r="J14" s="227"/>
      <c r="K14" s="239" t="s">
        <v>664</v>
      </c>
      <c r="L14" s="240"/>
    </row>
    <row r="15" spans="1:12" ht="13">
      <c r="A15" s="117" t="s">
        <v>656</v>
      </c>
      <c r="B15" s="1" t="s">
        <v>657</v>
      </c>
      <c r="C15" s="1" t="s">
        <v>656</v>
      </c>
      <c r="D15" s="1" t="s">
        <v>657</v>
      </c>
      <c r="E15" s="1" t="s">
        <v>656</v>
      </c>
      <c r="F15" s="1" t="s">
        <v>657</v>
      </c>
      <c r="G15" s="1" t="s">
        <v>656</v>
      </c>
      <c r="H15" s="1" t="s">
        <v>657</v>
      </c>
      <c r="I15" s="1" t="s">
        <v>656</v>
      </c>
      <c r="J15" s="1" t="s">
        <v>657</v>
      </c>
      <c r="K15" s="117" t="s">
        <v>656</v>
      </c>
      <c r="L15" s="118" t="s">
        <v>657</v>
      </c>
    </row>
    <row r="16" spans="1:12" ht="13">
      <c r="A16" s="119">
        <v>0.79180555555555554</v>
      </c>
      <c r="B16" s="120">
        <v>0.79690972222222223</v>
      </c>
      <c r="C16" s="120">
        <v>0.79851851851851852</v>
      </c>
      <c r="D16" s="120">
        <v>0.80138888888888893</v>
      </c>
      <c r="E16" s="120">
        <v>0.79851851851851852</v>
      </c>
      <c r="F16" s="120">
        <v>0.80230324074074078</v>
      </c>
      <c r="G16" s="120">
        <v>0.79180555555555554</v>
      </c>
      <c r="H16" s="120">
        <v>0.79690972222222223</v>
      </c>
      <c r="I16" s="120">
        <v>0.79180555555555554</v>
      </c>
      <c r="J16" s="120">
        <v>0.7955902777777778</v>
      </c>
      <c r="K16" s="119"/>
      <c r="L16" s="121"/>
    </row>
    <row r="17" spans="1:12" ht="13">
      <c r="A17" s="120">
        <v>0.80401620370370375</v>
      </c>
      <c r="B17" s="120">
        <v>0.80714120370370368</v>
      </c>
      <c r="C17" s="119">
        <v>0.83380787037037041</v>
      </c>
      <c r="D17" s="120">
        <v>0.8376851851851852</v>
      </c>
      <c r="E17" s="120">
        <v>0.83655092592592595</v>
      </c>
      <c r="F17" s="120">
        <v>0.8376851851851852</v>
      </c>
      <c r="G17" s="120">
        <v>0.79851851851851852</v>
      </c>
      <c r="H17" s="120">
        <v>0.80230324074074078</v>
      </c>
      <c r="I17" s="120">
        <v>0.79556712962962961</v>
      </c>
      <c r="J17" s="120">
        <v>0.79690972222222223</v>
      </c>
      <c r="K17" s="119"/>
      <c r="L17" s="121"/>
    </row>
    <row r="18" spans="1:12" ht="13">
      <c r="A18" s="120">
        <v>0.80857638888888894</v>
      </c>
      <c r="B18" s="120">
        <v>0.80957175925925928</v>
      </c>
      <c r="C18" s="120">
        <v>0.83957175925925931</v>
      </c>
      <c r="D18" s="120">
        <v>0.84185185185185185</v>
      </c>
      <c r="E18" s="120">
        <v>0.83957175925925931</v>
      </c>
      <c r="F18" s="120">
        <v>0.84185185185185185</v>
      </c>
      <c r="G18" s="120">
        <v>0.80401620370370375</v>
      </c>
      <c r="H18" s="120">
        <v>0.80518518518518523</v>
      </c>
      <c r="I18" s="120">
        <v>0.80687500000000001</v>
      </c>
      <c r="J18" s="120">
        <v>0.80714120370370368</v>
      </c>
      <c r="K18" s="119"/>
      <c r="L18" s="121"/>
    </row>
    <row r="19" spans="1:12" ht="13">
      <c r="A19" s="119">
        <v>0.82670138888888889</v>
      </c>
      <c r="B19" s="120">
        <v>0.82962962962962961</v>
      </c>
      <c r="C19" s="120"/>
      <c r="D19" s="120"/>
      <c r="E19" s="120"/>
      <c r="F19" s="120"/>
      <c r="G19" s="120">
        <v>0.81013888888888885</v>
      </c>
      <c r="H19" s="120">
        <v>0.81571759259259258</v>
      </c>
      <c r="I19" s="120">
        <v>0.80857638888888894</v>
      </c>
      <c r="J19" s="120">
        <v>0.81571759259259258</v>
      </c>
      <c r="K19" s="119"/>
      <c r="L19" s="121"/>
    </row>
    <row r="20" spans="1:12" ht="13">
      <c r="A20" s="119"/>
      <c r="B20" s="120"/>
      <c r="C20" s="120"/>
      <c r="D20" s="120"/>
      <c r="E20" s="120"/>
      <c r="F20" s="120"/>
      <c r="G20" s="119">
        <v>0.82670138888888889</v>
      </c>
      <c r="H20" s="120">
        <v>0.83228009259259261</v>
      </c>
      <c r="I20" s="119">
        <v>0.82670138888888889</v>
      </c>
      <c r="J20" s="120">
        <v>0.83228009259259261</v>
      </c>
      <c r="K20" s="119"/>
      <c r="L20" s="121"/>
    </row>
    <row r="21" spans="1:12" ht="13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9"/>
      <c r="L21" s="121"/>
    </row>
    <row r="22" spans="1:12" ht="13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9"/>
      <c r="L22" s="121"/>
    </row>
    <row r="23" spans="1:12" ht="1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9"/>
      <c r="L23" s="121"/>
    </row>
    <row r="24" spans="1:12" ht="13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9"/>
      <c r="L24" s="121"/>
    </row>
    <row r="25" spans="1:12" ht="16">
      <c r="A25" s="122" t="s">
        <v>658</v>
      </c>
      <c r="B25" s="123">
        <f>B16-A16+B17-A17+B18-A18+B19-A19+B20-A20+B24-A24+B21-A21+B22-A22+B23-A23</f>
        <v>1.2152777777777679E-2</v>
      </c>
      <c r="C25" s="124" t="s">
        <v>658</v>
      </c>
      <c r="D25" s="123">
        <f>D16-C16+D17-C17+D18-C18+D19-C19+D20-C20+D24-C24+D21-C21+D22-C22+D23-C23</f>
        <v>9.0277777777777457E-3</v>
      </c>
      <c r="E25" s="124" t="s">
        <v>658</v>
      </c>
      <c r="F25" s="123">
        <f>F16-E16+F17-E17+F18-E18+F19-E19+F20-E20+F24-E24+F21-E21+F22-E22+F23-E23</f>
        <v>7.1990740740740522E-3</v>
      </c>
      <c r="G25" s="124" t="s">
        <v>658</v>
      </c>
      <c r="H25" s="123">
        <f>H16-G16+H17-G17+H18-G18+H19-G19+H20-G20+H24-G24+H21-G21+H22-G22+H23-G23</f>
        <v>2.1215277777777874E-2</v>
      </c>
      <c r="I25" s="124" t="s">
        <v>658</v>
      </c>
      <c r="J25" s="123">
        <f>J16-I16+J17-I17+J18-I18+J19-I19+J20-I20+J24-I24+J21-I21+J22-I22+J23-I23</f>
        <v>1.8113425925925908E-2</v>
      </c>
      <c r="K25" s="122" t="s">
        <v>658</v>
      </c>
      <c r="L25" s="123">
        <f>L16-K16+L17-K17+L18-K18+L19-K19+L20-K20+L24-K24+L21-K21+L22-K22+L23-K23</f>
        <v>0</v>
      </c>
    </row>
    <row r="29" spans="1:12" ht="22.5" customHeight="1">
      <c r="A29" s="125" t="s">
        <v>16</v>
      </c>
      <c r="B29" s="125" t="s">
        <v>615</v>
      </c>
      <c r="C29" s="125" t="s">
        <v>611</v>
      </c>
      <c r="D29" s="125" t="s">
        <v>612</v>
      </c>
      <c r="E29" s="125" t="s">
        <v>665</v>
      </c>
      <c r="F29" s="125" t="s">
        <v>613</v>
      </c>
      <c r="G29" s="125" t="s">
        <v>666</v>
      </c>
      <c r="H29" s="125" t="s">
        <v>614</v>
      </c>
      <c r="I29" s="125" t="s">
        <v>355</v>
      </c>
    </row>
    <row r="30" spans="1:12" ht="22.5" customHeight="1">
      <c r="A30" s="126" t="s">
        <v>650</v>
      </c>
      <c r="B30" s="126">
        <v>181</v>
      </c>
      <c r="C30" s="126">
        <v>58</v>
      </c>
      <c r="D30" s="126">
        <v>87</v>
      </c>
      <c r="E30" s="126">
        <f t="shared" ref="E30:E41" si="0">SUM(C30:D30)</f>
        <v>145</v>
      </c>
      <c r="F30" s="126">
        <v>111</v>
      </c>
      <c r="G30" s="126">
        <f t="shared" ref="G30:G41" si="1">SUM(E30:F30)</f>
        <v>256</v>
      </c>
      <c r="I30" s="126">
        <f t="shared" ref="I30:I41" si="2">SUM(G30:H30)</f>
        <v>256</v>
      </c>
    </row>
    <row r="31" spans="1:12" ht="22.5" customHeight="1">
      <c r="A31" s="126" t="s">
        <v>651</v>
      </c>
      <c r="B31" s="126">
        <v>167</v>
      </c>
      <c r="C31" s="126">
        <v>87</v>
      </c>
      <c r="D31" s="126">
        <v>87</v>
      </c>
      <c r="E31" s="126">
        <f t="shared" si="0"/>
        <v>174</v>
      </c>
      <c r="F31" s="126">
        <v>74</v>
      </c>
      <c r="G31" s="126">
        <f t="shared" si="1"/>
        <v>248</v>
      </c>
      <c r="I31" s="126">
        <f t="shared" si="2"/>
        <v>248</v>
      </c>
    </row>
    <row r="32" spans="1:12" ht="22.5" customHeight="1">
      <c r="A32" s="126" t="s">
        <v>652</v>
      </c>
      <c r="B32" s="126">
        <v>186</v>
      </c>
      <c r="D32" s="126">
        <v>118</v>
      </c>
      <c r="E32" s="126">
        <f t="shared" si="0"/>
        <v>118</v>
      </c>
      <c r="F32" s="126">
        <v>62</v>
      </c>
      <c r="G32" s="126">
        <f t="shared" si="1"/>
        <v>180</v>
      </c>
      <c r="I32" s="126">
        <f t="shared" si="2"/>
        <v>180</v>
      </c>
    </row>
    <row r="33" spans="1:9" ht="22.5" customHeight="1">
      <c r="A33" s="126" t="s">
        <v>653</v>
      </c>
      <c r="B33" s="126">
        <v>161</v>
      </c>
      <c r="C33" s="126">
        <v>129</v>
      </c>
      <c r="D33" s="126">
        <v>108</v>
      </c>
      <c r="E33" s="126">
        <f t="shared" si="0"/>
        <v>237</v>
      </c>
      <c r="F33" s="126">
        <v>140</v>
      </c>
      <c r="G33" s="126">
        <f t="shared" si="1"/>
        <v>377</v>
      </c>
      <c r="I33" s="126">
        <f t="shared" si="2"/>
        <v>377</v>
      </c>
    </row>
    <row r="34" spans="1:9" ht="22.5" customHeight="1">
      <c r="A34" s="126" t="s">
        <v>654</v>
      </c>
      <c r="B34" s="126">
        <v>184</v>
      </c>
      <c r="C34" s="126">
        <v>17</v>
      </c>
      <c r="D34" s="126">
        <v>80</v>
      </c>
      <c r="E34" s="126">
        <f t="shared" si="0"/>
        <v>97</v>
      </c>
      <c r="F34" s="126">
        <v>97</v>
      </c>
      <c r="G34" s="126">
        <f t="shared" si="1"/>
        <v>194</v>
      </c>
      <c r="I34" s="126">
        <f t="shared" si="2"/>
        <v>194</v>
      </c>
    </row>
    <row r="35" spans="1:9" ht="22.5" customHeight="1">
      <c r="A35" s="126" t="s">
        <v>655</v>
      </c>
      <c r="B35" s="126">
        <v>168</v>
      </c>
      <c r="C35" s="126">
        <v>15</v>
      </c>
      <c r="D35" s="126">
        <v>42</v>
      </c>
      <c r="E35" s="126">
        <f t="shared" si="0"/>
        <v>57</v>
      </c>
      <c r="F35" s="126">
        <v>20</v>
      </c>
      <c r="G35" s="126">
        <f t="shared" si="1"/>
        <v>77</v>
      </c>
      <c r="I35" s="126">
        <f t="shared" si="2"/>
        <v>77</v>
      </c>
    </row>
    <row r="36" spans="1:9" ht="22.5" customHeight="1">
      <c r="A36" s="126" t="s">
        <v>659</v>
      </c>
      <c r="B36" s="126">
        <v>193</v>
      </c>
      <c r="C36" s="126">
        <v>102</v>
      </c>
      <c r="D36" s="126">
        <v>73</v>
      </c>
      <c r="E36" s="126">
        <f t="shared" si="0"/>
        <v>175</v>
      </c>
      <c r="F36" s="126">
        <v>47</v>
      </c>
      <c r="G36" s="126">
        <f t="shared" si="1"/>
        <v>222</v>
      </c>
      <c r="I36" s="126">
        <f t="shared" si="2"/>
        <v>222</v>
      </c>
    </row>
    <row r="37" spans="1:9" ht="22.5" customHeight="1">
      <c r="A37" s="126" t="s">
        <v>660</v>
      </c>
      <c r="B37" s="126">
        <v>151</v>
      </c>
      <c r="C37" s="126">
        <v>73</v>
      </c>
      <c r="E37" s="126">
        <f t="shared" si="0"/>
        <v>73</v>
      </c>
      <c r="F37" s="126">
        <v>69</v>
      </c>
      <c r="G37" s="126">
        <f t="shared" si="1"/>
        <v>142</v>
      </c>
      <c r="I37" s="126">
        <f t="shared" si="2"/>
        <v>142</v>
      </c>
    </row>
    <row r="38" spans="1:9" ht="22.5" customHeight="1">
      <c r="A38" s="126" t="s">
        <v>661</v>
      </c>
      <c r="B38" s="126">
        <v>219</v>
      </c>
      <c r="C38" s="126">
        <v>83</v>
      </c>
      <c r="E38" s="126">
        <f t="shared" si="0"/>
        <v>83</v>
      </c>
      <c r="F38" s="126">
        <v>64</v>
      </c>
      <c r="G38" s="126">
        <f t="shared" si="1"/>
        <v>147</v>
      </c>
      <c r="I38" s="126">
        <f t="shared" si="2"/>
        <v>147</v>
      </c>
    </row>
    <row r="39" spans="1:9" ht="22.5" customHeight="1">
      <c r="A39" s="126" t="s">
        <v>662</v>
      </c>
      <c r="B39" s="126">
        <v>151</v>
      </c>
      <c r="C39" s="126">
        <v>166</v>
      </c>
      <c r="D39" s="126">
        <v>107</v>
      </c>
      <c r="E39" s="126">
        <f t="shared" si="0"/>
        <v>273</v>
      </c>
      <c r="F39" s="126">
        <v>86</v>
      </c>
      <c r="G39" s="126">
        <f t="shared" si="1"/>
        <v>359</v>
      </c>
      <c r="I39" s="126">
        <f t="shared" si="2"/>
        <v>359</v>
      </c>
    </row>
    <row r="40" spans="1:9" ht="22.5" customHeight="1">
      <c r="A40" s="126" t="s">
        <v>663</v>
      </c>
      <c r="B40" s="126">
        <v>174</v>
      </c>
      <c r="C40" s="126">
        <v>59</v>
      </c>
      <c r="D40" s="126">
        <v>98</v>
      </c>
      <c r="E40" s="126">
        <f t="shared" si="0"/>
        <v>157</v>
      </c>
      <c r="F40" s="126">
        <v>64</v>
      </c>
      <c r="G40" s="126">
        <f t="shared" si="1"/>
        <v>221</v>
      </c>
      <c r="I40" s="126">
        <f t="shared" si="2"/>
        <v>221</v>
      </c>
    </row>
    <row r="41" spans="1:9" ht="22.5" customHeight="1">
      <c r="A41" s="126" t="s">
        <v>664</v>
      </c>
      <c r="B41" s="126">
        <v>176</v>
      </c>
      <c r="E41" s="126">
        <f t="shared" si="0"/>
        <v>0</v>
      </c>
      <c r="G41" s="126">
        <f t="shared" si="1"/>
        <v>0</v>
      </c>
      <c r="I41" s="126">
        <f t="shared" si="2"/>
        <v>0</v>
      </c>
    </row>
  </sheetData>
  <mergeCells count="12">
    <mergeCell ref="K1:L1"/>
    <mergeCell ref="A14:B14"/>
    <mergeCell ref="K14:L14"/>
    <mergeCell ref="C14:D14"/>
    <mergeCell ref="E14:F14"/>
    <mergeCell ref="G14:H14"/>
    <mergeCell ref="I14:J14"/>
    <mergeCell ref="A1:B1"/>
    <mergeCell ref="C1:D1"/>
    <mergeCell ref="E1:F1"/>
    <mergeCell ref="G1:H1"/>
    <mergeCell ref="I1:J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FF00"/>
    <outlinePr summaryBelow="0" summaryRight="0"/>
  </sheetPr>
  <dimension ref="A1:Y69"/>
  <sheetViews>
    <sheetView workbookViewId="0"/>
  </sheetViews>
  <sheetFormatPr baseColWidth="10" defaultColWidth="12.6640625" defaultRowHeight="15.75" customHeight="1"/>
  <cols>
    <col min="2" max="2" width="13.33203125" customWidth="1"/>
    <col min="7" max="7" width="16.5" customWidth="1"/>
  </cols>
  <sheetData>
    <row r="1" spans="1:12" ht="16">
      <c r="A1" s="246" t="s">
        <v>650</v>
      </c>
      <c r="B1" s="247"/>
      <c r="C1" s="246" t="s">
        <v>651</v>
      </c>
      <c r="D1" s="247"/>
      <c r="E1" s="246" t="s">
        <v>652</v>
      </c>
      <c r="F1" s="247"/>
      <c r="G1" s="246" t="s">
        <v>653</v>
      </c>
      <c r="H1" s="247"/>
      <c r="I1" s="246" t="s">
        <v>654</v>
      </c>
      <c r="J1" s="247"/>
      <c r="K1" s="243" t="s">
        <v>655</v>
      </c>
      <c r="L1" s="238"/>
    </row>
    <row r="2" spans="1:12" ht="13">
      <c r="A2" s="86" t="s">
        <v>656</v>
      </c>
      <c r="B2" s="86"/>
      <c r="C2" s="86" t="s">
        <v>656</v>
      </c>
      <c r="D2" s="86" t="s">
        <v>657</v>
      </c>
      <c r="E2" s="86" t="s">
        <v>656</v>
      </c>
      <c r="F2" s="86" t="s">
        <v>657</v>
      </c>
      <c r="G2" s="86" t="s">
        <v>656</v>
      </c>
      <c r="H2" s="86" t="s">
        <v>657</v>
      </c>
      <c r="I2" s="86" t="s">
        <v>656</v>
      </c>
      <c r="J2" s="86" t="s">
        <v>657</v>
      </c>
      <c r="K2" s="86" t="s">
        <v>656</v>
      </c>
      <c r="L2" s="86" t="s">
        <v>657</v>
      </c>
    </row>
    <row r="3" spans="1:12" ht="13">
      <c r="A3" s="128">
        <v>0.36877314814814816</v>
      </c>
      <c r="B3" s="129"/>
      <c r="C3" s="129">
        <v>0.36249999999999999</v>
      </c>
      <c r="D3" s="130"/>
      <c r="E3" s="129"/>
      <c r="F3" s="130"/>
      <c r="G3" s="128">
        <v>0.36877314814814816</v>
      </c>
      <c r="H3" s="130"/>
      <c r="I3" s="129"/>
      <c r="J3" s="130"/>
      <c r="K3" s="131"/>
      <c r="L3" s="132"/>
    </row>
    <row r="4" spans="1:12" ht="13">
      <c r="A4" s="128">
        <v>0.13829861111111111</v>
      </c>
      <c r="B4" s="129"/>
      <c r="C4" s="129"/>
      <c r="D4" s="130"/>
      <c r="E4" s="129">
        <v>9.375E-2</v>
      </c>
      <c r="F4" s="130"/>
      <c r="G4" s="128">
        <v>0.36278935185185185</v>
      </c>
      <c r="H4" s="130"/>
      <c r="I4" s="129"/>
      <c r="J4" s="130"/>
      <c r="K4" s="131">
        <v>0.30694444444444446</v>
      </c>
      <c r="L4" s="132"/>
    </row>
    <row r="5" spans="1:12" ht="13">
      <c r="A5" s="129"/>
      <c r="B5" s="130"/>
      <c r="C5" s="129"/>
      <c r="D5" s="130"/>
      <c r="E5" s="129"/>
      <c r="F5" s="130"/>
      <c r="G5" s="129"/>
      <c r="H5" s="130"/>
      <c r="I5" s="129"/>
      <c r="J5" s="130"/>
      <c r="K5" s="131"/>
      <c r="L5" s="132"/>
    </row>
    <row r="6" spans="1:12" ht="13">
      <c r="A6" s="129">
        <v>0.13680555555555557</v>
      </c>
      <c r="B6" s="130"/>
      <c r="C6" s="129">
        <v>0.13680555555555557</v>
      </c>
      <c r="D6" s="130"/>
      <c r="E6" s="129"/>
      <c r="F6" s="130"/>
      <c r="G6" s="129">
        <v>0.16388888888888889</v>
      </c>
      <c r="H6" s="130"/>
      <c r="I6" s="129"/>
      <c r="J6" s="130"/>
      <c r="K6" s="131"/>
      <c r="L6" s="132"/>
    </row>
    <row r="7" spans="1:12" ht="13">
      <c r="A7" s="129">
        <v>0.31666666666666665</v>
      </c>
      <c r="B7" s="130"/>
      <c r="C7" s="129">
        <v>0.15277777777777779</v>
      </c>
      <c r="D7" s="130"/>
      <c r="E7" s="129"/>
      <c r="F7" s="130"/>
      <c r="G7" s="129">
        <v>0.13958333333333334</v>
      </c>
      <c r="H7" s="130"/>
      <c r="I7" s="129"/>
      <c r="J7" s="130"/>
      <c r="K7" s="131"/>
      <c r="L7" s="132"/>
    </row>
    <row r="8" spans="1:12" ht="13">
      <c r="A8" s="129">
        <v>0.37986111111111109</v>
      </c>
      <c r="B8" s="130"/>
      <c r="C8" s="129">
        <v>0.23958333333333334</v>
      </c>
      <c r="D8" s="130"/>
      <c r="E8" s="129"/>
      <c r="F8" s="130"/>
      <c r="G8" s="129"/>
      <c r="H8" s="130"/>
      <c r="I8" s="129"/>
      <c r="J8" s="130"/>
      <c r="K8" s="131"/>
      <c r="L8" s="132"/>
    </row>
    <row r="9" spans="1:12" ht="13">
      <c r="A9" s="129"/>
      <c r="B9" s="130"/>
      <c r="C9" s="129"/>
      <c r="D9" s="130"/>
      <c r="E9" s="129"/>
      <c r="F9" s="130"/>
      <c r="G9" s="129"/>
      <c r="H9" s="130"/>
      <c r="I9" s="129"/>
      <c r="J9" s="130"/>
      <c r="K9" s="131"/>
      <c r="L9" s="132"/>
    </row>
    <row r="10" spans="1:12" ht="13">
      <c r="A10" s="133">
        <v>0.36249999999999999</v>
      </c>
      <c r="B10" s="134"/>
      <c r="C10" s="135">
        <v>0.28749999999999998</v>
      </c>
      <c r="D10" s="134"/>
      <c r="E10" s="135"/>
      <c r="F10" s="134"/>
      <c r="G10" s="135">
        <v>0.36249999999999999</v>
      </c>
      <c r="H10" s="134"/>
      <c r="I10" s="135"/>
      <c r="J10" s="134"/>
      <c r="K10" s="133"/>
      <c r="L10" s="136"/>
    </row>
    <row r="11" spans="1:12" ht="13">
      <c r="A11" s="131">
        <v>0.39791666666666664</v>
      </c>
      <c r="B11" s="130"/>
      <c r="C11" s="129"/>
      <c r="D11" s="130"/>
      <c r="E11" s="129"/>
      <c r="F11" s="130"/>
      <c r="G11" s="129">
        <v>0.12638888888888888</v>
      </c>
      <c r="H11" s="130"/>
      <c r="I11" s="129"/>
      <c r="J11" s="130"/>
      <c r="K11" s="131"/>
      <c r="L11" s="132"/>
    </row>
    <row r="12" spans="1:12" ht="13">
      <c r="A12" s="129"/>
      <c r="B12" s="130"/>
      <c r="C12" s="129"/>
      <c r="D12" s="130"/>
      <c r="E12" s="129"/>
      <c r="F12" s="130"/>
      <c r="G12" s="129"/>
      <c r="H12" s="130"/>
      <c r="I12" s="129"/>
      <c r="J12" s="130"/>
      <c r="K12" s="131"/>
      <c r="L12" s="132"/>
    </row>
    <row r="13" spans="1:12" ht="13">
      <c r="A13" s="129"/>
      <c r="B13" s="130"/>
      <c r="C13" s="129"/>
      <c r="D13" s="130"/>
      <c r="E13" s="129"/>
      <c r="F13" s="130"/>
      <c r="G13" s="129"/>
      <c r="H13" s="130"/>
      <c r="I13" s="129"/>
      <c r="J13" s="130"/>
      <c r="K13" s="131"/>
      <c r="L13" s="132"/>
    </row>
    <row r="14" spans="1:12" ht="13">
      <c r="A14" s="129"/>
      <c r="B14" s="130"/>
      <c r="C14" s="129"/>
      <c r="D14" s="130"/>
      <c r="E14" s="129"/>
      <c r="F14" s="130"/>
      <c r="G14" s="129"/>
      <c r="H14" s="130"/>
      <c r="I14" s="129"/>
      <c r="J14" s="130"/>
      <c r="K14" s="131"/>
      <c r="L14" s="132"/>
    </row>
    <row r="15" spans="1:12" ht="13">
      <c r="A15" s="129"/>
      <c r="B15" s="130"/>
      <c r="C15" s="129"/>
      <c r="D15" s="130"/>
      <c r="E15" s="129"/>
      <c r="F15" s="130"/>
      <c r="G15" s="129"/>
      <c r="H15" s="130"/>
      <c r="I15" s="129"/>
      <c r="J15" s="130"/>
      <c r="K15" s="131"/>
      <c r="L15" s="132"/>
    </row>
    <row r="16" spans="1:12" ht="13">
      <c r="A16" s="129"/>
      <c r="B16" s="130"/>
      <c r="C16" s="129"/>
      <c r="D16" s="130"/>
      <c r="E16" s="129"/>
      <c r="F16" s="130"/>
      <c r="G16" s="129"/>
      <c r="H16" s="130"/>
      <c r="I16" s="129"/>
      <c r="J16" s="130"/>
      <c r="K16" s="131"/>
      <c r="L16" s="132"/>
    </row>
    <row r="17" spans="1:12" ht="16">
      <c r="A17" s="137" t="s">
        <v>658</v>
      </c>
      <c r="B17" s="138"/>
      <c r="C17" s="137" t="s">
        <v>658</v>
      </c>
      <c r="D17" s="138">
        <f>SUM(D3:D16)-SUM(C3:C16)</f>
        <v>-1.1791666666666667</v>
      </c>
      <c r="E17" s="137" t="s">
        <v>658</v>
      </c>
      <c r="F17" s="138">
        <f>SUM(F3:F16)-SUM(E3:E16)</f>
        <v>-9.375E-2</v>
      </c>
      <c r="G17" s="137" t="s">
        <v>658</v>
      </c>
      <c r="H17" s="138">
        <f>SUM(H3:H16)-SUM(G3:G16)</f>
        <v>-1.5239236111111112</v>
      </c>
      <c r="I17" s="137" t="s">
        <v>658</v>
      </c>
      <c r="J17" s="138">
        <f>SUM(J3:J16)-SUM(I3:I16)</f>
        <v>0</v>
      </c>
      <c r="K17" s="124" t="s">
        <v>658</v>
      </c>
      <c r="L17" s="138">
        <f>SUM(L3:L16)-SUM(K3:K16)</f>
        <v>-0.30694444444444446</v>
      </c>
    </row>
    <row r="18" spans="1:12" ht="16">
      <c r="A18" s="244" t="s">
        <v>659</v>
      </c>
      <c r="B18" s="245"/>
      <c r="C18" s="244" t="s">
        <v>660</v>
      </c>
      <c r="D18" s="245"/>
      <c r="E18" s="244" t="s">
        <v>661</v>
      </c>
      <c r="F18" s="245"/>
      <c r="G18" s="244" t="s">
        <v>662</v>
      </c>
      <c r="H18" s="245"/>
      <c r="I18" s="244" t="s">
        <v>663</v>
      </c>
      <c r="J18" s="245"/>
      <c r="K18" s="241" t="s">
        <v>667</v>
      </c>
      <c r="L18" s="240"/>
    </row>
    <row r="19" spans="1:12" ht="13">
      <c r="A19" s="86" t="s">
        <v>656</v>
      </c>
      <c r="B19" s="86" t="s">
        <v>657</v>
      </c>
      <c r="C19" s="86" t="s">
        <v>656</v>
      </c>
      <c r="D19" s="86" t="s">
        <v>657</v>
      </c>
      <c r="E19" s="86" t="s">
        <v>656</v>
      </c>
      <c r="F19" s="86" t="s">
        <v>657</v>
      </c>
      <c r="G19" s="86" t="s">
        <v>656</v>
      </c>
      <c r="H19" s="86" t="s">
        <v>657</v>
      </c>
      <c r="I19" s="86" t="s">
        <v>656</v>
      </c>
      <c r="J19" s="86" t="s">
        <v>657</v>
      </c>
      <c r="K19" s="86" t="s">
        <v>656</v>
      </c>
      <c r="L19" s="86" t="s">
        <v>657</v>
      </c>
    </row>
    <row r="20" spans="1:12" ht="13">
      <c r="A20" s="129">
        <v>0.22430555555555556</v>
      </c>
      <c r="B20" s="130"/>
      <c r="C20" s="129">
        <v>0.36249999999999999</v>
      </c>
      <c r="D20" s="130"/>
      <c r="E20" s="129"/>
      <c r="F20" s="130"/>
      <c r="G20" s="128">
        <v>0.36877314814814816</v>
      </c>
      <c r="H20" s="130"/>
      <c r="I20" s="128">
        <v>0.36877314814814816</v>
      </c>
      <c r="J20" s="130"/>
      <c r="K20" s="128">
        <v>0.36877314814814816</v>
      </c>
      <c r="L20" s="132"/>
    </row>
    <row r="21" spans="1:12" ht="13">
      <c r="B21" s="130"/>
      <c r="C21" s="129"/>
      <c r="D21" s="130"/>
      <c r="E21" s="129"/>
      <c r="F21" s="130"/>
      <c r="G21" s="128">
        <v>0.18849537037037037</v>
      </c>
      <c r="H21" s="130"/>
      <c r="I21" s="129"/>
      <c r="J21" s="130"/>
      <c r="K21" s="129">
        <v>0.17475694444444445</v>
      </c>
      <c r="L21" s="132"/>
    </row>
    <row r="22" spans="1:12" ht="13">
      <c r="A22" s="129">
        <v>0.13680555555555557</v>
      </c>
      <c r="B22" s="130"/>
      <c r="C22" s="129">
        <v>0.13680555555555557</v>
      </c>
      <c r="D22" s="130"/>
      <c r="E22" s="129"/>
      <c r="F22" s="130"/>
      <c r="G22" s="129"/>
      <c r="H22" s="130"/>
      <c r="I22" s="129">
        <v>0.20624999999999999</v>
      </c>
      <c r="J22" s="130"/>
      <c r="K22" s="131"/>
      <c r="L22" s="132"/>
    </row>
    <row r="23" spans="1:12" ht="13">
      <c r="A23" s="129">
        <v>0.31666666666666665</v>
      </c>
      <c r="B23" s="130"/>
      <c r="C23" s="129">
        <v>0.10972222222222222</v>
      </c>
      <c r="D23" s="130"/>
      <c r="E23" s="129"/>
      <c r="F23" s="130"/>
      <c r="G23" s="129">
        <v>0.20416666666666666</v>
      </c>
      <c r="H23" s="130"/>
      <c r="I23" s="129"/>
      <c r="J23" s="130"/>
      <c r="K23" s="131">
        <v>0.13680555555555557</v>
      </c>
      <c r="L23" s="132"/>
    </row>
    <row r="24" spans="1:12" ht="13">
      <c r="A24" s="129">
        <v>0.28541666666666665</v>
      </c>
      <c r="B24" s="130"/>
      <c r="C24" s="129">
        <v>7.2222222222222215E-2</v>
      </c>
      <c r="D24" s="130"/>
      <c r="E24" s="129"/>
      <c r="F24" s="130"/>
      <c r="G24" s="129">
        <v>0.13958333333333334</v>
      </c>
      <c r="H24" s="130"/>
      <c r="I24" s="129"/>
      <c r="J24" s="130"/>
      <c r="K24" s="131">
        <v>0.1125</v>
      </c>
      <c r="L24" s="132"/>
    </row>
    <row r="25" spans="1:12" ht="13">
      <c r="A25" s="129"/>
      <c r="B25" s="130"/>
      <c r="C25" s="129"/>
      <c r="D25" s="130"/>
      <c r="E25" s="129"/>
      <c r="F25" s="130"/>
      <c r="G25" s="129"/>
      <c r="H25" s="130"/>
      <c r="I25" s="129"/>
      <c r="J25" s="130"/>
      <c r="K25" s="131">
        <v>0.23958333333333334</v>
      </c>
      <c r="L25" s="132"/>
    </row>
    <row r="26" spans="1:12" ht="13">
      <c r="A26" s="129"/>
      <c r="B26" s="130"/>
      <c r="C26" s="129"/>
      <c r="D26" s="130"/>
      <c r="E26" s="129"/>
      <c r="F26" s="130"/>
      <c r="G26" s="129"/>
      <c r="H26" s="130"/>
      <c r="I26" s="129"/>
      <c r="J26" s="130"/>
      <c r="K26" s="131"/>
      <c r="L26" s="132"/>
    </row>
    <row r="27" spans="1:12" ht="13">
      <c r="A27" s="135">
        <v>0.27152777777777776</v>
      </c>
      <c r="B27" s="134"/>
      <c r="C27" s="135">
        <v>8.9583333333333334E-2</v>
      </c>
      <c r="D27" s="134"/>
      <c r="E27" s="135"/>
      <c r="F27" s="134"/>
      <c r="G27" s="135">
        <v>0.36249999999999999</v>
      </c>
      <c r="H27" s="134"/>
      <c r="I27" s="135">
        <v>0.27291666666666664</v>
      </c>
      <c r="J27" s="134"/>
      <c r="K27" s="133">
        <v>0.36249999999999999</v>
      </c>
      <c r="L27" s="136"/>
    </row>
    <row r="28" spans="1:12" ht="13">
      <c r="A28" s="129"/>
      <c r="B28" s="130"/>
      <c r="C28" s="129">
        <v>0.19097222222222221</v>
      </c>
      <c r="D28" s="130"/>
      <c r="E28" s="129"/>
      <c r="F28" s="130"/>
      <c r="G28" s="129">
        <v>0.11041666666666666</v>
      </c>
      <c r="H28" s="130"/>
      <c r="I28" s="129">
        <v>0.20694444444444443</v>
      </c>
      <c r="J28" s="130"/>
      <c r="K28" s="131">
        <v>0.39791666666666664</v>
      </c>
      <c r="L28" s="132"/>
    </row>
    <row r="29" spans="1:12" ht="13">
      <c r="A29" s="129"/>
      <c r="B29" s="130"/>
      <c r="C29" s="129"/>
      <c r="D29" s="130"/>
      <c r="E29" s="129"/>
      <c r="F29" s="130"/>
      <c r="G29" s="129"/>
      <c r="H29" s="130"/>
      <c r="I29" s="129"/>
      <c r="J29" s="130"/>
      <c r="K29" s="131"/>
      <c r="L29" s="132"/>
    </row>
    <row r="30" spans="1:12" ht="13">
      <c r="A30" s="129"/>
      <c r="B30" s="130"/>
      <c r="C30" s="129"/>
      <c r="D30" s="130"/>
      <c r="E30" s="129"/>
      <c r="F30" s="130"/>
      <c r="G30" s="129"/>
      <c r="H30" s="130"/>
      <c r="I30" s="129"/>
      <c r="J30" s="130"/>
      <c r="K30" s="131"/>
      <c r="L30" s="132"/>
    </row>
    <row r="31" spans="1:12" ht="13">
      <c r="A31" s="129"/>
      <c r="B31" s="130"/>
      <c r="C31" s="129"/>
      <c r="D31" s="130"/>
      <c r="E31" s="129"/>
      <c r="F31" s="130"/>
      <c r="G31" s="129"/>
      <c r="H31" s="130"/>
      <c r="I31" s="129"/>
      <c r="J31" s="130"/>
      <c r="K31" s="131"/>
      <c r="L31" s="132"/>
    </row>
    <row r="32" spans="1:12" ht="13">
      <c r="A32" s="129"/>
      <c r="B32" s="130"/>
      <c r="C32" s="129"/>
      <c r="D32" s="130"/>
      <c r="E32" s="129"/>
      <c r="F32" s="130"/>
      <c r="G32" s="129"/>
      <c r="H32" s="130"/>
      <c r="I32" s="129"/>
      <c r="J32" s="130"/>
      <c r="K32" s="131"/>
      <c r="L32" s="132"/>
    </row>
    <row r="33" spans="1:25" ht="13">
      <c r="A33" s="129"/>
      <c r="B33" s="130"/>
      <c r="C33" s="129"/>
      <c r="D33" s="130"/>
      <c r="E33" s="129"/>
      <c r="F33" s="130"/>
      <c r="G33" s="129"/>
      <c r="H33" s="130"/>
      <c r="I33" s="129"/>
      <c r="J33" s="130"/>
      <c r="K33" s="131"/>
      <c r="L33" s="132"/>
    </row>
    <row r="34" spans="1:25" ht="16">
      <c r="A34" s="21" t="s">
        <v>658</v>
      </c>
      <c r="B34" s="138">
        <f>SUM(B20:B33)-SUM(A20:A33)</f>
        <v>-1.2347222222222223</v>
      </c>
      <c r="C34" s="21" t="s">
        <v>658</v>
      </c>
      <c r="D34" s="138">
        <f>SUM(D20:D33)-SUM(C20:C33)</f>
        <v>-0.96180555555555547</v>
      </c>
      <c r="E34" s="21" t="s">
        <v>658</v>
      </c>
      <c r="F34" s="138">
        <f>SUM(F20:F33)-SUM(E20:E33)</f>
        <v>0</v>
      </c>
      <c r="G34" s="21" t="s">
        <v>658</v>
      </c>
      <c r="H34" s="138">
        <f>SUM(H20:H33)-SUM(G20:G33)</f>
        <v>-1.3739351851851853</v>
      </c>
      <c r="I34" s="21" t="s">
        <v>658</v>
      </c>
      <c r="J34" s="138">
        <f>SUM(J20:J33)-SUM(I20:I33)</f>
        <v>-1.0548842592592591</v>
      </c>
      <c r="K34" s="124" t="s">
        <v>658</v>
      </c>
      <c r="L34" s="138">
        <f>SUM(L20:L33)-SUM(K20:K33)</f>
        <v>-1.7928356481481482</v>
      </c>
    </row>
    <row r="38" spans="1:25" ht="22.5" customHeight="1">
      <c r="A38" s="125" t="s">
        <v>16</v>
      </c>
      <c r="B38" s="125" t="s">
        <v>608</v>
      </c>
      <c r="C38" s="125" t="s">
        <v>105</v>
      </c>
      <c r="D38" s="125" t="s">
        <v>668</v>
      </c>
      <c r="E38" s="125" t="s">
        <v>669</v>
      </c>
      <c r="F38" s="125" t="s">
        <v>16</v>
      </c>
      <c r="G38" s="125" t="s">
        <v>608</v>
      </c>
      <c r="H38" s="125" t="s">
        <v>105</v>
      </c>
      <c r="I38" s="125" t="s">
        <v>668</v>
      </c>
      <c r="J38" s="125" t="s">
        <v>669</v>
      </c>
      <c r="K38" s="125" t="s">
        <v>16</v>
      </c>
      <c r="L38" s="125" t="s">
        <v>608</v>
      </c>
      <c r="M38" s="125" t="s">
        <v>105</v>
      </c>
      <c r="N38" s="125" t="s">
        <v>668</v>
      </c>
      <c r="O38" s="125" t="s">
        <v>669</v>
      </c>
      <c r="P38" s="125" t="s">
        <v>16</v>
      </c>
      <c r="Q38" s="125" t="s">
        <v>608</v>
      </c>
      <c r="R38" s="125" t="s">
        <v>105</v>
      </c>
      <c r="S38" s="125" t="s">
        <v>668</v>
      </c>
      <c r="T38" s="125" t="s">
        <v>669</v>
      </c>
      <c r="V38" s="1" t="s">
        <v>615</v>
      </c>
      <c r="W38" s="1" t="s">
        <v>105</v>
      </c>
      <c r="X38" s="1" t="s">
        <v>668</v>
      </c>
      <c r="Y38" s="1" t="s">
        <v>669</v>
      </c>
    </row>
    <row r="39" spans="1:25" ht="22.5" customHeight="1">
      <c r="A39" s="126" t="s">
        <v>670</v>
      </c>
      <c r="B39" s="139">
        <f>SUM(K20:K21)</f>
        <v>0.54353009259259255</v>
      </c>
      <c r="C39" s="126">
        <v>142</v>
      </c>
      <c r="D39" s="126">
        <v>11</v>
      </c>
      <c r="E39" s="126">
        <f>C39/750*100</f>
        <v>18.933333333333334</v>
      </c>
      <c r="F39" s="126" t="s">
        <v>670</v>
      </c>
      <c r="G39" s="140">
        <f>SUM(K20:K21)</f>
        <v>0.54353009259259255</v>
      </c>
      <c r="H39" s="126">
        <v>122</v>
      </c>
      <c r="I39" s="126">
        <v>33</v>
      </c>
      <c r="J39" s="126">
        <f>H39/750*100</f>
        <v>16.266666666666666</v>
      </c>
      <c r="K39" s="126" t="s">
        <v>670</v>
      </c>
      <c r="L39" s="139">
        <f>SUM(K27:K29)</f>
        <v>0.76041666666666663</v>
      </c>
      <c r="M39" s="126">
        <v>181</v>
      </c>
      <c r="N39" s="126">
        <v>38</v>
      </c>
      <c r="O39" s="126">
        <v>24</v>
      </c>
      <c r="P39" s="126" t="s">
        <v>670</v>
      </c>
      <c r="T39" s="126"/>
      <c r="V39" s="1" t="s">
        <v>670</v>
      </c>
      <c r="W39" s="1">
        <v>157</v>
      </c>
      <c r="X39" s="1">
        <v>1</v>
      </c>
      <c r="Y39" s="1">
        <v>21</v>
      </c>
    </row>
    <row r="40" spans="1:25" ht="22.5" customHeight="1">
      <c r="A40" s="126" t="s">
        <v>650</v>
      </c>
      <c r="B40" s="139">
        <f>SUM(A3:A4)</f>
        <v>0.50707175925925929</v>
      </c>
      <c r="C40" s="126">
        <v>113</v>
      </c>
      <c r="D40" s="126">
        <v>9.3000000000000007</v>
      </c>
      <c r="E40" s="126">
        <v>16</v>
      </c>
      <c r="F40" s="126" t="s">
        <v>650</v>
      </c>
      <c r="G40" s="139">
        <f>SUM(A6:A8)</f>
        <v>0.83333333333333326</v>
      </c>
      <c r="H40" s="126">
        <v>151</v>
      </c>
      <c r="I40" s="126">
        <v>12</v>
      </c>
      <c r="J40" s="126">
        <v>21</v>
      </c>
      <c r="K40" s="126" t="s">
        <v>650</v>
      </c>
      <c r="L40" s="139">
        <f>SUM(A10:A12)</f>
        <v>0.76041666666666663</v>
      </c>
      <c r="M40" s="126">
        <v>142</v>
      </c>
      <c r="N40" s="126">
        <v>8</v>
      </c>
      <c r="O40" s="126">
        <v>20</v>
      </c>
      <c r="P40" s="126" t="s">
        <v>650</v>
      </c>
      <c r="T40" s="126"/>
      <c r="V40" s="1" t="s">
        <v>650</v>
      </c>
      <c r="W40" s="1">
        <v>173</v>
      </c>
      <c r="X40" s="1">
        <v>0</v>
      </c>
      <c r="Y40" s="1">
        <v>24</v>
      </c>
    </row>
    <row r="41" spans="1:25" ht="22.5" customHeight="1">
      <c r="A41" s="126" t="s">
        <v>651</v>
      </c>
      <c r="B41" s="139">
        <f>SUM(C3)</f>
        <v>0.36249999999999999</v>
      </c>
      <c r="C41" s="126">
        <v>80</v>
      </c>
      <c r="D41" s="126">
        <v>9.1999999999999993</v>
      </c>
      <c r="E41" s="126">
        <v>11</v>
      </c>
      <c r="F41" s="126" t="s">
        <v>651</v>
      </c>
      <c r="G41" s="139">
        <f>SUM(C6:C8)</f>
        <v>0.52916666666666667</v>
      </c>
      <c r="H41" s="126">
        <v>115</v>
      </c>
      <c r="I41" s="126">
        <v>21</v>
      </c>
      <c r="J41" s="126">
        <v>15</v>
      </c>
      <c r="K41" s="126" t="s">
        <v>651</v>
      </c>
      <c r="L41" s="139">
        <f>SUM(C10:C12)</f>
        <v>0.28749999999999998</v>
      </c>
      <c r="M41" s="126">
        <v>59</v>
      </c>
      <c r="N41" s="126">
        <v>10</v>
      </c>
      <c r="O41" s="126">
        <v>8</v>
      </c>
      <c r="P41" s="126" t="s">
        <v>651</v>
      </c>
      <c r="T41" s="126"/>
      <c r="V41" s="1" t="s">
        <v>651</v>
      </c>
      <c r="W41" s="1">
        <v>169</v>
      </c>
      <c r="X41" s="1">
        <v>2</v>
      </c>
      <c r="Y41" s="1">
        <v>23</v>
      </c>
    </row>
    <row r="42" spans="1:25" ht="22.5" customHeight="1">
      <c r="A42" s="126" t="s">
        <v>652</v>
      </c>
      <c r="B42" s="139"/>
      <c r="E42" s="126"/>
      <c r="F42" s="126" t="s">
        <v>652</v>
      </c>
      <c r="G42" s="139">
        <f>E4</f>
        <v>9.375E-2</v>
      </c>
      <c r="H42" s="126">
        <v>25</v>
      </c>
      <c r="I42" s="126">
        <v>8</v>
      </c>
      <c r="J42" s="126">
        <v>4</v>
      </c>
      <c r="K42" s="126" t="s">
        <v>652</v>
      </c>
      <c r="L42" s="139">
        <f>SUM(E10:E12)</f>
        <v>0</v>
      </c>
      <c r="P42" s="126" t="s">
        <v>652</v>
      </c>
      <c r="T42" s="126"/>
      <c r="V42" s="1" t="s">
        <v>652</v>
      </c>
      <c r="W42" s="1">
        <v>170</v>
      </c>
      <c r="X42" s="1">
        <v>3</v>
      </c>
      <c r="Y42" s="1">
        <v>24</v>
      </c>
    </row>
    <row r="43" spans="1:25" ht="22.5" customHeight="1">
      <c r="A43" s="126" t="s">
        <v>653</v>
      </c>
      <c r="B43" s="139">
        <f>SUM(G3:G4)</f>
        <v>0.7315625</v>
      </c>
      <c r="C43" s="126">
        <v>158</v>
      </c>
      <c r="D43" s="126">
        <v>27</v>
      </c>
      <c r="E43" s="126">
        <v>20</v>
      </c>
      <c r="F43" s="126" t="s">
        <v>653</v>
      </c>
      <c r="G43" s="139">
        <f>SUM(G6:G7)</f>
        <v>0.30347222222222225</v>
      </c>
      <c r="H43" s="126">
        <v>68</v>
      </c>
      <c r="I43" s="126">
        <v>15</v>
      </c>
      <c r="J43" s="126">
        <v>8</v>
      </c>
      <c r="K43" s="126" t="s">
        <v>653</v>
      </c>
      <c r="L43" s="139">
        <f>SUM(G10:G12)</f>
        <v>0.48888888888888887</v>
      </c>
      <c r="M43" s="126">
        <v>102</v>
      </c>
      <c r="N43" s="126">
        <v>21</v>
      </c>
      <c r="O43" s="126">
        <v>13</v>
      </c>
      <c r="P43" s="126" t="s">
        <v>653</v>
      </c>
      <c r="T43" s="126"/>
      <c r="V43" s="1" t="s">
        <v>653</v>
      </c>
      <c r="W43" s="1">
        <v>189</v>
      </c>
      <c r="X43" s="1">
        <v>7</v>
      </c>
      <c r="Y43" s="1">
        <v>24</v>
      </c>
    </row>
    <row r="44" spans="1:25" ht="22.5" customHeight="1">
      <c r="A44" s="126" t="s">
        <v>654</v>
      </c>
      <c r="B44" s="139"/>
      <c r="E44" s="126"/>
      <c r="F44" s="126" t="s">
        <v>654</v>
      </c>
      <c r="J44" s="126"/>
      <c r="K44" s="126" t="s">
        <v>654</v>
      </c>
      <c r="P44" s="126" t="s">
        <v>654</v>
      </c>
      <c r="T44" s="126"/>
      <c r="V44" s="1" t="s">
        <v>654</v>
      </c>
    </row>
    <row r="45" spans="1:25" ht="22.5" customHeight="1">
      <c r="A45" s="126" t="s">
        <v>655</v>
      </c>
      <c r="B45" s="139"/>
      <c r="E45" s="126"/>
      <c r="F45" s="126" t="s">
        <v>655</v>
      </c>
      <c r="G45" s="139">
        <f>K4</f>
        <v>0.30694444444444446</v>
      </c>
      <c r="H45" s="126">
        <v>57</v>
      </c>
      <c r="I45" s="126">
        <v>10</v>
      </c>
      <c r="J45" s="126">
        <v>9</v>
      </c>
      <c r="K45" s="126" t="s">
        <v>655</v>
      </c>
      <c r="L45" s="139">
        <f>SUM(K10:K12)</f>
        <v>0</v>
      </c>
      <c r="P45" s="126" t="s">
        <v>655</v>
      </c>
      <c r="T45" s="126"/>
      <c r="V45" s="1" t="s">
        <v>655</v>
      </c>
      <c r="W45" s="1">
        <v>138</v>
      </c>
      <c r="X45" s="1">
        <v>0</v>
      </c>
      <c r="Y45" s="1">
        <v>22</v>
      </c>
    </row>
    <row r="46" spans="1:25" ht="22.5" customHeight="1">
      <c r="A46" s="126" t="s">
        <v>659</v>
      </c>
      <c r="B46" s="139">
        <f>SUM(A20)</f>
        <v>0.22430555555555556</v>
      </c>
      <c r="C46" s="126">
        <v>52</v>
      </c>
      <c r="D46" s="126">
        <v>8</v>
      </c>
      <c r="E46" s="126">
        <v>6</v>
      </c>
      <c r="F46" s="126" t="s">
        <v>659</v>
      </c>
      <c r="G46" s="139">
        <f>SUM(A22:A24)</f>
        <v>0.73888888888888893</v>
      </c>
      <c r="H46" s="126">
        <v>186</v>
      </c>
      <c r="I46" s="126">
        <v>42</v>
      </c>
      <c r="J46" s="126">
        <v>23</v>
      </c>
      <c r="K46" s="126" t="s">
        <v>659</v>
      </c>
      <c r="L46" s="139">
        <f>SUM(A27:A29)</f>
        <v>0.27152777777777776</v>
      </c>
      <c r="M46" s="126">
        <v>63</v>
      </c>
      <c r="N46" s="126">
        <v>13</v>
      </c>
      <c r="O46" s="126">
        <v>8</v>
      </c>
      <c r="P46" s="126" t="s">
        <v>659</v>
      </c>
      <c r="T46" s="126"/>
      <c r="V46" s="1" t="s">
        <v>659</v>
      </c>
      <c r="W46" s="1">
        <v>188</v>
      </c>
      <c r="X46" s="1">
        <v>10</v>
      </c>
      <c r="Y46" s="1">
        <v>23</v>
      </c>
    </row>
    <row r="47" spans="1:25" ht="22.5" customHeight="1">
      <c r="A47" s="126" t="s">
        <v>660</v>
      </c>
      <c r="B47" s="139">
        <f>C20</f>
        <v>0.36249999999999999</v>
      </c>
      <c r="C47" s="126">
        <v>61</v>
      </c>
      <c r="D47" s="126">
        <v>4</v>
      </c>
      <c r="E47" s="126">
        <v>12</v>
      </c>
      <c r="F47" s="126" t="s">
        <v>660</v>
      </c>
      <c r="G47" s="139">
        <f>SUM(C22:C24)</f>
        <v>0.31874999999999998</v>
      </c>
      <c r="H47" s="126">
        <v>65</v>
      </c>
      <c r="I47" s="126">
        <v>4</v>
      </c>
      <c r="J47" s="126">
        <v>13</v>
      </c>
      <c r="K47" s="126" t="s">
        <v>660</v>
      </c>
      <c r="L47" s="139">
        <f>SUM(C27:C29)</f>
        <v>0.28055555555555556</v>
      </c>
      <c r="M47" s="126">
        <v>48</v>
      </c>
      <c r="N47" s="126">
        <v>4</v>
      </c>
      <c r="O47" s="126">
        <v>10</v>
      </c>
      <c r="P47" s="126" t="s">
        <v>660</v>
      </c>
      <c r="T47" s="126"/>
      <c r="V47" s="1" t="s">
        <v>660</v>
      </c>
      <c r="W47" s="1">
        <v>120</v>
      </c>
      <c r="X47" s="1">
        <v>0</v>
      </c>
      <c r="Y47" s="1">
        <v>24</v>
      </c>
    </row>
    <row r="48" spans="1:25" ht="22.5" customHeight="1">
      <c r="A48" s="126" t="s">
        <v>661</v>
      </c>
      <c r="B48" s="139"/>
      <c r="E48" s="126"/>
      <c r="F48" s="126" t="s">
        <v>661</v>
      </c>
      <c r="J48" s="126"/>
      <c r="K48" s="126" t="s">
        <v>661</v>
      </c>
      <c r="L48" s="139">
        <f>SUM(E27:E29)</f>
        <v>0</v>
      </c>
      <c r="P48" s="126" t="s">
        <v>661</v>
      </c>
      <c r="T48" s="126"/>
      <c r="V48" s="1" t="s">
        <v>661</v>
      </c>
      <c r="W48" s="1">
        <v>215</v>
      </c>
      <c r="X48" s="1">
        <v>26</v>
      </c>
      <c r="Y48" s="1">
        <v>29</v>
      </c>
    </row>
    <row r="49" spans="1:25" ht="22.5" customHeight="1">
      <c r="A49" s="126" t="s">
        <v>662</v>
      </c>
      <c r="B49" s="139">
        <f>SUM(G20:G21)</f>
        <v>0.55726851851851855</v>
      </c>
      <c r="C49" s="126">
        <v>158</v>
      </c>
      <c r="D49" s="126">
        <v>35</v>
      </c>
      <c r="E49" s="126">
        <v>20</v>
      </c>
      <c r="F49" s="126" t="s">
        <v>662</v>
      </c>
      <c r="G49" s="139">
        <f>SUM(G23:G24)</f>
        <v>0.34375</v>
      </c>
      <c r="H49" s="126">
        <v>95</v>
      </c>
      <c r="I49" s="126">
        <v>23</v>
      </c>
      <c r="J49" s="126">
        <v>12</v>
      </c>
      <c r="K49" s="126" t="s">
        <v>662</v>
      </c>
      <c r="L49" s="139">
        <f>SUM(G27:G29)</f>
        <v>0.47291666666666665</v>
      </c>
      <c r="M49" s="126">
        <v>118</v>
      </c>
      <c r="N49" s="126">
        <v>26</v>
      </c>
      <c r="O49" s="126">
        <v>15</v>
      </c>
      <c r="P49" s="126" t="s">
        <v>662</v>
      </c>
      <c r="T49" s="126"/>
      <c r="V49" s="1" t="s">
        <v>662</v>
      </c>
      <c r="W49" s="1">
        <v>180</v>
      </c>
      <c r="X49" s="1">
        <v>3</v>
      </c>
      <c r="Y49" s="1">
        <v>22</v>
      </c>
    </row>
    <row r="50" spans="1:25" ht="22.5" customHeight="1">
      <c r="A50" s="126" t="s">
        <v>663</v>
      </c>
      <c r="B50" s="139">
        <f>SUM(I20)</f>
        <v>0.36877314814814816</v>
      </c>
      <c r="C50" s="126">
        <v>84</v>
      </c>
      <c r="D50" s="126">
        <v>16</v>
      </c>
      <c r="E50" s="126">
        <v>14</v>
      </c>
      <c r="F50" s="126" t="s">
        <v>663</v>
      </c>
      <c r="G50" s="139">
        <f>I22</f>
        <v>0.20624999999999999</v>
      </c>
      <c r="H50" s="126">
        <v>34</v>
      </c>
      <c r="I50" s="126">
        <v>34</v>
      </c>
      <c r="J50" s="126">
        <v>6</v>
      </c>
      <c r="K50" s="126" t="s">
        <v>663</v>
      </c>
      <c r="L50" s="139">
        <f>SUM(I27:I29)</f>
        <v>0.47986111111111107</v>
      </c>
      <c r="M50" s="126">
        <v>96</v>
      </c>
      <c r="N50" s="126">
        <v>14</v>
      </c>
      <c r="O50" s="126">
        <v>17</v>
      </c>
      <c r="P50" s="126" t="s">
        <v>663</v>
      </c>
      <c r="T50" s="126"/>
      <c r="V50" s="1" t="s">
        <v>663</v>
      </c>
      <c r="W50" s="1">
        <v>131</v>
      </c>
      <c r="X50" s="1">
        <v>3</v>
      </c>
      <c r="Y50" s="1">
        <v>23</v>
      </c>
    </row>
    <row r="51" spans="1:25" ht="22.5" customHeight="1">
      <c r="A51" s="126" t="s">
        <v>664</v>
      </c>
      <c r="B51" s="139"/>
      <c r="E51" s="126"/>
      <c r="F51" s="126" t="s">
        <v>664</v>
      </c>
      <c r="J51" s="126"/>
      <c r="K51" s="126" t="s">
        <v>664</v>
      </c>
      <c r="O51" s="126"/>
      <c r="P51" s="126" t="s">
        <v>664</v>
      </c>
      <c r="T51" s="126"/>
      <c r="V51" s="1" t="s">
        <v>664</v>
      </c>
      <c r="W51" s="1">
        <v>173</v>
      </c>
      <c r="X51" s="1">
        <v>4</v>
      </c>
      <c r="Y51" s="1">
        <v>24</v>
      </c>
    </row>
    <row r="52" spans="1:25" ht="22.5" customHeight="1">
      <c r="A52" s="126" t="s">
        <v>671</v>
      </c>
      <c r="B52" s="139"/>
      <c r="C52" s="126">
        <f t="shared" ref="C52:E52" si="0">SUM(C39:C51)</f>
        <v>848</v>
      </c>
      <c r="D52" s="126">
        <f t="shared" si="0"/>
        <v>119.5</v>
      </c>
      <c r="E52" s="126">
        <f t="shared" si="0"/>
        <v>117.93333333333334</v>
      </c>
      <c r="F52" s="126" t="s">
        <v>671</v>
      </c>
      <c r="G52" s="126"/>
      <c r="H52" s="126">
        <f t="shared" ref="H52:J52" si="1">SUM(H39:H51)</f>
        <v>918</v>
      </c>
      <c r="I52" s="126">
        <f t="shared" si="1"/>
        <v>202</v>
      </c>
      <c r="J52" s="126">
        <f t="shared" si="1"/>
        <v>127.26666666666667</v>
      </c>
      <c r="K52" s="126" t="s">
        <v>671</v>
      </c>
      <c r="L52" s="126"/>
      <c r="M52" s="126">
        <f t="shared" ref="M52:O52" si="2">SUM(M39:M51)</f>
        <v>809</v>
      </c>
      <c r="N52" s="126">
        <f t="shared" si="2"/>
        <v>134</v>
      </c>
      <c r="O52" s="126">
        <f t="shared" si="2"/>
        <v>115</v>
      </c>
      <c r="P52" s="126" t="s">
        <v>671</v>
      </c>
      <c r="Q52" s="126"/>
      <c r="R52" s="126">
        <f t="shared" ref="R52:S52" si="3">SUM(R39:R51)</f>
        <v>0</v>
      </c>
      <c r="S52" s="126">
        <f t="shared" si="3"/>
        <v>0</v>
      </c>
      <c r="T52" s="126"/>
    </row>
    <row r="55" spans="1:25" ht="22.5" customHeight="1">
      <c r="A55" s="125" t="s">
        <v>16</v>
      </c>
      <c r="B55" s="125" t="s">
        <v>608</v>
      </c>
      <c r="C55" s="125" t="s">
        <v>105</v>
      </c>
      <c r="D55" s="125" t="s">
        <v>668</v>
      </c>
      <c r="E55" s="125" t="s">
        <v>669</v>
      </c>
      <c r="G55" s="125" t="s">
        <v>16</v>
      </c>
      <c r="H55" s="125" t="s">
        <v>608</v>
      </c>
      <c r="I55" s="125" t="s">
        <v>105</v>
      </c>
      <c r="J55" s="125" t="s">
        <v>668</v>
      </c>
      <c r="K55" s="125" t="s">
        <v>669</v>
      </c>
    </row>
    <row r="56" spans="1:25" ht="22.5" customHeight="1">
      <c r="A56" s="126" t="s">
        <v>670</v>
      </c>
      <c r="B56" s="139">
        <f t="shared" ref="B56:C56" si="4">B39+G39</f>
        <v>1.0870601851851851</v>
      </c>
      <c r="C56" s="126">
        <f t="shared" si="4"/>
        <v>264</v>
      </c>
      <c r="D56" s="126">
        <f t="shared" ref="D56:D69" si="5">D39+I39+X39</f>
        <v>45</v>
      </c>
      <c r="E56" s="126">
        <f t="shared" ref="E56:E68" si="6">SUM(E39,J39)+Y39</f>
        <v>56.2</v>
      </c>
      <c r="G56" s="126" t="s">
        <v>670</v>
      </c>
      <c r="H56" s="139">
        <f t="shared" ref="H56:H69" si="7">SUM(B39,G39,L39,Q39)</f>
        <v>1.8474768518518516</v>
      </c>
      <c r="I56" s="126">
        <f t="shared" ref="I56:I58" si="8">SUM(H39,M39,R39,C39)</f>
        <v>445</v>
      </c>
      <c r="J56" s="126">
        <f t="shared" ref="J56:K56" si="9">SUM(D39,I39,N39,S39)</f>
        <v>82</v>
      </c>
      <c r="K56" s="126">
        <f t="shared" si="9"/>
        <v>59.2</v>
      </c>
    </row>
    <row r="57" spans="1:25" ht="22.5" customHeight="1">
      <c r="A57" s="126" t="s">
        <v>650</v>
      </c>
      <c r="B57" s="139">
        <f t="shared" ref="B57:C57" si="10">B40+G40</f>
        <v>1.3404050925925926</v>
      </c>
      <c r="C57" s="126">
        <f t="shared" si="10"/>
        <v>264</v>
      </c>
      <c r="D57" s="126">
        <f t="shared" si="5"/>
        <v>21.3</v>
      </c>
      <c r="E57" s="126">
        <f t="shared" si="6"/>
        <v>61</v>
      </c>
      <c r="G57" s="126" t="s">
        <v>650</v>
      </c>
      <c r="H57" s="139">
        <f t="shared" si="7"/>
        <v>2.1008217592592593</v>
      </c>
      <c r="I57" s="126">
        <f t="shared" si="8"/>
        <v>406</v>
      </c>
      <c r="J57" s="126">
        <f t="shared" ref="J57:K57" si="11">SUM(D40,I40,N40,S40)</f>
        <v>29.3</v>
      </c>
      <c r="K57" s="126">
        <f t="shared" si="11"/>
        <v>57</v>
      </c>
    </row>
    <row r="58" spans="1:25" ht="22.5" customHeight="1">
      <c r="A58" s="126" t="s">
        <v>651</v>
      </c>
      <c r="B58" s="139">
        <f t="shared" ref="B58:C58" si="12">B41+G41</f>
        <v>0.89166666666666661</v>
      </c>
      <c r="C58" s="126">
        <f t="shared" si="12"/>
        <v>195</v>
      </c>
      <c r="D58" s="126">
        <f t="shared" si="5"/>
        <v>32.200000000000003</v>
      </c>
      <c r="E58" s="126">
        <f t="shared" si="6"/>
        <v>49</v>
      </c>
      <c r="G58" s="126" t="s">
        <v>651</v>
      </c>
      <c r="H58" s="139">
        <f t="shared" si="7"/>
        <v>1.1791666666666667</v>
      </c>
      <c r="I58" s="126">
        <f t="shared" si="8"/>
        <v>254</v>
      </c>
      <c r="J58" s="126">
        <f t="shared" ref="J58:K58" si="13">SUM(D41,I41,N41,S41)</f>
        <v>40.200000000000003</v>
      </c>
      <c r="K58" s="126">
        <f t="shared" si="13"/>
        <v>34</v>
      </c>
    </row>
    <row r="59" spans="1:25" ht="22.5" customHeight="1">
      <c r="A59" s="126" t="s">
        <v>652</v>
      </c>
      <c r="B59" s="139">
        <f t="shared" ref="B59:C59" si="14">B42+G42</f>
        <v>9.375E-2</v>
      </c>
      <c r="C59" s="126">
        <f t="shared" si="14"/>
        <v>25</v>
      </c>
      <c r="D59" s="126">
        <f t="shared" si="5"/>
        <v>11</v>
      </c>
      <c r="E59" s="126">
        <f t="shared" si="6"/>
        <v>28</v>
      </c>
      <c r="G59" s="126" t="s">
        <v>652</v>
      </c>
      <c r="H59" s="139">
        <f t="shared" si="7"/>
        <v>9.375E-2</v>
      </c>
      <c r="I59" s="126">
        <f>SUM(H42,M43,R42,C42)</f>
        <v>127</v>
      </c>
      <c r="J59" s="126">
        <f t="shared" ref="J59:J69" si="15">SUM(D42,I42,N42,S42)</f>
        <v>8</v>
      </c>
      <c r="K59" s="126">
        <f>SUM(E42,J42,O43,T42)</f>
        <v>17</v>
      </c>
    </row>
    <row r="60" spans="1:25" ht="22.5" customHeight="1">
      <c r="A60" s="126" t="s">
        <v>653</v>
      </c>
      <c r="B60" s="139">
        <f t="shared" ref="B60:C60" si="16">B43+G43</f>
        <v>1.0350347222222223</v>
      </c>
      <c r="C60" s="126">
        <f t="shared" si="16"/>
        <v>226</v>
      </c>
      <c r="D60" s="126">
        <f t="shared" si="5"/>
        <v>49</v>
      </c>
      <c r="E60" s="126">
        <f t="shared" si="6"/>
        <v>52</v>
      </c>
      <c r="G60" s="126" t="s">
        <v>653</v>
      </c>
      <c r="H60" s="139">
        <f t="shared" si="7"/>
        <v>1.5239236111111112</v>
      </c>
      <c r="I60" s="126">
        <f t="shared" ref="I60:I61" si="17">SUM(H43,M46,R43,C43)</f>
        <v>289</v>
      </c>
      <c r="J60" s="126">
        <f t="shared" si="15"/>
        <v>63</v>
      </c>
      <c r="K60" s="126">
        <f t="shared" ref="K60:K61" si="18">SUM(E43,J43,O46,T43)</f>
        <v>36</v>
      </c>
    </row>
    <row r="61" spans="1:25" ht="22.5" customHeight="1">
      <c r="A61" s="126" t="s">
        <v>654</v>
      </c>
      <c r="B61" s="139">
        <f t="shared" ref="B61:C61" si="19">B44+G44</f>
        <v>0</v>
      </c>
      <c r="C61" s="126">
        <f t="shared" si="19"/>
        <v>0</v>
      </c>
      <c r="D61" s="126">
        <f t="shared" si="5"/>
        <v>0</v>
      </c>
      <c r="E61" s="126">
        <f t="shared" si="6"/>
        <v>0</v>
      </c>
      <c r="G61" s="126" t="s">
        <v>654</v>
      </c>
      <c r="H61" s="139">
        <f t="shared" si="7"/>
        <v>0</v>
      </c>
      <c r="I61" s="126">
        <f t="shared" si="17"/>
        <v>48</v>
      </c>
      <c r="J61" s="126">
        <f t="shared" si="15"/>
        <v>0</v>
      </c>
      <c r="K61" s="126">
        <f t="shared" si="18"/>
        <v>10</v>
      </c>
    </row>
    <row r="62" spans="1:25" ht="22.5" customHeight="1">
      <c r="A62" s="126" t="s">
        <v>655</v>
      </c>
      <c r="B62" s="139">
        <f t="shared" ref="B62:C62" si="20">B45+G45</f>
        <v>0.30694444444444446</v>
      </c>
      <c r="C62" s="126">
        <f t="shared" si="20"/>
        <v>57</v>
      </c>
      <c r="D62" s="126">
        <f t="shared" si="5"/>
        <v>10</v>
      </c>
      <c r="E62" s="126">
        <f t="shared" si="6"/>
        <v>31</v>
      </c>
      <c r="G62" s="126" t="s">
        <v>655</v>
      </c>
      <c r="H62" s="139">
        <f t="shared" si="7"/>
        <v>0.30694444444444446</v>
      </c>
      <c r="I62" s="126">
        <f t="shared" ref="I62:I63" si="21">SUM(H45,M49,R45,C45)</f>
        <v>175</v>
      </c>
      <c r="J62" s="126">
        <f t="shared" si="15"/>
        <v>10</v>
      </c>
      <c r="K62" s="126">
        <f t="shared" ref="K62:K63" si="22">SUM(E45,J45,O49,T45)</f>
        <v>24</v>
      </c>
    </row>
    <row r="63" spans="1:25" ht="22.5" customHeight="1">
      <c r="A63" s="126" t="s">
        <v>659</v>
      </c>
      <c r="B63" s="139">
        <f t="shared" ref="B63:C63" si="23">B46+G46</f>
        <v>0.96319444444444446</v>
      </c>
      <c r="C63" s="126">
        <f t="shared" si="23"/>
        <v>238</v>
      </c>
      <c r="D63" s="126">
        <f t="shared" si="5"/>
        <v>60</v>
      </c>
      <c r="E63" s="126">
        <f t="shared" si="6"/>
        <v>52</v>
      </c>
      <c r="G63" s="126" t="s">
        <v>659</v>
      </c>
      <c r="H63" s="139">
        <f t="shared" si="7"/>
        <v>1.2347222222222223</v>
      </c>
      <c r="I63" s="126">
        <f t="shared" si="21"/>
        <v>334</v>
      </c>
      <c r="J63" s="126">
        <f t="shared" si="15"/>
        <v>63</v>
      </c>
      <c r="K63" s="126">
        <f t="shared" si="22"/>
        <v>46</v>
      </c>
    </row>
    <row r="64" spans="1:25" ht="22.5" customHeight="1">
      <c r="A64" s="126" t="s">
        <v>660</v>
      </c>
      <c r="B64" s="139">
        <f t="shared" ref="B64:C64" si="24">B47+G47</f>
        <v>0.68124999999999991</v>
      </c>
      <c r="C64" s="126">
        <f t="shared" si="24"/>
        <v>126</v>
      </c>
      <c r="D64" s="126">
        <f t="shared" si="5"/>
        <v>8</v>
      </c>
      <c r="E64" s="126">
        <f t="shared" si="6"/>
        <v>49</v>
      </c>
      <c r="G64" s="126" t="s">
        <v>660</v>
      </c>
      <c r="H64" s="139">
        <f t="shared" si="7"/>
        <v>0.96180555555555547</v>
      </c>
      <c r="I64" s="126" t="e">
        <f t="shared" ref="I64:I67" si="25">SUM(H47,#REF!,R47,C47)</f>
        <v>#REF!</v>
      </c>
      <c r="J64" s="126">
        <f t="shared" si="15"/>
        <v>12</v>
      </c>
      <c r="K64" s="126" t="e">
        <f t="shared" ref="K64:K67" si="26">SUM(E47,J47,#REF!,T47)</f>
        <v>#REF!</v>
      </c>
    </row>
    <row r="65" spans="1:11" ht="22.5" customHeight="1">
      <c r="A65" s="126" t="s">
        <v>661</v>
      </c>
      <c r="B65" s="139">
        <f t="shared" ref="B65:C65" si="27">B48+G48</f>
        <v>0</v>
      </c>
      <c r="C65" s="126">
        <f t="shared" si="27"/>
        <v>0</v>
      </c>
      <c r="D65" s="126">
        <f t="shared" si="5"/>
        <v>26</v>
      </c>
      <c r="E65" s="126">
        <f t="shared" si="6"/>
        <v>29</v>
      </c>
      <c r="G65" s="126" t="s">
        <v>661</v>
      </c>
      <c r="H65" s="139">
        <f t="shared" si="7"/>
        <v>0</v>
      </c>
      <c r="I65" s="126" t="e">
        <f t="shared" si="25"/>
        <v>#REF!</v>
      </c>
      <c r="J65" s="126">
        <f t="shared" si="15"/>
        <v>0</v>
      </c>
      <c r="K65" s="126" t="e">
        <f t="shared" si="26"/>
        <v>#REF!</v>
      </c>
    </row>
    <row r="66" spans="1:11" ht="22.5" customHeight="1">
      <c r="A66" s="126" t="s">
        <v>662</v>
      </c>
      <c r="B66" s="139">
        <f t="shared" ref="B66:C66" si="28">B49+G49</f>
        <v>0.90101851851851855</v>
      </c>
      <c r="C66" s="126">
        <f t="shared" si="28"/>
        <v>253</v>
      </c>
      <c r="D66" s="126">
        <f t="shared" si="5"/>
        <v>61</v>
      </c>
      <c r="E66" s="126">
        <f t="shared" si="6"/>
        <v>54</v>
      </c>
      <c r="G66" s="126" t="s">
        <v>662</v>
      </c>
      <c r="H66" s="139">
        <f t="shared" si="7"/>
        <v>1.3739351851851853</v>
      </c>
      <c r="I66" s="126" t="e">
        <f t="shared" si="25"/>
        <v>#REF!</v>
      </c>
      <c r="J66" s="126">
        <f t="shared" si="15"/>
        <v>84</v>
      </c>
      <c r="K66" s="126" t="e">
        <f t="shared" si="26"/>
        <v>#REF!</v>
      </c>
    </row>
    <row r="67" spans="1:11" ht="22.5" customHeight="1">
      <c r="A67" s="126" t="s">
        <v>663</v>
      </c>
      <c r="B67" s="139">
        <f t="shared" ref="B67:C67" si="29">B50+G50</f>
        <v>0.57502314814814814</v>
      </c>
      <c r="C67" s="126">
        <f t="shared" si="29"/>
        <v>118</v>
      </c>
      <c r="D67" s="126">
        <f t="shared" si="5"/>
        <v>53</v>
      </c>
      <c r="E67" s="126">
        <f t="shared" si="6"/>
        <v>43</v>
      </c>
      <c r="G67" s="126" t="s">
        <v>663</v>
      </c>
      <c r="H67" s="139">
        <f t="shared" si="7"/>
        <v>1.0548842592592593</v>
      </c>
      <c r="I67" s="126" t="e">
        <f t="shared" si="25"/>
        <v>#REF!</v>
      </c>
      <c r="J67" s="126">
        <f t="shared" si="15"/>
        <v>64</v>
      </c>
      <c r="K67" s="126" t="e">
        <f t="shared" si="26"/>
        <v>#REF!</v>
      </c>
    </row>
    <row r="68" spans="1:11" ht="22.5" customHeight="1">
      <c r="A68" s="126" t="s">
        <v>664</v>
      </c>
      <c r="B68" s="139">
        <f t="shared" ref="B68:C68" si="30">B51+G51</f>
        <v>0</v>
      </c>
      <c r="C68" s="126">
        <f t="shared" si="30"/>
        <v>0</v>
      </c>
      <c r="D68" s="126">
        <f t="shared" si="5"/>
        <v>4</v>
      </c>
      <c r="E68" s="126">
        <f t="shared" si="6"/>
        <v>24</v>
      </c>
      <c r="G68" s="126" t="s">
        <v>664</v>
      </c>
      <c r="H68" s="139">
        <f t="shared" si="7"/>
        <v>0</v>
      </c>
      <c r="I68" s="126">
        <f t="shared" ref="I68:I69" si="31">SUM(H51,M51,R51,C51)</f>
        <v>0</v>
      </c>
      <c r="J68" s="126">
        <f t="shared" si="15"/>
        <v>0</v>
      </c>
      <c r="K68" s="126">
        <f t="shared" ref="K68:K69" si="32">SUM(E51,J51,O51,T51)</f>
        <v>0</v>
      </c>
    </row>
    <row r="69" spans="1:11" ht="22.5" customHeight="1">
      <c r="A69" s="126" t="s">
        <v>671</v>
      </c>
      <c r="B69" s="139">
        <f t="shared" ref="B69:C69" si="33">B52+G52</f>
        <v>0</v>
      </c>
      <c r="C69" s="126">
        <f t="shared" si="33"/>
        <v>1766</v>
      </c>
      <c r="D69" s="126">
        <f t="shared" si="5"/>
        <v>321.5</v>
      </c>
      <c r="E69" s="126">
        <f>SUM(E52,J52)+X52</f>
        <v>245.2</v>
      </c>
      <c r="G69" s="126" t="s">
        <v>671</v>
      </c>
      <c r="H69" s="139">
        <f t="shared" si="7"/>
        <v>0</v>
      </c>
      <c r="I69" s="126">
        <f t="shared" si="31"/>
        <v>2575</v>
      </c>
      <c r="J69" s="126">
        <f t="shared" si="15"/>
        <v>455.5</v>
      </c>
      <c r="K69" s="126">
        <f t="shared" si="32"/>
        <v>360.2</v>
      </c>
    </row>
  </sheetData>
  <mergeCells count="12">
    <mergeCell ref="K1:L1"/>
    <mergeCell ref="A18:B18"/>
    <mergeCell ref="K18:L18"/>
    <mergeCell ref="C18:D18"/>
    <mergeCell ref="E18:F18"/>
    <mergeCell ref="G18:H18"/>
    <mergeCell ref="I18:J18"/>
    <mergeCell ref="A1:B1"/>
    <mergeCell ref="C1:D1"/>
    <mergeCell ref="E1:F1"/>
    <mergeCell ref="G1:H1"/>
    <mergeCell ref="I1:J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FF00"/>
    <outlinePr summaryBelow="0" summaryRight="0"/>
  </sheetPr>
  <dimension ref="A1:Z5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27" t="s">
        <v>670</v>
      </c>
      <c r="C1" s="127" t="s">
        <v>650</v>
      </c>
      <c r="D1" s="127" t="s">
        <v>651</v>
      </c>
      <c r="E1" s="127" t="s">
        <v>652</v>
      </c>
      <c r="F1" s="127" t="s">
        <v>653</v>
      </c>
      <c r="G1" s="127" t="s">
        <v>654</v>
      </c>
      <c r="H1" s="141" t="s">
        <v>655</v>
      </c>
      <c r="I1" s="127" t="s">
        <v>659</v>
      </c>
      <c r="J1" s="127" t="s">
        <v>660</v>
      </c>
      <c r="K1" s="127" t="s">
        <v>661</v>
      </c>
      <c r="L1" s="127" t="s">
        <v>662</v>
      </c>
      <c r="M1" s="142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3">
      <c r="A3" s="248">
        <v>1</v>
      </c>
      <c r="B3" s="128"/>
      <c r="C3" s="129">
        <v>0.31180555555555556</v>
      </c>
      <c r="D3" s="129">
        <v>0.31180555555555556</v>
      </c>
      <c r="E3" s="128"/>
      <c r="F3" s="144">
        <v>0.31180555555555556</v>
      </c>
      <c r="G3" s="144">
        <v>0.19652777777777777</v>
      </c>
      <c r="H3" s="129">
        <v>0.15138888888888888</v>
      </c>
      <c r="I3" s="129">
        <v>0.40416666666666667</v>
      </c>
      <c r="J3" s="129">
        <v>0.30486111111111114</v>
      </c>
      <c r="K3" s="128"/>
      <c r="L3" s="145">
        <v>0.31180555555555556</v>
      </c>
      <c r="M3" s="145">
        <v>0.31180555555555556</v>
      </c>
      <c r="N3" s="145"/>
    </row>
    <row r="4" spans="1:14" ht="13">
      <c r="A4" s="249"/>
      <c r="B4" s="128"/>
      <c r="C4" s="129"/>
      <c r="D4" s="129">
        <v>0.31319444444444444</v>
      </c>
      <c r="E4" s="128"/>
      <c r="F4" s="146">
        <v>0.10833333333333334</v>
      </c>
      <c r="G4" s="146"/>
      <c r="I4" s="129"/>
      <c r="J4" s="129"/>
      <c r="K4" s="128"/>
      <c r="L4" s="146">
        <v>0.31527777777777777</v>
      </c>
      <c r="M4" s="146">
        <v>5.486111111111111E-2</v>
      </c>
      <c r="N4" s="146"/>
    </row>
    <row r="5" spans="1:14" ht="13">
      <c r="A5" s="249"/>
      <c r="B5" s="129"/>
      <c r="C5" s="129"/>
      <c r="D5" s="129"/>
      <c r="E5" s="129"/>
      <c r="F5" s="146">
        <v>0.19930555555555557</v>
      </c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3">
      <c r="A7" s="248">
        <v>2</v>
      </c>
      <c r="B7" s="135"/>
      <c r="C7" s="135">
        <v>0.2048611111111111</v>
      </c>
      <c r="D7" s="135">
        <v>0.1673611111111111</v>
      </c>
      <c r="E7" s="135">
        <v>0.2048611111111111</v>
      </c>
      <c r="F7" s="144">
        <v>0.37291666666666667</v>
      </c>
      <c r="G7" s="144">
        <v>0.15694444444444444</v>
      </c>
      <c r="H7" s="135">
        <v>0.1423611111111111</v>
      </c>
      <c r="I7" s="135">
        <v>0.1673611111111111</v>
      </c>
      <c r="J7" s="135">
        <v>0.18194444444444444</v>
      </c>
      <c r="K7" s="135"/>
      <c r="L7" s="144">
        <v>0.37291666666666667</v>
      </c>
      <c r="M7" s="144">
        <v>0.19027777777777777</v>
      </c>
      <c r="N7" s="144"/>
    </row>
    <row r="8" spans="1:14" ht="13">
      <c r="A8" s="249"/>
      <c r="B8" s="129"/>
      <c r="C8" s="129">
        <v>0.39930555555555558</v>
      </c>
      <c r="D8" s="129">
        <v>0.39930555555555558</v>
      </c>
      <c r="E8" s="129">
        <v>0.1423611111111111</v>
      </c>
      <c r="F8" s="146">
        <v>0.39930555555555558</v>
      </c>
      <c r="G8" s="146"/>
      <c r="H8" s="129"/>
      <c r="I8" s="129"/>
      <c r="J8" s="129"/>
      <c r="K8" s="129"/>
      <c r="L8" s="146">
        <v>9.930555555555555E-2</v>
      </c>
      <c r="M8" s="146">
        <v>0.25694444444444442</v>
      </c>
      <c r="N8" s="146"/>
    </row>
    <row r="9" spans="1:14" ht="13">
      <c r="A9" s="249"/>
      <c r="B9" s="129"/>
      <c r="C9" s="129"/>
      <c r="D9" s="129"/>
      <c r="E9" s="129"/>
      <c r="F9" s="146"/>
      <c r="G9" s="146"/>
      <c r="H9" s="129"/>
      <c r="I9" s="129"/>
      <c r="J9" s="129"/>
      <c r="K9" s="129"/>
      <c r="L9" s="146"/>
      <c r="M9" s="146"/>
      <c r="N9" s="146"/>
    </row>
    <row r="10" spans="1:14" ht="13">
      <c r="A10" s="250"/>
      <c r="B10" s="147"/>
      <c r="C10" s="147"/>
      <c r="D10" s="147"/>
      <c r="E10" s="147"/>
      <c r="F10" s="148"/>
      <c r="G10" s="148"/>
      <c r="H10" s="147"/>
      <c r="I10" s="147"/>
      <c r="J10" s="147"/>
      <c r="K10" s="147"/>
      <c r="L10" s="148"/>
      <c r="M10" s="148"/>
      <c r="N10" s="148"/>
    </row>
    <row r="11" spans="1:14" ht="13">
      <c r="A11" s="248">
        <v>3</v>
      </c>
      <c r="B11" s="135">
        <v>0.1125</v>
      </c>
      <c r="C11" s="135">
        <v>0.42430555555555555</v>
      </c>
      <c r="D11" s="135">
        <v>0.1423611111111111</v>
      </c>
      <c r="E11" s="135"/>
      <c r="F11" s="144">
        <v>0.42430555555555555</v>
      </c>
      <c r="G11" s="144"/>
      <c r="H11" s="135"/>
      <c r="I11" s="135">
        <v>0.28125</v>
      </c>
      <c r="J11" s="135">
        <v>0.10347222222222222</v>
      </c>
      <c r="K11" s="135">
        <v>0.10347222222222222</v>
      </c>
      <c r="L11" s="144">
        <v>0.31111111111111112</v>
      </c>
      <c r="M11" s="144">
        <v>0.42430555555555555</v>
      </c>
      <c r="N11" s="144"/>
    </row>
    <row r="12" spans="1:14" ht="13">
      <c r="A12" s="249"/>
      <c r="B12" s="129">
        <v>0.10347222222222222</v>
      </c>
      <c r="C12" s="129">
        <v>0.10347222222222222</v>
      </c>
      <c r="D12" s="129"/>
      <c r="E12" s="129"/>
      <c r="F12" s="146">
        <v>8.7499999999999994E-2</v>
      </c>
      <c r="G12" s="146"/>
      <c r="H12" s="129"/>
      <c r="I12" s="129">
        <v>8.7499999999999994E-2</v>
      </c>
      <c r="J12" s="129">
        <v>8.7499999999999994E-2</v>
      </c>
      <c r="K12" s="129"/>
      <c r="L12" s="146"/>
      <c r="M12" s="146"/>
      <c r="N12" s="146"/>
    </row>
    <row r="13" spans="1:14" ht="13">
      <c r="A13" s="249"/>
      <c r="B13" s="129">
        <v>8.7499999999999994E-2</v>
      </c>
      <c r="C13" s="129">
        <v>8.7499999999999994E-2</v>
      </c>
      <c r="D13" s="129"/>
      <c r="E13" s="129"/>
      <c r="F13" s="146">
        <v>0.42430555555555555</v>
      </c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48">
        <v>4</v>
      </c>
      <c r="B15" s="135">
        <v>0.28263888888888888</v>
      </c>
      <c r="C15" s="135">
        <v>0.43402777777777779</v>
      </c>
      <c r="D15" s="131">
        <v>0.15069444444444444</v>
      </c>
      <c r="E15" s="135"/>
      <c r="F15" s="135">
        <v>0.33750000000000002</v>
      </c>
      <c r="G15" s="144"/>
      <c r="H15" s="135">
        <v>0.32013888888888886</v>
      </c>
      <c r="I15" s="149">
        <v>0.43402777777777779</v>
      </c>
      <c r="J15" s="135">
        <v>0.24444444444444444</v>
      </c>
      <c r="K15" s="135"/>
      <c r="L15" s="144"/>
      <c r="M15" s="144">
        <v>0.18888888888888888</v>
      </c>
      <c r="N15" s="144"/>
    </row>
    <row r="16" spans="1:14" ht="13">
      <c r="A16" s="249"/>
      <c r="B16" s="135">
        <v>0.32013888888888886</v>
      </c>
      <c r="C16" s="129">
        <v>0.32013888888888886</v>
      </c>
      <c r="D16" s="129">
        <v>9.583333333333334E-2</v>
      </c>
      <c r="E16" s="129"/>
      <c r="F16" s="146">
        <v>7.7777777777777779E-2</v>
      </c>
      <c r="G16" s="146"/>
      <c r="H16" s="129">
        <v>3.9583333333333331E-2</v>
      </c>
      <c r="I16" s="129">
        <v>0.24236111111111111</v>
      </c>
      <c r="J16" s="129"/>
      <c r="K16" s="129"/>
      <c r="L16" s="146"/>
      <c r="M16" s="146"/>
      <c r="N16" s="146"/>
    </row>
    <row r="17" spans="1:26" ht="13">
      <c r="A17" s="249"/>
      <c r="B17" s="129">
        <v>3.9583333333333331E-2</v>
      </c>
      <c r="C17" s="129">
        <v>3.9583333333333331E-2</v>
      </c>
      <c r="D17" s="129">
        <v>0.32013888888888886</v>
      </c>
      <c r="E17" s="129"/>
      <c r="F17" s="129">
        <v>4.3749999999999997E-2</v>
      </c>
      <c r="G17" s="146"/>
      <c r="H17" s="129">
        <v>4.3749999999999997E-2</v>
      </c>
      <c r="I17" s="129"/>
      <c r="J17" s="129"/>
      <c r="K17" s="129"/>
      <c r="L17" s="146"/>
      <c r="M17" s="146"/>
      <c r="N17" s="146"/>
    </row>
    <row r="18" spans="1:26" ht="13">
      <c r="A18" s="249"/>
      <c r="B18" s="129">
        <v>4.3749999999999997E-2</v>
      </c>
      <c r="C18" s="129">
        <v>2.7083333333333334E-2</v>
      </c>
      <c r="D18" s="129">
        <v>3.9583333333333331E-2</v>
      </c>
      <c r="E18" s="129"/>
      <c r="F18" s="129">
        <v>3.9583333333333331E-2</v>
      </c>
      <c r="G18" s="146"/>
      <c r="H18" s="129">
        <v>3.9583333333333331E-2</v>
      </c>
      <c r="I18" s="129"/>
      <c r="J18" s="129"/>
      <c r="K18" s="129"/>
      <c r="L18" s="146"/>
      <c r="M18" s="146"/>
      <c r="N18" s="146"/>
    </row>
    <row r="19" spans="1:26" ht="13">
      <c r="A19" s="249"/>
      <c r="B19" s="129">
        <v>3.9583333333333331E-2</v>
      </c>
      <c r="C19" s="129">
        <v>4.3749999999999997E-2</v>
      </c>
      <c r="D19" s="150">
        <v>4.3749999999999997E-2</v>
      </c>
      <c r="E19" s="129"/>
      <c r="F19" s="129">
        <v>2.7083333333333334E-2</v>
      </c>
      <c r="G19" s="146"/>
      <c r="H19" s="129">
        <v>2.7083333333333334E-2</v>
      </c>
      <c r="I19" s="129"/>
      <c r="J19" s="129"/>
      <c r="K19" s="129"/>
      <c r="L19" s="146"/>
      <c r="M19" s="146"/>
      <c r="N19" s="146"/>
    </row>
    <row r="20" spans="1:26" ht="13">
      <c r="A20" s="249"/>
      <c r="B20" s="129">
        <v>2.7083333333333334E-2</v>
      </c>
      <c r="C20" s="129"/>
      <c r="D20" s="150">
        <v>3.9583333333333331E-2</v>
      </c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0"/>
      <c r="B21" s="147"/>
      <c r="C21" s="147"/>
      <c r="D21" s="150">
        <v>2.7083333333333334E-2</v>
      </c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670</v>
      </c>
      <c r="B24" s="126">
        <v>111</v>
      </c>
      <c r="C24" s="126">
        <v>1</v>
      </c>
      <c r="D24" s="153">
        <v>0.15</v>
      </c>
      <c r="E24" s="153">
        <v>0</v>
      </c>
      <c r="G24" s="126" t="s">
        <v>670</v>
      </c>
      <c r="H24" s="139">
        <f>SUM(B3:B6)</f>
        <v>0</v>
      </c>
      <c r="I24" s="126">
        <v>0</v>
      </c>
      <c r="J24" s="126">
        <v>0</v>
      </c>
      <c r="K24" s="153">
        <f>I24/750</f>
        <v>0</v>
      </c>
      <c r="L24" s="153">
        <f>J24/200</f>
        <v>0</v>
      </c>
      <c r="N24" s="126" t="s">
        <v>670</v>
      </c>
      <c r="O24" s="139">
        <f>SUM(B7:B10)</f>
        <v>0</v>
      </c>
      <c r="R24" s="153">
        <f>P24/750</f>
        <v>0</v>
      </c>
      <c r="S24" s="153">
        <f>Q24/200</f>
        <v>0</v>
      </c>
      <c r="U24" s="126" t="s">
        <v>670</v>
      </c>
      <c r="V24" s="139">
        <f>SUM(B11:B14)</f>
        <v>0.30347222222222225</v>
      </c>
      <c r="W24" s="126">
        <v>92</v>
      </c>
      <c r="X24" s="126">
        <v>21</v>
      </c>
      <c r="Y24" s="153">
        <f>W24/750</f>
        <v>0.12266666666666666</v>
      </c>
      <c r="Z24" s="153">
        <f>X24/200</f>
        <v>0.105</v>
      </c>
    </row>
    <row r="25" spans="1:26" ht="22.5" customHeight="1">
      <c r="A25" s="126" t="s">
        <v>650</v>
      </c>
      <c r="B25" s="126">
        <v>117</v>
      </c>
      <c r="C25" s="126">
        <v>0</v>
      </c>
      <c r="D25" s="153">
        <v>0.16</v>
      </c>
      <c r="E25" s="153">
        <v>0</v>
      </c>
      <c r="G25" s="126" t="s">
        <v>650</v>
      </c>
      <c r="H25" s="139">
        <f>SUM(C3:C6)</f>
        <v>0.31180555555555556</v>
      </c>
      <c r="I25" s="126">
        <v>172</v>
      </c>
      <c r="J25" s="126">
        <v>10</v>
      </c>
      <c r="K25" s="153">
        <f>I25/720</f>
        <v>0.2388888888888889</v>
      </c>
      <c r="L25" s="153">
        <f>J25/65</f>
        <v>0.15384615384615385</v>
      </c>
      <c r="N25" s="126" t="s">
        <v>650</v>
      </c>
      <c r="O25" s="139">
        <f>SUM(C7:C10)</f>
        <v>0.60416666666666674</v>
      </c>
      <c r="P25" s="126">
        <v>115</v>
      </c>
      <c r="Q25" s="126">
        <v>9</v>
      </c>
      <c r="R25" s="153">
        <f>P25/720</f>
        <v>0.15972222222222221</v>
      </c>
      <c r="S25" s="153">
        <f>Q25/65</f>
        <v>0.13846153846153847</v>
      </c>
      <c r="U25" s="126" t="s">
        <v>650</v>
      </c>
      <c r="V25" s="139">
        <f>SUM(C11:C14)</f>
        <v>0.61527777777777781</v>
      </c>
      <c r="W25" s="126">
        <v>130</v>
      </c>
      <c r="X25" s="126">
        <v>6</v>
      </c>
      <c r="Y25" s="153">
        <f>W25/720</f>
        <v>0.18055555555555555</v>
      </c>
      <c r="Z25" s="153">
        <f>X25/65</f>
        <v>9.2307692307692313E-2</v>
      </c>
    </row>
    <row r="26" spans="1:26" ht="22.5" customHeight="1">
      <c r="A26" s="126" t="s">
        <v>651</v>
      </c>
      <c r="B26" s="126">
        <v>103</v>
      </c>
      <c r="C26" s="126">
        <v>1</v>
      </c>
      <c r="D26" s="153">
        <v>0.14000000000000001</v>
      </c>
      <c r="E26" s="153">
        <v>0</v>
      </c>
      <c r="G26" s="126" t="s">
        <v>651</v>
      </c>
      <c r="H26" s="139">
        <f>SUM($D3:$D6)</f>
        <v>0.625</v>
      </c>
      <c r="I26" s="126">
        <v>142</v>
      </c>
      <c r="J26" s="126">
        <v>26</v>
      </c>
      <c r="K26" s="153">
        <f>I26/750</f>
        <v>0.18933333333333333</v>
      </c>
      <c r="L26" s="153">
        <f>J26/185</f>
        <v>0.14054054054054055</v>
      </c>
      <c r="N26" s="126" t="s">
        <v>651</v>
      </c>
      <c r="O26" s="139">
        <f>SUM(D7:D10)</f>
        <v>0.56666666666666665</v>
      </c>
      <c r="P26" s="126">
        <v>133</v>
      </c>
      <c r="Q26" s="126">
        <v>16</v>
      </c>
      <c r="R26" s="153">
        <f>P26/750</f>
        <v>0.17733333333333334</v>
      </c>
      <c r="S26" s="153">
        <f>Q26/185</f>
        <v>8.6486486486486491E-2</v>
      </c>
      <c r="U26" s="126" t="s">
        <v>651</v>
      </c>
      <c r="V26" s="139">
        <f>SUM(D11:D14)</f>
        <v>0.1423611111111111</v>
      </c>
      <c r="W26" s="126">
        <v>29</v>
      </c>
      <c r="X26" s="126">
        <v>2</v>
      </c>
      <c r="Y26" s="153">
        <f>W26/750</f>
        <v>3.8666666666666669E-2</v>
      </c>
      <c r="Z26" s="153">
        <f>X26/185</f>
        <v>1.0810810810810811E-2</v>
      </c>
    </row>
    <row r="27" spans="1:26" ht="22.5" customHeight="1">
      <c r="A27" s="126" t="s">
        <v>652</v>
      </c>
      <c r="B27" s="126">
        <v>120</v>
      </c>
      <c r="C27" s="126">
        <v>2</v>
      </c>
      <c r="D27" s="153">
        <v>0.17</v>
      </c>
      <c r="E27" s="153">
        <v>0</v>
      </c>
      <c r="G27" s="126" t="s">
        <v>652</v>
      </c>
      <c r="H27" s="139">
        <f>SUM(E3:E6)</f>
        <v>0</v>
      </c>
      <c r="I27" s="126">
        <v>0</v>
      </c>
      <c r="J27" s="126">
        <v>0</v>
      </c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0.34722222222222221</v>
      </c>
      <c r="P27" s="126">
        <v>97</v>
      </c>
      <c r="Q27" s="126">
        <v>29</v>
      </c>
      <c r="R27" s="153">
        <f>P27/700</f>
        <v>0.13857142857142857</v>
      </c>
      <c r="S27" s="153">
        <f t="shared" ref="S27:S28" si="1">Q27/220</f>
        <v>0.13181818181818181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</row>
    <row r="28" spans="1:26" ht="22.5" customHeight="1">
      <c r="A28" s="126" t="s">
        <v>653</v>
      </c>
      <c r="B28" s="126">
        <v>100</v>
      </c>
      <c r="C28" s="126">
        <v>2</v>
      </c>
      <c r="D28" s="153">
        <v>0.12</v>
      </c>
      <c r="E28" s="153">
        <v>0</v>
      </c>
      <c r="G28" s="126" t="s">
        <v>653</v>
      </c>
      <c r="H28" s="139">
        <f>SUM(F3:F6)</f>
        <v>0.61944444444444446</v>
      </c>
      <c r="I28" s="126">
        <v>141</v>
      </c>
      <c r="J28" s="126">
        <v>18</v>
      </c>
      <c r="K28" s="153">
        <f>I28/800</f>
        <v>0.17624999999999999</v>
      </c>
      <c r="L28" s="153">
        <f t="shared" si="0"/>
        <v>8.1818181818181818E-2</v>
      </c>
      <c r="N28" s="126" t="s">
        <v>653</v>
      </c>
      <c r="O28" s="139">
        <f>SUM(F7:F10)</f>
        <v>0.77222222222222225</v>
      </c>
      <c r="P28" s="126">
        <v>174</v>
      </c>
      <c r="Q28" s="126">
        <v>36</v>
      </c>
      <c r="R28" s="153">
        <f>P28/800</f>
        <v>0.2175</v>
      </c>
      <c r="S28" s="153">
        <f t="shared" si="1"/>
        <v>0.16363636363636364</v>
      </c>
      <c r="U28" s="126" t="s">
        <v>653</v>
      </c>
      <c r="V28" s="139">
        <f>SUM(F11:F14)</f>
        <v>0.93611111111111112</v>
      </c>
      <c r="W28" s="126">
        <v>150</v>
      </c>
      <c r="X28" s="126">
        <v>28</v>
      </c>
      <c r="Y28" s="153">
        <f>W28/800</f>
        <v>0.1875</v>
      </c>
      <c r="Z28" s="153">
        <f t="shared" si="2"/>
        <v>0.12727272727272726</v>
      </c>
    </row>
    <row r="29" spans="1:26" ht="22.5" customHeight="1">
      <c r="A29" s="126" t="s">
        <v>654</v>
      </c>
      <c r="B29" s="126">
        <v>116</v>
      </c>
      <c r="C29" s="126">
        <v>1</v>
      </c>
      <c r="D29" s="153">
        <v>0.14000000000000001</v>
      </c>
      <c r="E29" s="153">
        <v>0</v>
      </c>
      <c r="G29" s="126" t="s">
        <v>654</v>
      </c>
      <c r="H29" s="139">
        <f>SUM(G3:G6)</f>
        <v>0.19652777777777777</v>
      </c>
      <c r="I29" s="126">
        <v>56</v>
      </c>
      <c r="J29" s="126">
        <v>15</v>
      </c>
      <c r="K29" s="153">
        <f>I29/820</f>
        <v>6.8292682926829273E-2</v>
      </c>
      <c r="L29" s="153">
        <f>J29/240</f>
        <v>6.25E-2</v>
      </c>
      <c r="N29" s="126" t="s">
        <v>654</v>
      </c>
      <c r="O29" s="139">
        <f>SUM(G7:G10)</f>
        <v>0.15694444444444444</v>
      </c>
      <c r="P29" s="126">
        <v>40</v>
      </c>
      <c r="Q29" s="126">
        <v>6</v>
      </c>
      <c r="R29" s="153">
        <f>P29/820</f>
        <v>4.878048780487805E-2</v>
      </c>
      <c r="S29" s="153">
        <f>Q29/240</f>
        <v>2.5000000000000001E-2</v>
      </c>
      <c r="U29" s="126" t="s">
        <v>654</v>
      </c>
      <c r="V29" s="139">
        <f>SUM(G11:G14)</f>
        <v>0</v>
      </c>
      <c r="Y29" s="153">
        <f>W29/820</f>
        <v>0</v>
      </c>
      <c r="Z29" s="153">
        <f>X29/240</f>
        <v>0</v>
      </c>
    </row>
    <row r="30" spans="1:26" ht="22.5" customHeight="1">
      <c r="A30" s="126" t="s">
        <v>655</v>
      </c>
      <c r="B30" s="126">
        <v>103</v>
      </c>
      <c r="C30" s="126">
        <v>0</v>
      </c>
      <c r="D30" s="153">
        <v>0.17</v>
      </c>
      <c r="E30" s="153">
        <v>0</v>
      </c>
      <c r="G30" s="126" t="s">
        <v>655</v>
      </c>
      <c r="H30" s="139">
        <f>SUM(H3:H6)</f>
        <v>0.15138888888888888</v>
      </c>
      <c r="I30" s="126">
        <v>35</v>
      </c>
      <c r="J30" s="126">
        <v>7</v>
      </c>
      <c r="K30" s="153">
        <f>I30/620</f>
        <v>5.6451612903225805E-2</v>
      </c>
      <c r="L30" s="153">
        <f>J30/90</f>
        <v>7.7777777777777779E-2</v>
      </c>
      <c r="N30" s="126" t="s">
        <v>655</v>
      </c>
      <c r="O30" s="139">
        <f>SUM(H7:H10)</f>
        <v>0.1423611111111111</v>
      </c>
      <c r="P30" s="126">
        <v>38</v>
      </c>
      <c r="Q30" s="126">
        <v>11</v>
      </c>
      <c r="R30" s="153">
        <f>P30/620</f>
        <v>6.1290322580645158E-2</v>
      </c>
      <c r="S30" s="153">
        <f>Q30/90</f>
        <v>0.12222222222222222</v>
      </c>
      <c r="U30" s="126" t="s">
        <v>655</v>
      </c>
      <c r="V30" s="139">
        <f>SUM(H11:H14)</f>
        <v>0</v>
      </c>
      <c r="Y30" s="153">
        <f>W30/620</f>
        <v>0</v>
      </c>
      <c r="Z30" s="153">
        <f>X30/90</f>
        <v>0</v>
      </c>
    </row>
    <row r="31" spans="1:26" ht="22.5" customHeight="1">
      <c r="A31" s="126" t="s">
        <v>659</v>
      </c>
      <c r="B31" s="126">
        <v>142</v>
      </c>
      <c r="C31" s="126">
        <v>10</v>
      </c>
      <c r="D31" s="153">
        <v>0.17</v>
      </c>
      <c r="E31" s="153">
        <v>0.05</v>
      </c>
      <c r="G31" s="126" t="s">
        <v>659</v>
      </c>
      <c r="H31" s="139">
        <f>SUM(I3:I6)</f>
        <v>0.40416666666666667</v>
      </c>
      <c r="I31" s="126">
        <v>89</v>
      </c>
      <c r="J31" s="126">
        <v>22</v>
      </c>
      <c r="K31" s="153">
        <f>I31/820</f>
        <v>0.10853658536585366</v>
      </c>
      <c r="L31" s="153">
        <f>J31/200</f>
        <v>0.11</v>
      </c>
      <c r="N31" s="126" t="s">
        <v>659</v>
      </c>
      <c r="O31" s="154">
        <f>SUM(I7:I10)</f>
        <v>0.1673611111111111</v>
      </c>
      <c r="P31" s="126">
        <v>53</v>
      </c>
      <c r="Q31" s="126">
        <v>18</v>
      </c>
      <c r="R31" s="153">
        <f>P31/820</f>
        <v>6.4634146341463417E-2</v>
      </c>
      <c r="S31" s="153">
        <f>Q31/200</f>
        <v>0.09</v>
      </c>
      <c r="U31" s="126" t="s">
        <v>659</v>
      </c>
      <c r="V31" s="139">
        <f>SUM(I11:I14)</f>
        <v>0.36875000000000002</v>
      </c>
      <c r="W31" s="126">
        <v>113</v>
      </c>
      <c r="X31" s="126">
        <v>27</v>
      </c>
      <c r="Y31" s="153">
        <f>W31/820</f>
        <v>0.1378048780487805</v>
      </c>
      <c r="Z31" s="153">
        <f>X31/200</f>
        <v>0.13500000000000001</v>
      </c>
    </row>
    <row r="32" spans="1:26" ht="22.5" customHeight="1">
      <c r="A32" s="126" t="s">
        <v>660</v>
      </c>
      <c r="B32" s="126">
        <v>68</v>
      </c>
      <c r="C32" s="126">
        <v>0</v>
      </c>
      <c r="D32" s="153">
        <v>0.13</v>
      </c>
      <c r="E32" s="153">
        <v>0</v>
      </c>
      <c r="G32" s="126" t="s">
        <v>660</v>
      </c>
      <c r="H32" s="139">
        <f>SUM(J3:J6)</f>
        <v>0.30486111111111114</v>
      </c>
      <c r="I32" s="126">
        <v>36</v>
      </c>
      <c r="J32" s="126">
        <v>0</v>
      </c>
      <c r="K32" s="153">
        <f>I32/505</f>
        <v>7.1287128712871281E-2</v>
      </c>
      <c r="L32" s="153">
        <f>J32/42</f>
        <v>0</v>
      </c>
      <c r="N32" s="126" t="s">
        <v>660</v>
      </c>
      <c r="O32" s="139">
        <f>SUM(J7:J10)</f>
        <v>0.18194444444444444</v>
      </c>
      <c r="P32" s="126">
        <v>33</v>
      </c>
      <c r="Q32" s="126">
        <v>1</v>
      </c>
      <c r="R32" s="153">
        <f>P32/505</f>
        <v>6.5346534653465349E-2</v>
      </c>
      <c r="S32" s="153">
        <f>Q32/42</f>
        <v>2.3809523809523808E-2</v>
      </c>
      <c r="U32" s="126" t="s">
        <v>660</v>
      </c>
      <c r="V32" s="139">
        <f>SUM(J11:J14)</f>
        <v>0.19097222222222221</v>
      </c>
      <c r="W32" s="126">
        <v>36</v>
      </c>
      <c r="X32" s="126">
        <v>1</v>
      </c>
      <c r="Y32" s="153">
        <f>W32/505</f>
        <v>7.1287128712871281E-2</v>
      </c>
      <c r="Z32" s="153">
        <f>X32/42</f>
        <v>2.3809523809523808E-2</v>
      </c>
    </row>
    <row r="33" spans="1:26" ht="22.5" customHeight="1">
      <c r="A33" s="126" t="s">
        <v>661</v>
      </c>
      <c r="B33" s="126">
        <v>139</v>
      </c>
      <c r="C33" s="126">
        <v>11</v>
      </c>
      <c r="D33" s="153">
        <v>0.19</v>
      </c>
      <c r="E33" s="153">
        <v>0.05</v>
      </c>
      <c r="G33" s="126" t="s">
        <v>661</v>
      </c>
      <c r="H33" s="139">
        <f>SUM(K3:K6)</f>
        <v>0</v>
      </c>
      <c r="I33" s="126">
        <v>0</v>
      </c>
      <c r="J33" s="126">
        <v>0</v>
      </c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0.10347222222222222</v>
      </c>
      <c r="W33" s="126">
        <v>34</v>
      </c>
      <c r="X33" s="126">
        <v>14</v>
      </c>
      <c r="Y33" s="153">
        <f>W33/740</f>
        <v>4.5945945945945948E-2</v>
      </c>
      <c r="Z33" s="153">
        <f>X33/215</f>
        <v>6.5116279069767441E-2</v>
      </c>
    </row>
    <row r="34" spans="1:26" ht="22.5" customHeight="1">
      <c r="A34" s="126" t="s">
        <v>662</v>
      </c>
      <c r="B34" s="126">
        <v>116</v>
      </c>
      <c r="C34" s="126">
        <v>0</v>
      </c>
      <c r="D34" s="153">
        <v>0.14000000000000001</v>
      </c>
      <c r="E34" s="153">
        <v>0</v>
      </c>
      <c r="G34" s="126" t="s">
        <v>662</v>
      </c>
      <c r="H34" s="139">
        <f>SUM(L3:L6)</f>
        <v>0.62708333333333333</v>
      </c>
      <c r="I34" s="126">
        <v>174</v>
      </c>
      <c r="J34" s="126">
        <v>40</v>
      </c>
      <c r="K34" s="153">
        <f>I34/800</f>
        <v>0.2175</v>
      </c>
      <c r="L34" s="153">
        <f>J34/170</f>
        <v>0.23529411764705882</v>
      </c>
      <c r="N34" s="126" t="s">
        <v>662</v>
      </c>
      <c r="O34" s="139">
        <f>SUM(L7:L10)</f>
        <v>0.47222222222222221</v>
      </c>
      <c r="P34" s="126">
        <v>121</v>
      </c>
      <c r="Q34" s="126">
        <v>33</v>
      </c>
      <c r="R34" s="153">
        <f>P34/800</f>
        <v>0.15125</v>
      </c>
      <c r="S34" s="153">
        <f>Q34/170</f>
        <v>0.19411764705882353</v>
      </c>
      <c r="U34" s="126" t="s">
        <v>662</v>
      </c>
      <c r="V34" s="139">
        <f>SUM(L11:L14)</f>
        <v>0.31111111111111112</v>
      </c>
      <c r="W34" s="126">
        <v>80</v>
      </c>
      <c r="X34" s="126">
        <v>18</v>
      </c>
      <c r="Y34" s="153">
        <f>W34/800</f>
        <v>0.1</v>
      </c>
      <c r="Z34" s="153">
        <f>X34/170</f>
        <v>0.10588235294117647</v>
      </c>
    </row>
    <row r="35" spans="1:26" ht="22.5" customHeight="1">
      <c r="A35" s="126" t="s">
        <v>663</v>
      </c>
      <c r="B35" s="126">
        <v>102</v>
      </c>
      <c r="C35" s="126">
        <v>0</v>
      </c>
      <c r="D35" s="153">
        <v>0.17</v>
      </c>
      <c r="E35" s="153">
        <v>0</v>
      </c>
      <c r="G35" s="126" t="s">
        <v>663</v>
      </c>
      <c r="H35" s="139">
        <f>SUM(M3:M6)</f>
        <v>0.3666666666666667</v>
      </c>
      <c r="I35" s="126">
        <v>91</v>
      </c>
      <c r="J35" s="126">
        <v>11</v>
      </c>
      <c r="K35" s="153">
        <f>I35/580</f>
        <v>0.15689655172413794</v>
      </c>
      <c r="L35" s="153">
        <f>J35/75</f>
        <v>0.14666666666666667</v>
      </c>
      <c r="N35" s="126" t="s">
        <v>663</v>
      </c>
      <c r="O35" s="139">
        <f>SUM(M7:M10)</f>
        <v>0.44722222222222219</v>
      </c>
      <c r="P35" s="126">
        <v>82</v>
      </c>
      <c r="Q35" s="126">
        <v>6</v>
      </c>
      <c r="R35" s="153">
        <f>P35/580</f>
        <v>0.14137931034482759</v>
      </c>
      <c r="S35" s="153">
        <f>Q35/75</f>
        <v>0.08</v>
      </c>
      <c r="U35" s="126" t="s">
        <v>663</v>
      </c>
      <c r="V35" s="139">
        <f>SUM(M11:M14)</f>
        <v>0.42430555555555555</v>
      </c>
      <c r="W35" s="126">
        <v>81</v>
      </c>
      <c r="X35" s="126">
        <v>5</v>
      </c>
      <c r="Y35" s="153">
        <f>W35/580</f>
        <v>0.1396551724137931</v>
      </c>
      <c r="Z35" s="153">
        <f>X35/75</f>
        <v>6.6666666666666666E-2</v>
      </c>
    </row>
    <row r="36" spans="1:26" ht="22.5" customHeight="1">
      <c r="A36" s="126" t="s">
        <v>664</v>
      </c>
      <c r="B36" s="126">
        <v>113</v>
      </c>
      <c r="C36" s="126">
        <v>2</v>
      </c>
      <c r="D36" s="153">
        <v>0.16</v>
      </c>
      <c r="E36" s="153">
        <v>0.02</v>
      </c>
      <c r="G36" s="126" t="s">
        <v>664</v>
      </c>
      <c r="H36" s="139">
        <f>SUM(N3:N6)</f>
        <v>0</v>
      </c>
      <c r="I36" s="126">
        <v>0</v>
      </c>
      <c r="J36" s="126"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>AVERAGE(B24:B36)</f>
        <v>111.53846153846153</v>
      </c>
      <c r="C37" s="126">
        <f t="shared" ref="C37:E37" si="3">SUM(C24:C36)</f>
        <v>30</v>
      </c>
      <c r="D37" s="153">
        <f t="shared" si="3"/>
        <v>2.0100000000000002</v>
      </c>
      <c r="E37" s="153">
        <f t="shared" si="3"/>
        <v>0.12000000000000001</v>
      </c>
      <c r="G37" s="126" t="s">
        <v>671</v>
      </c>
      <c r="H37" s="139">
        <f t="shared" ref="H37:L37" si="4">SUM(H24:H36)</f>
        <v>3.6069444444444443</v>
      </c>
      <c r="I37" s="126">
        <f t="shared" si="4"/>
        <v>936</v>
      </c>
      <c r="J37" s="126">
        <f t="shared" si="4"/>
        <v>149</v>
      </c>
      <c r="K37" s="153">
        <f t="shared" si="4"/>
        <v>1.2834367838551399</v>
      </c>
      <c r="L37" s="153">
        <f t="shared" si="4"/>
        <v>1.0084434382963794</v>
      </c>
      <c r="N37" s="126" t="s">
        <v>671</v>
      </c>
      <c r="O37" s="139"/>
      <c r="P37" s="126">
        <f t="shared" ref="P37:S37" si="5">SUM(P24:P36)</f>
        <v>886</v>
      </c>
      <c r="Q37" s="126">
        <f t="shared" si="5"/>
        <v>165</v>
      </c>
      <c r="R37" s="153">
        <f t="shared" si="5"/>
        <v>1.2258077858522636</v>
      </c>
      <c r="S37" s="153">
        <f t="shared" si="5"/>
        <v>1.0555519634931398</v>
      </c>
      <c r="U37" s="126" t="s">
        <v>671</v>
      </c>
      <c r="V37" s="139">
        <f t="shared" ref="V37:Z37" si="6">SUM(V24:V36)</f>
        <v>3.3958333333333339</v>
      </c>
      <c r="W37" s="126">
        <f t="shared" si="6"/>
        <v>745</v>
      </c>
      <c r="X37" s="126">
        <f t="shared" si="6"/>
        <v>122</v>
      </c>
      <c r="Y37" s="153">
        <f t="shared" si="6"/>
        <v>1.0240820140102795</v>
      </c>
      <c r="Z37" s="153">
        <f t="shared" si="6"/>
        <v>0.7318660528783647</v>
      </c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/>
      <c r="P40" s="1"/>
      <c r="Q40" s="1"/>
      <c r="R40" s="1"/>
      <c r="S40" s="1"/>
    </row>
    <row r="41" spans="1:26" ht="22.5" customHeight="1">
      <c r="A41" s="126" t="s">
        <v>670</v>
      </c>
      <c r="B41" s="139">
        <f>SUM(B15:B21)</f>
        <v>0.75277777777777766</v>
      </c>
      <c r="C41" s="126">
        <v>151</v>
      </c>
      <c r="D41" s="126">
        <v>25</v>
      </c>
      <c r="E41" s="153">
        <f>C41/750</f>
        <v>0.20133333333333334</v>
      </c>
      <c r="F41" s="153">
        <f>D41/200</f>
        <v>0.125</v>
      </c>
      <c r="H41" s="126" t="s">
        <v>670</v>
      </c>
      <c r="I41" s="139">
        <f t="shared" ref="I41:I54" si="7">SUM(H24,O24,V24,B41)</f>
        <v>1.0562499999999999</v>
      </c>
      <c r="J41" s="126">
        <f t="shared" ref="J41:M41" si="8">SUM(B24,I24,P24,W24,C41)</f>
        <v>354</v>
      </c>
      <c r="K41" s="126">
        <f t="shared" si="8"/>
        <v>47</v>
      </c>
      <c r="L41" s="153">
        <f t="shared" si="8"/>
        <v>0.47399999999999998</v>
      </c>
      <c r="M41" s="153">
        <f t="shared" si="8"/>
        <v>0.22999999999999998</v>
      </c>
      <c r="O41" s="1"/>
      <c r="P41" s="1"/>
      <c r="Q41" s="1"/>
      <c r="R41" s="1"/>
      <c r="S41" s="1"/>
    </row>
    <row r="42" spans="1:26" ht="22.5" customHeight="1">
      <c r="A42" s="126" t="s">
        <v>650</v>
      </c>
      <c r="B42" s="139">
        <f>SUM(C15:C21)</f>
        <v>0.86458333333333326</v>
      </c>
      <c r="C42" s="126">
        <v>158</v>
      </c>
      <c r="D42" s="126">
        <v>8</v>
      </c>
      <c r="E42" s="153">
        <f>C42/720</f>
        <v>0.21944444444444444</v>
      </c>
      <c r="F42" s="153">
        <f>D42/65</f>
        <v>0.12307692307692308</v>
      </c>
      <c r="H42" s="126" t="s">
        <v>650</v>
      </c>
      <c r="I42" s="139">
        <f t="shared" si="7"/>
        <v>2.395833333333333</v>
      </c>
      <c r="J42" s="126">
        <f t="shared" ref="J42:M42" si="9">SUM(B25,I25,P25,W25,C42)</f>
        <v>692</v>
      </c>
      <c r="K42" s="126">
        <f t="shared" si="9"/>
        <v>33</v>
      </c>
      <c r="L42" s="153">
        <f t="shared" si="9"/>
        <v>0.95861111111111119</v>
      </c>
      <c r="M42" s="153">
        <f t="shared" si="9"/>
        <v>0.50769230769230766</v>
      </c>
      <c r="O42" s="1"/>
      <c r="P42" s="1"/>
      <c r="Q42" s="1"/>
      <c r="R42" s="1"/>
      <c r="S42" s="1"/>
    </row>
    <row r="43" spans="1:26" ht="22.5" customHeight="1">
      <c r="A43" s="126" t="s">
        <v>651</v>
      </c>
      <c r="B43" s="139">
        <f>SUM(D15:D21)</f>
        <v>0.71666666666666656</v>
      </c>
      <c r="C43" s="126">
        <v>118</v>
      </c>
      <c r="D43" s="126">
        <v>7</v>
      </c>
      <c r="E43" s="153">
        <f>C43/750</f>
        <v>0.15733333333333333</v>
      </c>
      <c r="F43" s="153">
        <f>D43/185</f>
        <v>3.783783783783784E-2</v>
      </c>
      <c r="H43" s="126" t="s">
        <v>651</v>
      </c>
      <c r="I43" s="139">
        <f t="shared" si="7"/>
        <v>2.0506944444444444</v>
      </c>
      <c r="J43" s="126">
        <f t="shared" ref="J43:M43" si="10">SUM(B26,I26,P26,W26,C43)</f>
        <v>525</v>
      </c>
      <c r="K43" s="126">
        <f t="shared" si="10"/>
        <v>52</v>
      </c>
      <c r="L43" s="153">
        <f t="shared" si="10"/>
        <v>0.70266666666666666</v>
      </c>
      <c r="M43" s="153">
        <f t="shared" si="10"/>
        <v>0.27567567567567569</v>
      </c>
      <c r="O43" s="1"/>
      <c r="P43" s="1"/>
      <c r="Q43" s="1"/>
      <c r="R43" s="1"/>
      <c r="S43" s="1"/>
    </row>
    <row r="44" spans="1:26" ht="22.5" customHeight="1">
      <c r="A44" s="126" t="s">
        <v>652</v>
      </c>
      <c r="B44" s="139">
        <f>SUM(E15:E21)</f>
        <v>0</v>
      </c>
      <c r="E44" s="153">
        <f>C44/700</f>
        <v>0</v>
      </c>
      <c r="F44" s="153">
        <f t="shared" ref="F44:F45" si="11">D44/220</f>
        <v>0</v>
      </c>
      <c r="H44" s="126" t="s">
        <v>652</v>
      </c>
      <c r="I44" s="139">
        <f t="shared" si="7"/>
        <v>0.34722222222222221</v>
      </c>
      <c r="J44" s="126">
        <f t="shared" ref="J44:M44" si="12">SUM(B27,I27,P27,W27,C44)</f>
        <v>217</v>
      </c>
      <c r="K44" s="126">
        <f t="shared" si="12"/>
        <v>31</v>
      </c>
      <c r="L44" s="153">
        <f t="shared" si="12"/>
        <v>0.30857142857142861</v>
      </c>
      <c r="M44" s="153">
        <f t="shared" si="12"/>
        <v>0.13181818181818181</v>
      </c>
      <c r="O44" s="1"/>
      <c r="P44" s="1"/>
      <c r="Q44" s="1"/>
      <c r="R44" s="1"/>
      <c r="S44" s="1"/>
    </row>
    <row r="45" spans="1:26" ht="22.5" customHeight="1">
      <c r="A45" s="126" t="s">
        <v>653</v>
      </c>
      <c r="B45" s="139">
        <f>SUM(F15:F21)</f>
        <v>0.52569444444444446</v>
      </c>
      <c r="C45" s="126">
        <v>118</v>
      </c>
      <c r="D45" s="126">
        <v>24</v>
      </c>
      <c r="E45" s="153">
        <f>C45/800</f>
        <v>0.14749999999999999</v>
      </c>
      <c r="F45" s="153">
        <f t="shared" si="11"/>
        <v>0.10909090909090909</v>
      </c>
      <c r="H45" s="126" t="s">
        <v>653</v>
      </c>
      <c r="I45" s="139">
        <f t="shared" si="7"/>
        <v>2.853472222222222</v>
      </c>
      <c r="J45" s="126">
        <f t="shared" ref="J45:M45" si="13">SUM(B28,I28,P28,W28,C45)</f>
        <v>683</v>
      </c>
      <c r="K45" s="126">
        <f t="shared" si="13"/>
        <v>108</v>
      </c>
      <c r="L45" s="153">
        <f t="shared" si="13"/>
        <v>0.84875</v>
      </c>
      <c r="M45" s="153">
        <f t="shared" si="13"/>
        <v>0.48181818181818176</v>
      </c>
      <c r="O45" s="1"/>
      <c r="P45" s="1"/>
      <c r="Q45" s="1"/>
      <c r="R45" s="1"/>
      <c r="S45" s="1"/>
    </row>
    <row r="46" spans="1:26" ht="22.5" customHeight="1">
      <c r="A46" s="126" t="s">
        <v>654</v>
      </c>
      <c r="B46" s="139">
        <f>SUM(G15:G21)</f>
        <v>0</v>
      </c>
      <c r="E46" s="153">
        <f>C46/820</f>
        <v>0</v>
      </c>
      <c r="F46" s="153">
        <f>D46/240</f>
        <v>0</v>
      </c>
      <c r="H46" s="126" t="s">
        <v>654</v>
      </c>
      <c r="I46" s="139">
        <f t="shared" si="7"/>
        <v>0.35347222222222219</v>
      </c>
      <c r="J46" s="126">
        <f t="shared" ref="J46:M46" si="14">SUM(B29,I29,P29,W29,C46)</f>
        <v>212</v>
      </c>
      <c r="K46" s="126">
        <f t="shared" si="14"/>
        <v>22</v>
      </c>
      <c r="L46" s="153">
        <f t="shared" si="14"/>
        <v>0.25707317073170732</v>
      </c>
      <c r="M46" s="153">
        <f t="shared" si="14"/>
        <v>8.7499999999999994E-2</v>
      </c>
      <c r="O46" s="1"/>
      <c r="P46" s="1"/>
      <c r="Q46" s="1"/>
      <c r="R46" s="1"/>
      <c r="S46" s="1"/>
    </row>
    <row r="47" spans="1:26" ht="22.5" customHeight="1">
      <c r="A47" s="126" t="s">
        <v>655</v>
      </c>
      <c r="B47" s="139">
        <f>SUM(H15:H21)</f>
        <v>0.47013888888888888</v>
      </c>
      <c r="C47" s="126">
        <v>89</v>
      </c>
      <c r="D47" s="126">
        <v>14</v>
      </c>
      <c r="E47" s="153">
        <f>C47/620</f>
        <v>0.1435483870967742</v>
      </c>
      <c r="F47" s="153">
        <f>D47/90</f>
        <v>0.15555555555555556</v>
      </c>
      <c r="H47" s="126" t="s">
        <v>655</v>
      </c>
      <c r="I47" s="139">
        <f t="shared" si="7"/>
        <v>0.76388888888888884</v>
      </c>
      <c r="J47" s="126">
        <f t="shared" ref="J47:M47" si="15">SUM(B30,I30,P30,W30,C47)</f>
        <v>265</v>
      </c>
      <c r="K47" s="126">
        <f t="shared" si="15"/>
        <v>32</v>
      </c>
      <c r="L47" s="153">
        <f t="shared" si="15"/>
        <v>0.4312903225806452</v>
      </c>
      <c r="M47" s="153">
        <f t="shared" si="15"/>
        <v>0.35555555555555557</v>
      </c>
      <c r="O47" s="1"/>
      <c r="P47" s="1"/>
      <c r="Q47" s="1"/>
      <c r="R47" s="1"/>
      <c r="S47" s="1"/>
    </row>
    <row r="48" spans="1:26" ht="22.5" customHeight="1">
      <c r="A48" s="126" t="s">
        <v>659</v>
      </c>
      <c r="B48" s="139">
        <f>SUM(I15:I21)</f>
        <v>0.67638888888888893</v>
      </c>
      <c r="C48" s="126">
        <v>160</v>
      </c>
      <c r="D48" s="126">
        <v>23</v>
      </c>
      <c r="E48" s="153">
        <f>C48/820</f>
        <v>0.1951219512195122</v>
      </c>
      <c r="F48" s="153">
        <f>D48/200</f>
        <v>0.115</v>
      </c>
      <c r="H48" s="126" t="s">
        <v>659</v>
      </c>
      <c r="I48" s="139">
        <f t="shared" si="7"/>
        <v>1.6166666666666667</v>
      </c>
      <c r="J48" s="126">
        <f t="shared" ref="J48:M48" si="16">SUM(B31,I31,P31,W31,C48)</f>
        <v>557</v>
      </c>
      <c r="K48" s="126">
        <f t="shared" si="16"/>
        <v>100</v>
      </c>
      <c r="L48" s="153">
        <f t="shared" si="16"/>
        <v>0.6760975609756098</v>
      </c>
      <c r="M48" s="153">
        <f t="shared" si="16"/>
        <v>0.5</v>
      </c>
      <c r="O48" s="1"/>
      <c r="P48" s="1"/>
      <c r="Q48" s="1"/>
      <c r="R48" s="1"/>
      <c r="S48" s="1"/>
    </row>
    <row r="49" spans="1:19" ht="22.5" customHeight="1">
      <c r="A49" s="126" t="s">
        <v>660</v>
      </c>
      <c r="B49" s="139">
        <f>SUM(J15:J21)</f>
        <v>0.24444444444444444</v>
      </c>
      <c r="C49" s="126">
        <v>46</v>
      </c>
      <c r="D49" s="126">
        <v>1</v>
      </c>
      <c r="E49" s="153">
        <f>C49/505</f>
        <v>9.1089108910891087E-2</v>
      </c>
      <c r="F49" s="153">
        <f>D49/42</f>
        <v>2.3809523809523808E-2</v>
      </c>
      <c r="H49" s="126" t="s">
        <v>660</v>
      </c>
      <c r="I49" s="139">
        <f t="shared" si="7"/>
        <v>0.92222222222222228</v>
      </c>
      <c r="J49" s="126">
        <f t="shared" ref="J49:M49" si="17">SUM(B32,I32,P32,W32,C49)</f>
        <v>219</v>
      </c>
      <c r="K49" s="126">
        <f t="shared" si="17"/>
        <v>3</v>
      </c>
      <c r="L49" s="153">
        <f t="shared" si="17"/>
        <v>0.42900990099009906</v>
      </c>
      <c r="M49" s="153">
        <f t="shared" si="17"/>
        <v>7.1428571428571425E-2</v>
      </c>
      <c r="O49" s="1"/>
      <c r="P49" s="1"/>
      <c r="Q49" s="1"/>
      <c r="R49" s="1"/>
      <c r="S49" s="1"/>
    </row>
    <row r="50" spans="1:19" ht="22.5" customHeight="1">
      <c r="A50" s="126" t="s">
        <v>661</v>
      </c>
      <c r="B50" s="139">
        <f>SUM(K15:K21)</f>
        <v>0</v>
      </c>
      <c r="E50" s="153">
        <f>C50/740</f>
        <v>0</v>
      </c>
      <c r="F50" s="153">
        <f>D50/215</f>
        <v>0</v>
      </c>
      <c r="H50" s="126" t="s">
        <v>661</v>
      </c>
      <c r="I50" s="139">
        <f t="shared" si="7"/>
        <v>0.10347222222222222</v>
      </c>
      <c r="J50" s="126">
        <f t="shared" ref="J50:M50" si="18">SUM(B33,I33,P33,W33,C50)</f>
        <v>173</v>
      </c>
      <c r="K50" s="126">
        <f t="shared" si="18"/>
        <v>25</v>
      </c>
      <c r="L50" s="153">
        <f t="shared" si="18"/>
        <v>0.23594594594594595</v>
      </c>
      <c r="M50" s="153">
        <f t="shared" si="18"/>
        <v>0.11511627906976744</v>
      </c>
      <c r="O50" s="1"/>
      <c r="P50" s="1"/>
      <c r="Q50" s="1"/>
      <c r="R50" s="1"/>
      <c r="S50" s="1"/>
    </row>
    <row r="51" spans="1:19" ht="22.5" customHeight="1">
      <c r="A51" s="126" t="s">
        <v>662</v>
      </c>
      <c r="B51" s="139">
        <f>SUM(L15:L21)</f>
        <v>0</v>
      </c>
      <c r="E51" s="153">
        <f>C51/800</f>
        <v>0</v>
      </c>
      <c r="F51" s="153">
        <f>D51/170</f>
        <v>0</v>
      </c>
      <c r="H51" s="126" t="s">
        <v>662</v>
      </c>
      <c r="I51" s="139">
        <f t="shared" si="7"/>
        <v>1.4104166666666667</v>
      </c>
      <c r="J51" s="126">
        <f t="shared" ref="J51:M51" si="19">SUM(B34,I34,P34,W34,C51)</f>
        <v>491</v>
      </c>
      <c r="K51" s="126">
        <f t="shared" si="19"/>
        <v>91</v>
      </c>
      <c r="L51" s="153">
        <f t="shared" si="19"/>
        <v>0.60875000000000001</v>
      </c>
      <c r="M51" s="153">
        <f t="shared" si="19"/>
        <v>0.53529411764705881</v>
      </c>
      <c r="O51" s="1"/>
      <c r="P51" s="1"/>
      <c r="Q51" s="1"/>
      <c r="R51" s="1"/>
      <c r="S51" s="1"/>
    </row>
    <row r="52" spans="1:19" ht="22.5" customHeight="1">
      <c r="A52" s="126" t="s">
        <v>663</v>
      </c>
      <c r="B52" s="139">
        <f>SUM(M15:M21)</f>
        <v>0.18888888888888888</v>
      </c>
      <c r="C52" s="126">
        <v>35</v>
      </c>
      <c r="D52" s="126">
        <v>5</v>
      </c>
      <c r="E52" s="153">
        <f>C52/580</f>
        <v>6.0344827586206899E-2</v>
      </c>
      <c r="F52" s="153">
        <f>D52/75</f>
        <v>6.6666666666666666E-2</v>
      </c>
      <c r="H52" s="126" t="s">
        <v>663</v>
      </c>
      <c r="I52" s="139">
        <f t="shared" si="7"/>
        <v>1.4270833333333333</v>
      </c>
      <c r="J52" s="126">
        <f t="shared" ref="J52:M52" si="20">SUM(B35,I35,P35,W35,C52)</f>
        <v>391</v>
      </c>
      <c r="K52" s="126">
        <f t="shared" si="20"/>
        <v>27</v>
      </c>
      <c r="L52" s="153">
        <f t="shared" si="20"/>
        <v>0.6682758620689655</v>
      </c>
      <c r="M52" s="153">
        <f t="shared" si="20"/>
        <v>0.36</v>
      </c>
      <c r="O52" s="1"/>
      <c r="P52" s="1"/>
      <c r="Q52" s="1"/>
      <c r="R52" s="1"/>
      <c r="S52" s="1"/>
    </row>
    <row r="53" spans="1:19" ht="22.5" customHeight="1">
      <c r="A53" s="126" t="s">
        <v>664</v>
      </c>
      <c r="B53" s="139">
        <f>SUM(N15:N21)</f>
        <v>0</v>
      </c>
      <c r="E53" s="153">
        <f>C53/720</f>
        <v>0</v>
      </c>
      <c r="F53" s="153">
        <f>D53/100</f>
        <v>0</v>
      </c>
      <c r="H53" s="126" t="s">
        <v>664</v>
      </c>
      <c r="I53" s="139">
        <f t="shared" si="7"/>
        <v>0</v>
      </c>
      <c r="J53" s="126">
        <f t="shared" ref="J53:M53" si="21">SUM(B36,I36,P36,W36,C53)</f>
        <v>113</v>
      </c>
      <c r="K53" s="126">
        <f t="shared" si="21"/>
        <v>2</v>
      </c>
      <c r="L53" s="153">
        <f t="shared" si="21"/>
        <v>0.16</v>
      </c>
      <c r="M53" s="153">
        <f t="shared" si="21"/>
        <v>0.02</v>
      </c>
      <c r="O53" s="1"/>
      <c r="P53" s="1"/>
      <c r="Q53" s="1"/>
      <c r="R53" s="1"/>
      <c r="S53" s="1"/>
    </row>
    <row r="54" spans="1:19" ht="22.5" customHeight="1">
      <c r="A54" s="126" t="s">
        <v>671</v>
      </c>
      <c r="B54" s="139">
        <f t="shared" ref="B54:F54" si="22">SUM(B41:B53)</f>
        <v>4.4395833333333332</v>
      </c>
      <c r="C54" s="126">
        <f t="shared" si="22"/>
        <v>875</v>
      </c>
      <c r="D54" s="126">
        <f t="shared" si="22"/>
        <v>107</v>
      </c>
      <c r="E54" s="153">
        <f t="shared" si="22"/>
        <v>1.2157153859244956</v>
      </c>
      <c r="F54" s="153">
        <f t="shared" si="22"/>
        <v>0.75603741603741603</v>
      </c>
      <c r="H54" s="126" t="s">
        <v>671</v>
      </c>
      <c r="I54" s="139">
        <f t="shared" si="7"/>
        <v>11.442361111111111</v>
      </c>
      <c r="J54" s="126">
        <f t="shared" ref="J54:L54" si="23">SUM(B37,I37,P37,W37,C54)</f>
        <v>3553.5384615384614</v>
      </c>
      <c r="K54" s="126">
        <f t="shared" si="23"/>
        <v>573</v>
      </c>
      <c r="L54" s="153">
        <f t="shared" si="23"/>
        <v>6.759041969642178</v>
      </c>
      <c r="M54" s="153">
        <f>SUM(M41:M53)</f>
        <v>3.6718988707053</v>
      </c>
      <c r="O54" s="1"/>
      <c r="P54" s="1"/>
      <c r="Q54" s="1"/>
      <c r="R54" s="1"/>
      <c r="S54" s="1"/>
    </row>
    <row r="56" spans="1:19" ht="13">
      <c r="A56" s="232" t="s">
        <v>677</v>
      </c>
      <c r="B56" s="227"/>
      <c r="C56" s="227"/>
      <c r="D56" s="227"/>
      <c r="E56" s="227"/>
      <c r="F56" s="227"/>
      <c r="G56" s="227"/>
      <c r="H56" s="227"/>
    </row>
    <row r="57" spans="1:19" ht="15.75" customHeight="1">
      <c r="A57" s="227"/>
      <c r="B57" s="227"/>
      <c r="C57" s="227"/>
      <c r="D57" s="227"/>
      <c r="E57" s="227"/>
      <c r="F57" s="227"/>
      <c r="G57" s="227"/>
      <c r="H57" s="227"/>
    </row>
    <row r="58" spans="1:19" ht="15.75" customHeight="1">
      <c r="A58" s="227"/>
      <c r="B58" s="227"/>
      <c r="C58" s="227"/>
      <c r="D58" s="227"/>
      <c r="E58" s="227"/>
      <c r="F58" s="227"/>
      <c r="G58" s="227"/>
      <c r="H58" s="227"/>
    </row>
    <row r="59" spans="1:19" ht="15.75" customHeight="1">
      <c r="A59" s="227"/>
      <c r="B59" s="227"/>
      <c r="C59" s="227"/>
      <c r="D59" s="227"/>
      <c r="E59" s="227"/>
      <c r="F59" s="227"/>
      <c r="G59" s="227"/>
      <c r="H59" s="227"/>
    </row>
  </sheetData>
  <mergeCells count="5">
    <mergeCell ref="A3:A6"/>
    <mergeCell ref="A7:A10"/>
    <mergeCell ref="A11:A14"/>
    <mergeCell ref="A15:A21"/>
    <mergeCell ref="A56:H59"/>
  </mergeCells>
  <dataValidations count="1">
    <dataValidation type="custom" allowBlank="1" showDropDown="1" sqref="D24:D37" xr:uid="{00000000-0002-0000-1C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FF00"/>
    <outlinePr summaryBelow="0" summaryRight="0"/>
  </sheetPr>
  <dimension ref="A1:AF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55" t="s">
        <v>670</v>
      </c>
      <c r="C1" s="155" t="s">
        <v>650</v>
      </c>
      <c r="D1" s="155" t="s">
        <v>651</v>
      </c>
      <c r="E1" s="127" t="s">
        <v>652</v>
      </c>
      <c r="F1" s="127" t="s">
        <v>653</v>
      </c>
      <c r="G1" s="127" t="s">
        <v>654</v>
      </c>
      <c r="H1" s="141" t="s">
        <v>655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3">
      <c r="A3" s="248">
        <v>1</v>
      </c>
      <c r="B3" s="128">
        <v>0.3840277777777778</v>
      </c>
      <c r="C3" s="128">
        <v>0.3840277777777778</v>
      </c>
      <c r="D3" s="128">
        <v>0.3840277777777778</v>
      </c>
      <c r="E3" s="128"/>
      <c r="F3" s="144"/>
      <c r="G3" s="144"/>
      <c r="H3" s="129">
        <v>0.11041666666666666</v>
      </c>
      <c r="I3" s="129">
        <v>0.22847222222222222</v>
      </c>
      <c r="J3" s="129">
        <v>0.20555555555555555</v>
      </c>
      <c r="K3" s="128"/>
      <c r="L3" s="145">
        <v>0.3840277777777778</v>
      </c>
      <c r="M3" s="145">
        <v>0.17847222222222223</v>
      </c>
      <c r="N3" s="145"/>
    </row>
    <row r="4" spans="1:14" ht="13">
      <c r="A4" s="249"/>
      <c r="B4" s="128">
        <v>0.22847222222222222</v>
      </c>
      <c r="C4" s="128">
        <v>0.22847222222222222</v>
      </c>
      <c r="D4" s="128"/>
      <c r="E4" s="128"/>
      <c r="F4" s="146"/>
      <c r="G4" s="146"/>
      <c r="I4" s="129"/>
      <c r="J4" s="129">
        <v>0.22847222222222222</v>
      </c>
      <c r="K4" s="128"/>
      <c r="L4" s="146">
        <v>0.11736111111111111</v>
      </c>
      <c r="M4" s="146"/>
      <c r="N4" s="146"/>
    </row>
    <row r="5" spans="1:14" ht="13">
      <c r="A5" s="249"/>
      <c r="B5" s="129"/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3">
      <c r="A7" s="248">
        <v>2</v>
      </c>
      <c r="B7" s="135">
        <v>0.19236111111111112</v>
      </c>
      <c r="C7" s="135">
        <v>0.11805555555555555</v>
      </c>
      <c r="D7" s="135">
        <v>0.2361111111111111</v>
      </c>
      <c r="E7" s="135"/>
      <c r="F7" s="144"/>
      <c r="G7" s="144"/>
      <c r="H7" s="135">
        <v>7.4305555555555555E-2</v>
      </c>
      <c r="I7" s="135">
        <v>0.31041666666666667</v>
      </c>
      <c r="J7" s="135">
        <v>7.4305555555555555E-2</v>
      </c>
      <c r="K7" s="135"/>
      <c r="L7" s="144">
        <v>0.31041666666666667</v>
      </c>
      <c r="M7" s="144">
        <v>0.2361111111111111</v>
      </c>
      <c r="N7" s="144"/>
    </row>
    <row r="8" spans="1:14" ht="13">
      <c r="A8" s="249"/>
      <c r="B8" s="129">
        <v>0.11874999999999999</v>
      </c>
      <c r="C8" s="129">
        <v>0.11874999999999999</v>
      </c>
      <c r="D8" s="129">
        <v>0.11874999999999999</v>
      </c>
      <c r="E8" s="129"/>
      <c r="F8" s="146"/>
      <c r="G8" s="146"/>
      <c r="H8" s="129"/>
      <c r="I8" s="129">
        <v>6.7361111111111108E-2</v>
      </c>
      <c r="J8" s="129"/>
      <c r="K8" s="129"/>
      <c r="L8" s="146">
        <v>0.11874999999999999</v>
      </c>
      <c r="M8" s="146">
        <v>0.11874999999999999</v>
      </c>
      <c r="N8" s="146"/>
    </row>
    <row r="9" spans="1:14" ht="13">
      <c r="A9" s="249"/>
      <c r="B9" s="129">
        <v>7.4305555555555555E-2</v>
      </c>
      <c r="C9" s="129">
        <v>0.2048611111111111</v>
      </c>
      <c r="D9" s="129">
        <v>0.2048611111111111</v>
      </c>
      <c r="E9" s="129"/>
      <c r="F9" s="146"/>
      <c r="G9" s="146"/>
      <c r="H9" s="129"/>
      <c r="I9" s="129">
        <v>0.12986111111111112</v>
      </c>
      <c r="J9" s="129"/>
      <c r="K9" s="129"/>
      <c r="L9" s="146">
        <v>0.2048611111111111</v>
      </c>
      <c r="M9" s="146">
        <v>0.2048611111111111</v>
      </c>
      <c r="N9" s="146"/>
    </row>
    <row r="10" spans="1:14" ht="13">
      <c r="A10" s="250"/>
      <c r="B10" s="147"/>
      <c r="C10" s="147"/>
      <c r="D10" s="147"/>
      <c r="E10" s="147"/>
      <c r="F10" s="148"/>
      <c r="G10" s="148"/>
      <c r="H10" s="147"/>
      <c r="I10" s="147"/>
      <c r="J10" s="147"/>
      <c r="K10" s="147"/>
      <c r="L10" s="148"/>
      <c r="M10" s="148"/>
      <c r="N10" s="148"/>
    </row>
    <row r="11" spans="1:14" ht="13">
      <c r="A11" s="248">
        <v>3</v>
      </c>
      <c r="B11" s="135">
        <v>0.16111111111111112</v>
      </c>
      <c r="C11" s="135">
        <v>0.16111111111111112</v>
      </c>
      <c r="D11" s="135">
        <v>0.16111111111111112</v>
      </c>
      <c r="E11" s="135"/>
      <c r="F11" s="144"/>
      <c r="G11" s="144"/>
      <c r="H11" s="135"/>
      <c r="I11" s="135"/>
      <c r="J11" s="135"/>
      <c r="K11" s="135"/>
      <c r="L11" s="144">
        <v>0.16111111111111112</v>
      </c>
      <c r="M11" s="144">
        <v>0.16111111111111112</v>
      </c>
      <c r="N11" s="144"/>
    </row>
    <row r="12" spans="1:14" ht="13">
      <c r="A12" s="249"/>
      <c r="B12" s="129">
        <v>0.24097222222222223</v>
      </c>
      <c r="C12" s="129">
        <v>0.24097222222222223</v>
      </c>
      <c r="D12" s="129">
        <v>0.24097222222222223</v>
      </c>
      <c r="E12" s="129"/>
      <c r="F12" s="146"/>
      <c r="G12" s="146"/>
      <c r="H12" s="129"/>
      <c r="I12" s="129"/>
      <c r="J12" s="129"/>
      <c r="K12" s="129"/>
      <c r="L12" s="129">
        <v>0.24097222222222223</v>
      </c>
      <c r="M12" s="129">
        <v>0.24097222222222223</v>
      </c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>
        <v>0.34166666666666667</v>
      </c>
      <c r="C15" s="133">
        <v>0.37430555555555556</v>
      </c>
      <c r="D15" s="144">
        <v>3.1944444444444442E-2</v>
      </c>
      <c r="E15" s="135">
        <v>0.19652777777777777</v>
      </c>
      <c r="F15" s="135"/>
      <c r="G15" s="144"/>
      <c r="H15" s="135"/>
      <c r="I15" s="149">
        <v>0.17708333333333334</v>
      </c>
      <c r="J15" s="135">
        <v>0.17777777777777778</v>
      </c>
      <c r="K15" s="135"/>
      <c r="L15" s="144">
        <v>0.37430555555555556</v>
      </c>
      <c r="M15" s="144">
        <v>0.19583333333333333</v>
      </c>
      <c r="N15" s="144"/>
    </row>
    <row r="16" spans="1:14" ht="13">
      <c r="A16" s="252"/>
      <c r="B16" s="146">
        <v>0.2326388888888889</v>
      </c>
      <c r="C16" s="129"/>
      <c r="D16" s="146">
        <v>0.18194444444444444</v>
      </c>
      <c r="E16" s="129"/>
      <c r="F16" s="146"/>
      <c r="G16" s="146"/>
      <c r="H16" s="129"/>
      <c r="I16" s="129"/>
      <c r="J16" s="129"/>
      <c r="K16" s="129"/>
      <c r="L16" s="146"/>
      <c r="M16" s="146"/>
      <c r="N16" s="146"/>
    </row>
    <row r="17" spans="1:31" ht="13">
      <c r="A17" s="252"/>
      <c r="B17" s="146"/>
      <c r="C17" s="129"/>
      <c r="D17" s="146"/>
      <c r="E17" s="129"/>
      <c r="F17" s="129"/>
      <c r="G17" s="146"/>
      <c r="H17" s="129"/>
      <c r="I17" s="129"/>
      <c r="J17" s="129"/>
      <c r="K17" s="129"/>
      <c r="L17" s="146"/>
      <c r="M17" s="146"/>
      <c r="N17" s="146"/>
    </row>
    <row r="18" spans="1:31" ht="13">
      <c r="A18" s="252"/>
      <c r="B18" s="146"/>
      <c r="C18" s="129"/>
      <c r="D18" s="146"/>
      <c r="E18" s="129"/>
      <c r="F18" s="129"/>
      <c r="G18" s="146"/>
      <c r="H18" s="129"/>
      <c r="I18" s="129"/>
      <c r="J18" s="129"/>
      <c r="K18" s="129"/>
      <c r="L18" s="146"/>
      <c r="M18" s="146"/>
      <c r="N18" s="146"/>
    </row>
    <row r="19" spans="1:31" ht="13">
      <c r="A19" s="252"/>
      <c r="B19" s="146"/>
      <c r="C19" s="129"/>
      <c r="D19" s="157"/>
      <c r="E19" s="129"/>
      <c r="F19" s="129"/>
      <c r="G19" s="146"/>
      <c r="H19" s="129"/>
      <c r="I19" s="129"/>
      <c r="J19" s="129"/>
      <c r="K19" s="129"/>
      <c r="L19" s="146"/>
      <c r="M19" s="146"/>
      <c r="N19" s="146"/>
    </row>
    <row r="20" spans="1:31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31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31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  <c r="AA23" s="152" t="s">
        <v>678</v>
      </c>
      <c r="AB23" s="125" t="s">
        <v>679</v>
      </c>
      <c r="AC23" s="125" t="s">
        <v>680</v>
      </c>
      <c r="AD23" s="125" t="s">
        <v>681</v>
      </c>
      <c r="AE23" s="125" t="s">
        <v>682</v>
      </c>
    </row>
    <row r="24" spans="1:31" ht="22.5" customHeight="1">
      <c r="A24" s="126" t="s">
        <v>670</v>
      </c>
      <c r="B24" s="126">
        <v>144</v>
      </c>
      <c r="C24" s="126">
        <v>2</v>
      </c>
      <c r="D24" s="153">
        <f>B24/750</f>
        <v>0.192</v>
      </c>
      <c r="E24" s="153">
        <f>C24/200</f>
        <v>0.01</v>
      </c>
      <c r="G24" s="126" t="s">
        <v>670</v>
      </c>
      <c r="H24" s="139">
        <f>SUM(B3:B6)</f>
        <v>0.61250000000000004</v>
      </c>
      <c r="I24" s="126">
        <v>164</v>
      </c>
      <c r="J24" s="126">
        <v>37</v>
      </c>
      <c r="K24" s="153">
        <f>I24/750</f>
        <v>0.21866666666666668</v>
      </c>
      <c r="L24" s="153">
        <f>J24/200</f>
        <v>0.185</v>
      </c>
      <c r="N24" s="126" t="s">
        <v>670</v>
      </c>
      <c r="O24" s="139">
        <f>SUM(B7:B10)</f>
        <v>0.38541666666666669</v>
      </c>
      <c r="P24" s="126">
        <v>103</v>
      </c>
      <c r="Q24" s="126">
        <v>22</v>
      </c>
      <c r="R24" s="153">
        <f>P24/750</f>
        <v>0.13733333333333334</v>
      </c>
      <c r="S24" s="153">
        <f>Q24/200</f>
        <v>0.11</v>
      </c>
      <c r="U24" s="126" t="s">
        <v>670</v>
      </c>
      <c r="V24" s="139">
        <f>SUM(B11:B14)</f>
        <v>0.40208333333333335</v>
      </c>
      <c r="W24" s="126">
        <v>150</v>
      </c>
      <c r="X24" s="126">
        <v>32</v>
      </c>
      <c r="Y24" s="153">
        <f>W24/750</f>
        <v>0.2</v>
      </c>
      <c r="Z24" s="153">
        <f>X24/200</f>
        <v>0.16</v>
      </c>
      <c r="AA24" s="153"/>
      <c r="AB24" s="153"/>
      <c r="AC24" s="153"/>
      <c r="AD24" s="153"/>
      <c r="AE24" s="153"/>
    </row>
    <row r="25" spans="1:31" ht="22.5" customHeight="1">
      <c r="A25" s="126" t="s">
        <v>650</v>
      </c>
      <c r="B25" s="126">
        <v>151</v>
      </c>
      <c r="C25" s="126">
        <v>1</v>
      </c>
      <c r="D25" s="153">
        <f>B25/720</f>
        <v>0.20972222222222223</v>
      </c>
      <c r="E25" s="153">
        <f>C25/65</f>
        <v>1.5384615384615385E-2</v>
      </c>
      <c r="G25" s="126" t="s">
        <v>650</v>
      </c>
      <c r="H25" s="139">
        <f>SUM(C3:C6)</f>
        <v>0.61250000000000004</v>
      </c>
      <c r="I25" s="126">
        <v>148</v>
      </c>
      <c r="J25" s="126">
        <v>14</v>
      </c>
      <c r="K25" s="153">
        <f>I25/720</f>
        <v>0.20555555555555555</v>
      </c>
      <c r="L25" s="153">
        <f>J25/65</f>
        <v>0.2153846153846154</v>
      </c>
      <c r="N25" s="126" t="s">
        <v>650</v>
      </c>
      <c r="O25" s="139">
        <f>SUM(C7:C10)</f>
        <v>0.44166666666666665</v>
      </c>
      <c r="P25" s="126">
        <v>99</v>
      </c>
      <c r="Q25" s="126">
        <v>7</v>
      </c>
      <c r="R25" s="153">
        <f>P25/720</f>
        <v>0.13750000000000001</v>
      </c>
      <c r="S25" s="153">
        <f>Q25/65</f>
        <v>0.1076923076923077</v>
      </c>
      <c r="U25" s="126" t="s">
        <v>650</v>
      </c>
      <c r="V25" s="139">
        <f>SUM(C11:C14)</f>
        <v>0.40208333333333335</v>
      </c>
      <c r="W25" s="126">
        <v>156</v>
      </c>
      <c r="X25" s="126">
        <v>12</v>
      </c>
      <c r="Y25" s="153">
        <f>W25/720</f>
        <v>0.21666666666666667</v>
      </c>
      <c r="Z25" s="153">
        <f>X25/65</f>
        <v>0.18461538461538463</v>
      </c>
      <c r="AA25" s="153"/>
      <c r="AB25" s="153"/>
      <c r="AC25" s="153"/>
      <c r="AD25" s="153"/>
      <c r="AE25" s="153"/>
    </row>
    <row r="26" spans="1:31" ht="22.5" customHeight="1">
      <c r="A26" s="126" t="s">
        <v>651</v>
      </c>
      <c r="B26" s="126">
        <v>147</v>
      </c>
      <c r="C26" s="126">
        <v>3</v>
      </c>
      <c r="D26" s="153">
        <f>B26/750</f>
        <v>0.19600000000000001</v>
      </c>
      <c r="E26" s="153">
        <f>C26/185</f>
        <v>1.6216216216216217E-2</v>
      </c>
      <c r="G26" s="126" t="s">
        <v>651</v>
      </c>
      <c r="H26" s="139">
        <f>SUM($D3:$D6)</f>
        <v>0.3840277777777778</v>
      </c>
      <c r="I26" s="126">
        <v>84</v>
      </c>
      <c r="J26" s="126">
        <v>10</v>
      </c>
      <c r="K26" s="153">
        <f>I26/750</f>
        <v>0.112</v>
      </c>
      <c r="L26" s="153">
        <f>J26/185</f>
        <v>5.4054054054054057E-2</v>
      </c>
      <c r="N26" s="126" t="s">
        <v>651</v>
      </c>
      <c r="O26" s="139">
        <f>SUM(D7:D10)</f>
        <v>0.55972222222222223</v>
      </c>
      <c r="P26" s="126">
        <v>126</v>
      </c>
      <c r="Q26" s="126">
        <v>24</v>
      </c>
      <c r="R26" s="153">
        <f>P26/750</f>
        <v>0.16800000000000001</v>
      </c>
      <c r="S26" s="153">
        <f>Q26/185</f>
        <v>0.12972972972972974</v>
      </c>
      <c r="U26" s="126" t="s">
        <v>651</v>
      </c>
      <c r="V26" s="139">
        <f>SUM(D11:D14)</f>
        <v>0.40208333333333335</v>
      </c>
      <c r="W26" s="126">
        <v>160</v>
      </c>
      <c r="X26" s="126">
        <v>25</v>
      </c>
      <c r="Y26" s="153">
        <f>W26/750</f>
        <v>0.21333333333333335</v>
      </c>
      <c r="Z26" s="153">
        <f>X26/185</f>
        <v>0.13513513513513514</v>
      </c>
      <c r="AA26" s="153"/>
      <c r="AB26" s="153"/>
      <c r="AC26" s="153"/>
      <c r="AD26" s="153"/>
      <c r="AE26" s="153"/>
    </row>
    <row r="27" spans="1:31" ht="22.5" customHeight="1">
      <c r="A27" s="126" t="s">
        <v>652</v>
      </c>
      <c r="B27" s="126">
        <v>143</v>
      </c>
      <c r="C27" s="126">
        <v>1</v>
      </c>
      <c r="D27" s="153">
        <f>B27/700</f>
        <v>0.20428571428571429</v>
      </c>
      <c r="E27" s="153">
        <f>C27/220</f>
        <v>4.5454545454545452E-3</v>
      </c>
      <c r="G27" s="126" t="s">
        <v>652</v>
      </c>
      <c r="H27" s="139">
        <f>SUM(E3:E6)</f>
        <v>0</v>
      </c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</v>
      </c>
      <c r="R27" s="153">
        <f>P27/700</f>
        <v>0</v>
      </c>
      <c r="S27" s="153">
        <f t="shared" ref="S27:S28" si="1">Q27/220</f>
        <v>0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  <c r="AA27" s="153"/>
      <c r="AB27" s="153"/>
      <c r="AC27" s="153"/>
      <c r="AD27" s="153"/>
      <c r="AE27" s="153"/>
    </row>
    <row r="28" spans="1:31" ht="22.5" customHeight="1">
      <c r="A28" s="126" t="s">
        <v>653</v>
      </c>
      <c r="D28" s="153">
        <f>B28/800</f>
        <v>0</v>
      </c>
      <c r="E28" s="153">
        <f>C29/220</f>
        <v>1.8181818181818181E-2</v>
      </c>
      <c r="G28" s="126" t="s">
        <v>653</v>
      </c>
      <c r="H28" s="139">
        <f>SUM(F3:F6)</f>
        <v>0</v>
      </c>
      <c r="K28" s="153">
        <f>I28/800</f>
        <v>0</v>
      </c>
      <c r="L28" s="153">
        <f t="shared" si="0"/>
        <v>0</v>
      </c>
      <c r="N28" s="126" t="s">
        <v>653</v>
      </c>
      <c r="O28" s="139">
        <f>SUM(F7:F10)</f>
        <v>0</v>
      </c>
      <c r="R28" s="153">
        <f>P28/800</f>
        <v>0</v>
      </c>
      <c r="S28" s="153">
        <f t="shared" si="1"/>
        <v>0</v>
      </c>
      <c r="U28" s="126" t="s">
        <v>653</v>
      </c>
      <c r="V28" s="139">
        <f>SUM(F11:F14)</f>
        <v>0</v>
      </c>
      <c r="Y28" s="153">
        <f>W28/800</f>
        <v>0</v>
      </c>
      <c r="Z28" s="153">
        <f t="shared" si="2"/>
        <v>0</v>
      </c>
      <c r="AA28" s="153"/>
      <c r="AB28" s="153"/>
      <c r="AC28" s="153"/>
      <c r="AD28" s="153"/>
      <c r="AE28" s="153"/>
    </row>
    <row r="29" spans="1:31" ht="22.5" customHeight="1">
      <c r="A29" s="126" t="s">
        <v>654</v>
      </c>
      <c r="B29" s="126">
        <v>155</v>
      </c>
      <c r="C29" s="126">
        <v>4</v>
      </c>
      <c r="D29" s="153">
        <f>B29/820</f>
        <v>0.18902439024390244</v>
      </c>
      <c r="E29" s="153">
        <f>C30/240</f>
        <v>1.6666666666666666E-2</v>
      </c>
      <c r="G29" s="126" t="s">
        <v>654</v>
      </c>
      <c r="H29" s="139">
        <f>SUM(G3:G6)</f>
        <v>0</v>
      </c>
      <c r="K29" s="153">
        <f>I29/820</f>
        <v>0</v>
      </c>
      <c r="L29" s="153">
        <f>J29/240</f>
        <v>0</v>
      </c>
      <c r="N29" s="126" t="s">
        <v>654</v>
      </c>
      <c r="O29" s="139">
        <f>SUM(G7:G10)</f>
        <v>0</v>
      </c>
      <c r="R29" s="153">
        <f>P29/820</f>
        <v>0</v>
      </c>
      <c r="S29" s="153">
        <f>Q29/240</f>
        <v>0</v>
      </c>
      <c r="U29" s="126" t="s">
        <v>654</v>
      </c>
      <c r="V29" s="139">
        <f>SUM(G11:G14)</f>
        <v>0</v>
      </c>
      <c r="Y29" s="153">
        <f>W29/820</f>
        <v>0</v>
      </c>
      <c r="Z29" s="153">
        <f>X29/240</f>
        <v>0</v>
      </c>
      <c r="AA29" s="153"/>
      <c r="AB29" s="153"/>
      <c r="AC29" s="153"/>
      <c r="AD29" s="153"/>
      <c r="AE29" s="153"/>
    </row>
    <row r="30" spans="1:31" ht="22.5" customHeight="1">
      <c r="A30" s="126" t="s">
        <v>655</v>
      </c>
      <c r="B30" s="126">
        <v>114</v>
      </c>
      <c r="C30" s="126">
        <v>4</v>
      </c>
      <c r="D30" s="153">
        <f>B30/620</f>
        <v>0.18387096774193548</v>
      </c>
      <c r="E30" s="153">
        <f>C31/90</f>
        <v>7.7777777777777779E-2</v>
      </c>
      <c r="G30" s="126" t="s">
        <v>655</v>
      </c>
      <c r="H30" s="139">
        <f>SUM(H3:H6)</f>
        <v>0.11041666666666666</v>
      </c>
      <c r="I30" s="126">
        <v>26</v>
      </c>
      <c r="J30" s="126">
        <v>7</v>
      </c>
      <c r="K30" s="153">
        <f>I30/620</f>
        <v>4.1935483870967745E-2</v>
      </c>
      <c r="L30" s="153">
        <f>J30/90</f>
        <v>7.7777777777777779E-2</v>
      </c>
      <c r="N30" s="126" t="s">
        <v>655</v>
      </c>
      <c r="O30" s="139">
        <f>SUM(H7:H10)</f>
        <v>7.4305555555555555E-2</v>
      </c>
      <c r="P30" s="126">
        <v>17</v>
      </c>
      <c r="Q30" s="126">
        <v>2</v>
      </c>
      <c r="R30" s="153">
        <f>P30/620</f>
        <v>2.7419354838709678E-2</v>
      </c>
      <c r="S30" s="153">
        <f>Q30/90</f>
        <v>2.2222222222222223E-2</v>
      </c>
      <c r="U30" s="126" t="s">
        <v>655</v>
      </c>
      <c r="V30" s="139">
        <f>SUM(H11:H14)</f>
        <v>0</v>
      </c>
      <c r="W30" s="126">
        <v>43</v>
      </c>
      <c r="X30" s="126">
        <v>5</v>
      </c>
      <c r="Y30" s="153">
        <f>W30/620</f>
        <v>6.9354838709677416E-2</v>
      </c>
      <c r="Z30" s="153">
        <f>X30/90</f>
        <v>5.5555555555555552E-2</v>
      </c>
      <c r="AA30" s="153"/>
      <c r="AB30" s="153"/>
      <c r="AC30" s="153"/>
      <c r="AD30" s="153"/>
      <c r="AE30" s="153"/>
    </row>
    <row r="31" spans="1:31" ht="22.5" customHeight="1">
      <c r="A31" s="126" t="s">
        <v>659</v>
      </c>
      <c r="B31" s="126">
        <v>160</v>
      </c>
      <c r="C31" s="126">
        <v>7</v>
      </c>
      <c r="D31" s="153">
        <f>B31/820</f>
        <v>0.1951219512195122</v>
      </c>
      <c r="E31" s="153">
        <f>C32/200</f>
        <v>5.0000000000000001E-3</v>
      </c>
      <c r="G31" s="126" t="s">
        <v>659</v>
      </c>
      <c r="H31" s="139">
        <f>SUM(I3:I6)</f>
        <v>0.22847222222222222</v>
      </c>
      <c r="I31" s="126">
        <v>62</v>
      </c>
      <c r="J31" s="126">
        <v>13</v>
      </c>
      <c r="K31" s="153">
        <f>I31/820</f>
        <v>7.5609756097560973E-2</v>
      </c>
      <c r="L31" s="153">
        <f>J31/200</f>
        <v>6.5000000000000002E-2</v>
      </c>
      <c r="N31" s="126" t="s">
        <v>659</v>
      </c>
      <c r="O31" s="154">
        <f>SUM(I7:I10)</f>
        <v>0.50763888888888886</v>
      </c>
      <c r="P31" s="126">
        <v>126</v>
      </c>
      <c r="Q31" s="126">
        <v>30</v>
      </c>
      <c r="R31" s="153">
        <f>P31/820</f>
        <v>0.15365853658536585</v>
      </c>
      <c r="S31" s="153">
        <f>Q31/200</f>
        <v>0.15</v>
      </c>
      <c r="U31" s="126" t="s">
        <v>659</v>
      </c>
      <c r="V31" s="139">
        <f>SUM(I11:I14)</f>
        <v>0</v>
      </c>
      <c r="W31" s="126">
        <v>95</v>
      </c>
      <c r="X31" s="126">
        <v>20</v>
      </c>
      <c r="Y31" s="153">
        <f>W31/820</f>
        <v>0.11585365853658537</v>
      </c>
      <c r="Z31" s="153">
        <f>X31/200</f>
        <v>0.1</v>
      </c>
      <c r="AA31" s="153"/>
      <c r="AB31" s="153"/>
      <c r="AC31" s="153"/>
      <c r="AD31" s="153"/>
      <c r="AE31" s="153"/>
    </row>
    <row r="32" spans="1:31" ht="22.5" customHeight="1">
      <c r="A32" s="126" t="s">
        <v>660</v>
      </c>
      <c r="B32" s="126">
        <v>116</v>
      </c>
      <c r="C32" s="126">
        <v>1</v>
      </c>
      <c r="D32" s="153">
        <f>B32/505</f>
        <v>0.22970297029702971</v>
      </c>
      <c r="E32" s="153">
        <f>C33/42</f>
        <v>0.40476190476190477</v>
      </c>
      <c r="G32" s="126" t="s">
        <v>660</v>
      </c>
      <c r="H32" s="139">
        <f>SUM(J3:J6)</f>
        <v>0.43402777777777779</v>
      </c>
      <c r="I32" s="126">
        <v>87</v>
      </c>
      <c r="J32" s="126">
        <v>3</v>
      </c>
      <c r="K32" s="153">
        <f>I32/505</f>
        <v>0.17227722772277226</v>
      </c>
      <c r="L32" s="153">
        <f>J32/42</f>
        <v>7.1428571428571425E-2</v>
      </c>
      <c r="N32" s="126" t="s">
        <v>660</v>
      </c>
      <c r="O32" s="139">
        <f>SUM(J7:J10)</f>
        <v>7.4305555555555555E-2</v>
      </c>
      <c r="P32" s="126">
        <v>11</v>
      </c>
      <c r="Q32" s="126">
        <v>1</v>
      </c>
      <c r="R32" s="153">
        <f>P32/505</f>
        <v>2.1782178217821781E-2</v>
      </c>
      <c r="S32" s="153">
        <f>Q32/42</f>
        <v>2.3809523809523808E-2</v>
      </c>
      <c r="U32" s="126" t="s">
        <v>660</v>
      </c>
      <c r="V32" s="139">
        <f>SUM(J11:J14)</f>
        <v>0</v>
      </c>
      <c r="Y32" s="153">
        <f>W32/505</f>
        <v>0</v>
      </c>
      <c r="Z32" s="153">
        <f>X32/42</f>
        <v>0</v>
      </c>
      <c r="AA32" s="153"/>
      <c r="AB32" s="153"/>
      <c r="AC32" s="153"/>
      <c r="AD32" s="153"/>
      <c r="AE32" s="153"/>
    </row>
    <row r="33" spans="1:32" ht="22.5" customHeight="1">
      <c r="A33" s="126" t="s">
        <v>661</v>
      </c>
      <c r="B33" s="126">
        <v>176</v>
      </c>
      <c r="C33" s="126">
        <v>17</v>
      </c>
      <c r="D33" s="153">
        <f>B33/740</f>
        <v>0.23783783783783785</v>
      </c>
      <c r="E33" s="153">
        <f>C34/215</f>
        <v>1.3953488372093023E-2</v>
      </c>
      <c r="G33" s="126" t="s">
        <v>661</v>
      </c>
      <c r="H33" s="139">
        <f>SUM(K3:K6)</f>
        <v>0</v>
      </c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  <c r="AA33" s="153"/>
      <c r="AB33" s="153"/>
      <c r="AC33" s="153"/>
      <c r="AD33" s="153"/>
      <c r="AE33" s="153"/>
    </row>
    <row r="34" spans="1:32" ht="22.5" customHeight="1">
      <c r="A34" s="126" t="s">
        <v>662</v>
      </c>
      <c r="B34" s="126">
        <v>129</v>
      </c>
      <c r="C34" s="126">
        <v>3</v>
      </c>
      <c r="D34" s="153">
        <f>B34/800</f>
        <v>0.16125</v>
      </c>
      <c r="E34" s="153">
        <f>C35/170</f>
        <v>5.8823529411764705E-3</v>
      </c>
      <c r="G34" s="126" t="s">
        <v>662</v>
      </c>
      <c r="H34" s="139">
        <f>SUM(L3:L6)</f>
        <v>0.50138888888888888</v>
      </c>
      <c r="I34" s="126">
        <v>147</v>
      </c>
      <c r="J34" s="126">
        <v>29</v>
      </c>
      <c r="K34" s="153">
        <f>I34/800</f>
        <v>0.18375</v>
      </c>
      <c r="L34" s="153">
        <f>J34/170</f>
        <v>0.17058823529411765</v>
      </c>
      <c r="N34" s="126" t="s">
        <v>662</v>
      </c>
      <c r="O34" s="139">
        <f>SUM(L7:L10)</f>
        <v>0.63402777777777786</v>
      </c>
      <c r="P34" s="126">
        <v>169</v>
      </c>
      <c r="Q34" s="126">
        <v>35</v>
      </c>
      <c r="R34" s="153">
        <f>P34/800</f>
        <v>0.21124999999999999</v>
      </c>
      <c r="S34" s="153">
        <f>Q34/170</f>
        <v>0.20588235294117646</v>
      </c>
      <c r="U34" s="126" t="s">
        <v>662</v>
      </c>
      <c r="V34" s="139">
        <f>SUM(L11:L14)</f>
        <v>0.40208333333333335</v>
      </c>
      <c r="W34" s="126">
        <v>124</v>
      </c>
      <c r="X34" s="126">
        <v>26</v>
      </c>
      <c r="Y34" s="153">
        <f>W34/800</f>
        <v>0.155</v>
      </c>
      <c r="Z34" s="153">
        <f>X34/170</f>
        <v>0.15294117647058825</v>
      </c>
      <c r="AA34" s="153"/>
      <c r="AB34" s="153"/>
      <c r="AC34" s="153"/>
      <c r="AD34" s="153"/>
      <c r="AE34" s="153"/>
    </row>
    <row r="35" spans="1:32" ht="22.5" customHeight="1">
      <c r="A35" s="126" t="s">
        <v>663</v>
      </c>
      <c r="B35" s="126">
        <v>138</v>
      </c>
      <c r="C35" s="126">
        <v>1</v>
      </c>
      <c r="D35" s="153">
        <f>B35/580</f>
        <v>0.23793103448275862</v>
      </c>
      <c r="E35" s="153">
        <f>C36/75</f>
        <v>6.6666666666666666E-2</v>
      </c>
      <c r="G35" s="126" t="s">
        <v>663</v>
      </c>
      <c r="H35" s="139">
        <f>SUM(M3:M6)</f>
        <v>0.17847222222222223</v>
      </c>
      <c r="I35" s="126">
        <v>49</v>
      </c>
      <c r="J35" s="126">
        <v>8</v>
      </c>
      <c r="K35" s="153">
        <f>I35/580</f>
        <v>8.4482758620689657E-2</v>
      </c>
      <c r="L35" s="153">
        <f>J35/75</f>
        <v>0.10666666666666667</v>
      </c>
      <c r="N35" s="126" t="s">
        <v>663</v>
      </c>
      <c r="O35" s="139">
        <f>SUM(M7:M10)</f>
        <v>0.55972222222222223</v>
      </c>
      <c r="P35" s="126">
        <v>130</v>
      </c>
      <c r="Q35" s="126">
        <v>18</v>
      </c>
      <c r="R35" s="153">
        <f>P35/580</f>
        <v>0.22413793103448276</v>
      </c>
      <c r="S35" s="153">
        <f>Q35/75</f>
        <v>0.24</v>
      </c>
      <c r="U35" s="126" t="s">
        <v>663</v>
      </c>
      <c r="V35" s="139">
        <f>SUM(M11:M14)</f>
        <v>0.40208333333333335</v>
      </c>
      <c r="W35" s="126">
        <v>115</v>
      </c>
      <c r="X35" s="126">
        <v>17</v>
      </c>
      <c r="Y35" s="153">
        <f>W35/580</f>
        <v>0.19827586206896552</v>
      </c>
      <c r="Z35" s="153">
        <f>X35/75</f>
        <v>0.22666666666666666</v>
      </c>
      <c r="AA35" s="153"/>
      <c r="AB35" s="153"/>
      <c r="AC35" s="153"/>
      <c r="AD35" s="153"/>
      <c r="AE35" s="153"/>
    </row>
    <row r="36" spans="1:32" ht="22.5" customHeight="1">
      <c r="A36" s="126" t="s">
        <v>664</v>
      </c>
      <c r="B36" s="126">
        <v>164</v>
      </c>
      <c r="C36" s="126">
        <v>5</v>
      </c>
      <c r="D36" s="153">
        <f>B36/720</f>
        <v>0.22777777777777777</v>
      </c>
      <c r="E36" s="153" t="e">
        <f>#REF!/100</f>
        <v>#REF!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  <c r="AA36" s="153"/>
      <c r="AB36" s="153"/>
      <c r="AC36" s="153"/>
      <c r="AD36" s="153"/>
      <c r="AE36" s="153"/>
    </row>
    <row r="37" spans="1:32" ht="22.5" customHeight="1">
      <c r="A37" s="126" t="s">
        <v>671</v>
      </c>
      <c r="B37" s="126">
        <f>AVERAGE(B24:B36)</f>
        <v>144.75</v>
      </c>
      <c r="C37" s="126"/>
      <c r="D37" s="153">
        <f t="shared" ref="D37:E37" si="3">SUM(D24:D36)</f>
        <v>2.4645248661086905</v>
      </c>
      <c r="E37" s="153" t="e">
        <f t="shared" si="3"/>
        <v>#REF!</v>
      </c>
      <c r="G37" s="126" t="s">
        <v>671</v>
      </c>
      <c r="H37" s="139">
        <f>SUM(H24:H36)</f>
        <v>3.0618055555555559</v>
      </c>
      <c r="I37" s="126"/>
      <c r="J37" s="126"/>
      <c r="K37" s="153">
        <f t="shared" ref="K37:L37" si="4">SUM(K24:K36)</f>
        <v>1.0942774485342128</v>
      </c>
      <c r="L37" s="153">
        <f t="shared" si="4"/>
        <v>0.94589992060580297</v>
      </c>
      <c r="N37" s="126" t="s">
        <v>671</v>
      </c>
      <c r="O37" s="139"/>
      <c r="P37" s="126"/>
      <c r="Q37" s="126"/>
      <c r="R37" s="153">
        <f t="shared" ref="R37:S37" si="5">SUM(R24:R36)</f>
        <v>1.0810813340097134</v>
      </c>
      <c r="S37" s="153">
        <f t="shared" si="5"/>
        <v>0.98933613639495999</v>
      </c>
      <c r="U37" s="126" t="s">
        <v>671</v>
      </c>
      <c r="V37" s="139">
        <f>SUM(V24:V36)</f>
        <v>2.010416666666667</v>
      </c>
      <c r="W37" s="126"/>
      <c r="X37" s="126"/>
      <c r="Y37" s="153">
        <f t="shared" ref="Y37:Z37" si="6">SUM(Y24:Y36)</f>
        <v>1.1684843593152283</v>
      </c>
      <c r="Z37" s="153">
        <f t="shared" si="6"/>
        <v>1.0149139184433302</v>
      </c>
      <c r="AA37" s="153"/>
      <c r="AB37" s="153"/>
      <c r="AC37" s="153"/>
      <c r="AD37" s="153"/>
      <c r="AE37" s="153"/>
    </row>
    <row r="39" spans="1:32" ht="13">
      <c r="W39" s="228" t="s">
        <v>683</v>
      </c>
      <c r="X39" s="227"/>
      <c r="Y39" s="227"/>
      <c r="Z39" s="227"/>
    </row>
    <row r="40" spans="1:32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/>
      <c r="P40" s="1"/>
      <c r="Q40" s="1"/>
      <c r="R40" s="1"/>
      <c r="S40" s="1"/>
      <c r="W40" s="1" t="s">
        <v>684</v>
      </c>
      <c r="X40" s="1" t="s">
        <v>615</v>
      </c>
      <c r="Y40" s="1" t="s">
        <v>685</v>
      </c>
      <c r="Z40" s="1" t="s">
        <v>686</v>
      </c>
      <c r="AA40" s="1" t="s">
        <v>687</v>
      </c>
      <c r="AB40" s="1" t="s">
        <v>684</v>
      </c>
      <c r="AC40" s="1" t="s">
        <v>615</v>
      </c>
      <c r="AD40" s="1" t="s">
        <v>685</v>
      </c>
      <c r="AE40" s="1" t="s">
        <v>686</v>
      </c>
      <c r="AF40" s="1" t="s">
        <v>687</v>
      </c>
    </row>
    <row r="41" spans="1:32" ht="22.5" customHeight="1">
      <c r="A41" s="126" t="s">
        <v>670</v>
      </c>
      <c r="B41" s="139">
        <f>SUM(B15:B21)</f>
        <v>0.57430555555555562</v>
      </c>
      <c r="C41" s="126">
        <v>128</v>
      </c>
      <c r="D41" s="126">
        <v>27</v>
      </c>
      <c r="E41" s="153">
        <f>C41/750</f>
        <v>0.17066666666666666</v>
      </c>
      <c r="F41" s="153">
        <f>D41/200</f>
        <v>0.13500000000000001</v>
      </c>
      <c r="H41" s="126" t="s">
        <v>670</v>
      </c>
      <c r="I41" s="139">
        <f t="shared" ref="I41:I54" si="7">SUM(H24,O24,V24,B41)</f>
        <v>1.9743055555555558</v>
      </c>
      <c r="J41" s="126">
        <f t="shared" ref="J41:M41" si="8">SUM(B24,I24,P24,W24,C41)</f>
        <v>689</v>
      </c>
      <c r="K41" s="126">
        <f t="shared" si="8"/>
        <v>120</v>
      </c>
      <c r="L41" s="153">
        <f t="shared" si="8"/>
        <v>0.91866666666666663</v>
      </c>
      <c r="M41" s="153">
        <f t="shared" si="8"/>
        <v>0.6</v>
      </c>
      <c r="O41" s="1"/>
      <c r="P41" s="1"/>
      <c r="Q41" s="1"/>
      <c r="R41" s="1"/>
      <c r="S41" s="1"/>
      <c r="V41" s="1" t="s">
        <v>688</v>
      </c>
      <c r="W41" s="1">
        <v>750</v>
      </c>
      <c r="X41" s="1">
        <v>150</v>
      </c>
      <c r="Y41" s="1">
        <f t="shared" ref="Y41:Y53" si="9">(W41-X41)/4</f>
        <v>150</v>
      </c>
      <c r="Z41" s="1">
        <f t="shared" ref="Z41:Z53" si="10">(W41-X41)*0.3</f>
        <v>180</v>
      </c>
      <c r="AA41" s="1">
        <f t="shared" ref="AA41:AA53" si="11">(W41-X41)*0.2</f>
        <v>120</v>
      </c>
      <c r="AB41" s="1">
        <v>200</v>
      </c>
      <c r="AC41" s="1">
        <v>1</v>
      </c>
      <c r="AD41" s="1">
        <f t="shared" ref="AD41:AD53" si="12">AB41/4</f>
        <v>50</v>
      </c>
      <c r="AE41" s="1">
        <f t="shared" ref="AE41:AE53" si="13">AB41*0.3</f>
        <v>60</v>
      </c>
      <c r="AF41" s="1">
        <f t="shared" ref="AF41:AF53" si="14">AB41*0.2</f>
        <v>40</v>
      </c>
    </row>
    <row r="42" spans="1:32" ht="22.5" customHeight="1">
      <c r="A42" s="126" t="s">
        <v>650</v>
      </c>
      <c r="B42" s="139">
        <f>SUM(C15:C21)</f>
        <v>0.37430555555555556</v>
      </c>
      <c r="C42" s="126">
        <v>69</v>
      </c>
      <c r="D42" s="126">
        <v>2</v>
      </c>
      <c r="E42" s="153">
        <f>C42/720</f>
        <v>9.583333333333334E-2</v>
      </c>
      <c r="F42" s="153">
        <f>D42/65</f>
        <v>3.0769230769230771E-2</v>
      </c>
      <c r="H42" s="126" t="s">
        <v>650</v>
      </c>
      <c r="I42" s="139">
        <f t="shared" si="7"/>
        <v>1.8305555555555557</v>
      </c>
      <c r="J42" s="126">
        <f t="shared" ref="J42:M42" si="15">SUM(B25,I25,P25,W25,C42)</f>
        <v>623</v>
      </c>
      <c r="K42" s="126">
        <f t="shared" si="15"/>
        <v>36</v>
      </c>
      <c r="L42" s="153">
        <f t="shared" si="15"/>
        <v>0.86527777777777781</v>
      </c>
      <c r="M42" s="153">
        <f t="shared" si="15"/>
        <v>0.55384615384615388</v>
      </c>
      <c r="O42" s="1"/>
      <c r="P42" s="1"/>
      <c r="Q42" s="1"/>
      <c r="R42" s="1"/>
      <c r="S42" s="1"/>
      <c r="V42" s="1" t="s">
        <v>650</v>
      </c>
      <c r="W42" s="1">
        <v>720</v>
      </c>
      <c r="X42" s="1">
        <v>150</v>
      </c>
      <c r="Y42" s="1">
        <f t="shared" si="9"/>
        <v>142.5</v>
      </c>
      <c r="Z42" s="1">
        <f t="shared" si="10"/>
        <v>171</v>
      </c>
      <c r="AA42" s="1">
        <f t="shared" si="11"/>
        <v>114</v>
      </c>
      <c r="AB42" s="1">
        <v>65</v>
      </c>
      <c r="AC42" s="1">
        <v>1</v>
      </c>
      <c r="AD42" s="1">
        <f t="shared" si="12"/>
        <v>16.25</v>
      </c>
      <c r="AE42" s="1">
        <f t="shared" si="13"/>
        <v>19.5</v>
      </c>
      <c r="AF42" s="1">
        <f t="shared" si="14"/>
        <v>13</v>
      </c>
    </row>
    <row r="43" spans="1:32" ht="22.5" customHeight="1">
      <c r="A43" s="126" t="s">
        <v>651</v>
      </c>
      <c r="B43" s="139">
        <f>SUM(D15:D21)</f>
        <v>0.21388888888888888</v>
      </c>
      <c r="C43" s="126">
        <v>57</v>
      </c>
      <c r="D43" s="126">
        <v>3</v>
      </c>
      <c r="E43" s="153">
        <f>C43/750</f>
        <v>7.5999999999999998E-2</v>
      </c>
      <c r="F43" s="153">
        <f>D43/185</f>
        <v>1.6216216216216217E-2</v>
      </c>
      <c r="H43" s="126" t="s">
        <v>651</v>
      </c>
      <c r="I43" s="139">
        <f t="shared" si="7"/>
        <v>1.5597222222222222</v>
      </c>
      <c r="J43" s="126">
        <f t="shared" ref="J43:M43" si="16">SUM(B26,I26,P26,W26,C43)</f>
        <v>574</v>
      </c>
      <c r="K43" s="126">
        <f t="shared" si="16"/>
        <v>65</v>
      </c>
      <c r="L43" s="153">
        <f t="shared" si="16"/>
        <v>0.76533333333333331</v>
      </c>
      <c r="M43" s="153">
        <f t="shared" si="16"/>
        <v>0.35135135135135137</v>
      </c>
      <c r="O43" s="1"/>
      <c r="P43" s="1"/>
      <c r="Q43" s="1"/>
      <c r="R43" s="1"/>
      <c r="S43" s="1"/>
      <c r="V43" s="1" t="s">
        <v>651</v>
      </c>
      <c r="W43" s="1">
        <v>750</v>
      </c>
      <c r="X43" s="1">
        <v>150</v>
      </c>
      <c r="Y43" s="1">
        <f t="shared" si="9"/>
        <v>150</v>
      </c>
      <c r="Z43" s="1">
        <f t="shared" si="10"/>
        <v>180</v>
      </c>
      <c r="AA43" s="1">
        <f t="shared" si="11"/>
        <v>120</v>
      </c>
      <c r="AB43" s="1">
        <v>185</v>
      </c>
      <c r="AC43" s="1">
        <v>1</v>
      </c>
      <c r="AD43" s="1">
        <f t="shared" si="12"/>
        <v>46.25</v>
      </c>
      <c r="AE43" s="1">
        <f t="shared" si="13"/>
        <v>55.5</v>
      </c>
      <c r="AF43" s="1">
        <f t="shared" si="14"/>
        <v>37</v>
      </c>
    </row>
    <row r="44" spans="1:32" ht="22.5" customHeight="1">
      <c r="A44" s="126" t="s">
        <v>652</v>
      </c>
      <c r="B44" s="139">
        <f>SUM(E15:E21)</f>
        <v>0.19652777777777777</v>
      </c>
      <c r="C44" s="126">
        <v>76</v>
      </c>
      <c r="D44" s="126">
        <v>12</v>
      </c>
      <c r="E44" s="153">
        <f>C44/700</f>
        <v>0.10857142857142857</v>
      </c>
      <c r="F44" s="153">
        <f>D44/220</f>
        <v>5.4545454545454543E-2</v>
      </c>
      <c r="H44" s="126" t="s">
        <v>652</v>
      </c>
      <c r="I44" s="139">
        <f t="shared" si="7"/>
        <v>0.19652777777777777</v>
      </c>
      <c r="J44" s="126">
        <f t="shared" ref="J44:M44" si="17">SUM(B27,I27,P27,W27,C44)</f>
        <v>219</v>
      </c>
      <c r="K44" s="126">
        <f t="shared" si="17"/>
        <v>13</v>
      </c>
      <c r="L44" s="153">
        <f t="shared" si="17"/>
        <v>0.31285714285714283</v>
      </c>
      <c r="M44" s="153">
        <f t="shared" si="17"/>
        <v>5.909090909090909E-2</v>
      </c>
      <c r="O44" s="1"/>
      <c r="P44" s="1"/>
      <c r="Q44" s="1"/>
      <c r="R44" s="1"/>
      <c r="S44" s="1"/>
      <c r="V44" s="1" t="s">
        <v>652</v>
      </c>
      <c r="W44" s="1">
        <v>700</v>
      </c>
      <c r="X44" s="1">
        <v>150</v>
      </c>
      <c r="Y44" s="1">
        <f t="shared" si="9"/>
        <v>137.5</v>
      </c>
      <c r="Z44" s="1">
        <f t="shared" si="10"/>
        <v>165</v>
      </c>
      <c r="AA44" s="1">
        <f t="shared" si="11"/>
        <v>110</v>
      </c>
      <c r="AB44" s="1">
        <v>220</v>
      </c>
      <c r="AC44" s="1">
        <v>1</v>
      </c>
      <c r="AD44" s="1">
        <f t="shared" si="12"/>
        <v>55</v>
      </c>
      <c r="AE44" s="1">
        <f t="shared" si="13"/>
        <v>66</v>
      </c>
      <c r="AF44" s="1">
        <f t="shared" si="14"/>
        <v>44</v>
      </c>
    </row>
    <row r="45" spans="1:32" ht="22.5" customHeight="1">
      <c r="A45" s="126" t="s">
        <v>653</v>
      </c>
      <c r="B45" s="139">
        <f>SUM(F15:F21)</f>
        <v>0</v>
      </c>
      <c r="E45" s="153">
        <f>C45/800</f>
        <v>0</v>
      </c>
      <c r="F45" s="153">
        <f>D46/220</f>
        <v>3.6363636363636362E-2</v>
      </c>
      <c r="H45" s="126" t="s">
        <v>653</v>
      </c>
      <c r="I45" s="139">
        <f t="shared" si="7"/>
        <v>0</v>
      </c>
      <c r="J45" s="126">
        <f t="shared" ref="J45:J54" si="18">SUM(B28,I28,P28,W28,C45)</f>
        <v>0</v>
      </c>
      <c r="K45" s="126">
        <f t="shared" ref="K45:K52" si="19">SUM(C29,J28,Q28,X28,D46)</f>
        <v>12</v>
      </c>
      <c r="L45" s="153">
        <f t="shared" ref="L45:M45" si="20">SUM(D28,K28,R28,Y28,E45)</f>
        <v>0</v>
      </c>
      <c r="M45" s="153">
        <f t="shared" si="20"/>
        <v>5.4545454545454543E-2</v>
      </c>
      <c r="O45" s="1"/>
      <c r="P45" s="1"/>
      <c r="Q45" s="1"/>
      <c r="R45" s="1"/>
      <c r="S45" s="1"/>
      <c r="V45" s="1" t="s">
        <v>653</v>
      </c>
      <c r="W45" s="1">
        <v>800</v>
      </c>
      <c r="X45" s="1">
        <v>150</v>
      </c>
      <c r="Y45" s="1">
        <f t="shared" si="9"/>
        <v>162.5</v>
      </c>
      <c r="Z45" s="1">
        <f t="shared" si="10"/>
        <v>195</v>
      </c>
      <c r="AA45" s="1">
        <f t="shared" si="11"/>
        <v>130</v>
      </c>
      <c r="AB45" s="1">
        <v>220</v>
      </c>
      <c r="AC45" s="1">
        <v>1</v>
      </c>
      <c r="AD45" s="1">
        <f t="shared" si="12"/>
        <v>55</v>
      </c>
      <c r="AE45" s="1">
        <f t="shared" si="13"/>
        <v>66</v>
      </c>
      <c r="AF45" s="1">
        <f t="shared" si="14"/>
        <v>44</v>
      </c>
    </row>
    <row r="46" spans="1:32" ht="22.5" customHeight="1">
      <c r="A46" s="126" t="s">
        <v>654</v>
      </c>
      <c r="B46" s="139">
        <f>SUM(G15:G21)</f>
        <v>0</v>
      </c>
      <c r="C46" s="126">
        <v>28</v>
      </c>
      <c r="D46" s="126">
        <v>8</v>
      </c>
      <c r="E46" s="153">
        <f t="shared" ref="E46:F46" si="21">C46/820</f>
        <v>3.4146341463414637E-2</v>
      </c>
      <c r="F46" s="153">
        <f t="shared" si="21"/>
        <v>9.7560975609756097E-3</v>
      </c>
      <c r="H46" s="126" t="s">
        <v>654</v>
      </c>
      <c r="I46" s="139">
        <f t="shared" si="7"/>
        <v>0</v>
      </c>
      <c r="J46" s="126">
        <f t="shared" si="18"/>
        <v>183</v>
      </c>
      <c r="K46" s="126">
        <f t="shared" si="19"/>
        <v>15</v>
      </c>
      <c r="L46" s="153">
        <f t="shared" ref="L46:M46" si="22">SUM(D29,K29,R29,Y29,E46)</f>
        <v>0.22317073170731708</v>
      </c>
      <c r="M46" s="153">
        <f t="shared" si="22"/>
        <v>2.6422764227642274E-2</v>
      </c>
      <c r="O46" s="1"/>
      <c r="P46" s="1"/>
      <c r="Q46" s="1"/>
      <c r="R46" s="1"/>
      <c r="S46" s="1"/>
      <c r="V46" s="1" t="s">
        <v>654</v>
      </c>
      <c r="W46" s="1">
        <v>820</v>
      </c>
      <c r="X46" s="1">
        <v>150</v>
      </c>
      <c r="Y46" s="1">
        <f t="shared" si="9"/>
        <v>167.5</v>
      </c>
      <c r="Z46" s="1">
        <f t="shared" si="10"/>
        <v>201</v>
      </c>
      <c r="AA46" s="1">
        <f t="shared" si="11"/>
        <v>134</v>
      </c>
      <c r="AB46" s="1">
        <v>240</v>
      </c>
      <c r="AC46" s="1">
        <v>1</v>
      </c>
      <c r="AD46" s="1">
        <f t="shared" si="12"/>
        <v>60</v>
      </c>
      <c r="AE46" s="1">
        <f t="shared" si="13"/>
        <v>72</v>
      </c>
      <c r="AF46" s="1">
        <f t="shared" si="14"/>
        <v>48</v>
      </c>
    </row>
    <row r="47" spans="1:32" ht="22.5" customHeight="1">
      <c r="A47" s="126" t="s">
        <v>655</v>
      </c>
      <c r="B47" s="139">
        <f>SUM(H15:H21)</f>
        <v>0</v>
      </c>
      <c r="C47" s="126">
        <v>67</v>
      </c>
      <c r="D47" s="126">
        <v>11</v>
      </c>
      <c r="E47" s="153">
        <f>C47/620</f>
        <v>0.10806451612903226</v>
      </c>
      <c r="F47" s="153">
        <f>D47/820</f>
        <v>1.3414634146341463E-2</v>
      </c>
      <c r="H47" s="126" t="s">
        <v>655</v>
      </c>
      <c r="I47" s="139">
        <f t="shared" si="7"/>
        <v>0.18472222222222223</v>
      </c>
      <c r="J47" s="126">
        <f t="shared" si="18"/>
        <v>267</v>
      </c>
      <c r="K47" s="126">
        <f t="shared" si="19"/>
        <v>40</v>
      </c>
      <c r="L47" s="153">
        <f t="shared" ref="L47:M47" si="23">SUM(D30,K30,R30,Y30,E47)</f>
        <v>0.4306451612903226</v>
      </c>
      <c r="M47" s="153">
        <f t="shared" si="23"/>
        <v>0.24674796747967481</v>
      </c>
      <c r="O47" s="1"/>
      <c r="P47" s="1"/>
      <c r="Q47" s="1"/>
      <c r="R47" s="1"/>
      <c r="S47" s="1"/>
      <c r="V47" s="1" t="s">
        <v>655</v>
      </c>
      <c r="W47" s="1">
        <v>620</v>
      </c>
      <c r="X47" s="1">
        <v>100</v>
      </c>
      <c r="Y47" s="1">
        <f t="shared" si="9"/>
        <v>130</v>
      </c>
      <c r="Z47" s="1">
        <f t="shared" si="10"/>
        <v>156</v>
      </c>
      <c r="AA47" s="1">
        <f t="shared" si="11"/>
        <v>104</v>
      </c>
      <c r="AB47" s="1">
        <v>90</v>
      </c>
      <c r="AC47" s="1">
        <v>1</v>
      </c>
      <c r="AD47" s="1">
        <f t="shared" si="12"/>
        <v>22.5</v>
      </c>
      <c r="AE47" s="1">
        <f t="shared" si="13"/>
        <v>27</v>
      </c>
      <c r="AF47" s="1">
        <f t="shared" si="14"/>
        <v>18</v>
      </c>
    </row>
    <row r="48" spans="1:32" ht="22.5" customHeight="1">
      <c r="A48" s="126" t="s">
        <v>659</v>
      </c>
      <c r="B48" s="139">
        <f>SUM(I15:I21)</f>
        <v>0.17708333333333334</v>
      </c>
      <c r="C48" s="126">
        <v>111</v>
      </c>
      <c r="D48" s="126">
        <v>19</v>
      </c>
      <c r="E48" s="153">
        <f t="shared" ref="E48:F48" si="24">C48/820</f>
        <v>0.13536585365853659</v>
      </c>
      <c r="F48" s="153">
        <f t="shared" si="24"/>
        <v>2.3170731707317073E-2</v>
      </c>
      <c r="H48" s="126" t="s">
        <v>659</v>
      </c>
      <c r="I48" s="139">
        <f t="shared" si="7"/>
        <v>0.91319444444444442</v>
      </c>
      <c r="J48" s="126">
        <f t="shared" si="18"/>
        <v>554</v>
      </c>
      <c r="K48" s="126">
        <f t="shared" si="19"/>
        <v>65</v>
      </c>
      <c r="L48" s="153">
        <f t="shared" ref="L48:M48" si="25">SUM(D31,K31,R31,Y31,E48)</f>
        <v>0.67560975609756102</v>
      </c>
      <c r="M48" s="153">
        <f t="shared" si="25"/>
        <v>0.3431707317073171</v>
      </c>
      <c r="O48" s="1"/>
      <c r="P48" s="1"/>
      <c r="Q48" s="1"/>
      <c r="R48" s="1"/>
      <c r="S48" s="1"/>
      <c r="V48" s="1" t="s">
        <v>659</v>
      </c>
      <c r="W48" s="1">
        <v>820</v>
      </c>
      <c r="X48" s="1">
        <v>150</v>
      </c>
      <c r="Y48" s="1">
        <f t="shared" si="9"/>
        <v>167.5</v>
      </c>
      <c r="Z48" s="1">
        <f t="shared" si="10"/>
        <v>201</v>
      </c>
      <c r="AA48" s="1">
        <f t="shared" si="11"/>
        <v>134</v>
      </c>
      <c r="AB48" s="1">
        <v>200</v>
      </c>
      <c r="AC48" s="1">
        <v>10</v>
      </c>
      <c r="AD48" s="1">
        <f t="shared" si="12"/>
        <v>50</v>
      </c>
      <c r="AE48" s="1">
        <f t="shared" si="13"/>
        <v>60</v>
      </c>
      <c r="AF48" s="1">
        <f t="shared" si="14"/>
        <v>40</v>
      </c>
    </row>
    <row r="49" spans="1:32" ht="22.5" customHeight="1">
      <c r="A49" s="126" t="s">
        <v>660</v>
      </c>
      <c r="B49" s="139">
        <f>SUM(J15:J21)</f>
        <v>0.17777777777777778</v>
      </c>
      <c r="C49" s="126">
        <v>34</v>
      </c>
      <c r="D49" s="126">
        <v>1</v>
      </c>
      <c r="E49" s="153">
        <f>C49/505</f>
        <v>6.7326732673267331E-2</v>
      </c>
      <c r="F49" s="153">
        <f t="shared" ref="F49:F53" si="26">D49/820</f>
        <v>1.2195121951219512E-3</v>
      </c>
      <c r="H49" s="126" t="s">
        <v>660</v>
      </c>
      <c r="I49" s="139">
        <f t="shared" si="7"/>
        <v>0.68611111111111112</v>
      </c>
      <c r="J49" s="126">
        <f t="shared" si="18"/>
        <v>248</v>
      </c>
      <c r="K49" s="126">
        <f t="shared" si="19"/>
        <v>29</v>
      </c>
      <c r="L49" s="153">
        <f t="shared" ref="L49:M49" si="27">SUM(D32,K32,R32,Y32,E49)</f>
        <v>0.49108910891089114</v>
      </c>
      <c r="M49" s="153">
        <f t="shared" si="27"/>
        <v>0.50121951219512195</v>
      </c>
      <c r="O49" s="1"/>
      <c r="P49" s="1"/>
      <c r="Q49" s="1"/>
      <c r="R49" s="1"/>
      <c r="S49" s="1"/>
      <c r="V49" s="1" t="s">
        <v>660</v>
      </c>
      <c r="W49" s="1">
        <v>505</v>
      </c>
      <c r="X49" s="1">
        <v>100</v>
      </c>
      <c r="Y49" s="1">
        <f t="shared" si="9"/>
        <v>101.25</v>
      </c>
      <c r="Z49" s="1">
        <f t="shared" si="10"/>
        <v>121.5</v>
      </c>
      <c r="AA49" s="1">
        <f t="shared" si="11"/>
        <v>81</v>
      </c>
      <c r="AB49" s="1">
        <v>42</v>
      </c>
      <c r="AC49" s="1">
        <v>1</v>
      </c>
      <c r="AD49" s="1">
        <f t="shared" si="12"/>
        <v>10.5</v>
      </c>
      <c r="AE49" s="1">
        <f t="shared" si="13"/>
        <v>12.6</v>
      </c>
      <c r="AF49" s="1">
        <f t="shared" si="14"/>
        <v>8.4</v>
      </c>
    </row>
    <row r="50" spans="1:32" ht="22.5" customHeight="1">
      <c r="A50" s="126" t="s">
        <v>661</v>
      </c>
      <c r="B50" s="139">
        <f>SUM(K15:K21)</f>
        <v>0</v>
      </c>
      <c r="C50" s="126">
        <v>29</v>
      </c>
      <c r="D50" s="126">
        <v>8</v>
      </c>
      <c r="E50" s="153">
        <f>C50/740</f>
        <v>3.9189189189189191E-2</v>
      </c>
      <c r="F50" s="153">
        <f t="shared" si="26"/>
        <v>9.7560975609756097E-3</v>
      </c>
      <c r="H50" s="126" t="s">
        <v>661</v>
      </c>
      <c r="I50" s="139">
        <f t="shared" si="7"/>
        <v>0</v>
      </c>
      <c r="J50" s="126">
        <f t="shared" si="18"/>
        <v>205</v>
      </c>
      <c r="K50" s="126">
        <f t="shared" si="19"/>
        <v>40</v>
      </c>
      <c r="L50" s="153">
        <f t="shared" ref="L50:M50" si="28">SUM(D33,K33,R33,Y33,E50)</f>
        <v>0.27702702702702703</v>
      </c>
      <c r="M50" s="153">
        <f t="shared" si="28"/>
        <v>2.3709585933068635E-2</v>
      </c>
      <c r="O50" s="1"/>
      <c r="P50" s="1"/>
      <c r="Q50" s="1"/>
      <c r="R50" s="1"/>
      <c r="S50" s="1"/>
      <c r="V50" s="1" t="s">
        <v>661</v>
      </c>
      <c r="W50" s="1">
        <v>740</v>
      </c>
      <c r="X50" s="1">
        <v>150</v>
      </c>
      <c r="Y50" s="1">
        <f t="shared" si="9"/>
        <v>147.5</v>
      </c>
      <c r="Z50" s="1">
        <f t="shared" si="10"/>
        <v>177</v>
      </c>
      <c r="AA50" s="1">
        <f t="shared" si="11"/>
        <v>118</v>
      </c>
      <c r="AB50" s="1">
        <v>215</v>
      </c>
      <c r="AC50" s="1">
        <v>10</v>
      </c>
      <c r="AD50" s="1">
        <f t="shared" si="12"/>
        <v>53.75</v>
      </c>
      <c r="AE50" s="1">
        <f t="shared" si="13"/>
        <v>64.5</v>
      </c>
      <c r="AF50" s="1">
        <f t="shared" si="14"/>
        <v>43</v>
      </c>
    </row>
    <row r="51" spans="1:32" ht="22.5" customHeight="1">
      <c r="A51" s="126" t="s">
        <v>662</v>
      </c>
      <c r="B51" s="139">
        <f>SUM(L15:L21)</f>
        <v>0.37430555555555556</v>
      </c>
      <c r="C51" s="126">
        <v>179</v>
      </c>
      <c r="D51" s="126">
        <v>37</v>
      </c>
      <c r="E51" s="153">
        <f>C51/800</f>
        <v>0.22375</v>
      </c>
      <c r="F51" s="153">
        <f t="shared" si="26"/>
        <v>4.5121951219512194E-2</v>
      </c>
      <c r="H51" s="126" t="s">
        <v>662</v>
      </c>
      <c r="I51" s="139">
        <f t="shared" si="7"/>
        <v>1.9118055555555555</v>
      </c>
      <c r="J51" s="126">
        <f t="shared" si="18"/>
        <v>748</v>
      </c>
      <c r="K51" s="126">
        <f t="shared" si="19"/>
        <v>96</v>
      </c>
      <c r="L51" s="153">
        <f t="shared" ref="L51:M51" si="29">SUM(D34,K34,R34,Y34,E51)</f>
        <v>0.93499999999999994</v>
      </c>
      <c r="M51" s="153">
        <f t="shared" si="29"/>
        <v>0.58041606886657104</v>
      </c>
      <c r="O51" s="1"/>
      <c r="P51" s="1"/>
      <c r="Q51" s="1"/>
      <c r="R51" s="1"/>
      <c r="S51" s="1"/>
      <c r="V51" s="1" t="s">
        <v>662</v>
      </c>
      <c r="W51" s="1">
        <v>800</v>
      </c>
      <c r="X51" s="1">
        <v>150</v>
      </c>
      <c r="Y51" s="1">
        <f t="shared" si="9"/>
        <v>162.5</v>
      </c>
      <c r="Z51" s="1">
        <f t="shared" si="10"/>
        <v>195</v>
      </c>
      <c r="AA51" s="1">
        <f t="shared" si="11"/>
        <v>130</v>
      </c>
      <c r="AB51" s="1">
        <v>170</v>
      </c>
      <c r="AC51" s="1">
        <v>1</v>
      </c>
      <c r="AD51" s="1">
        <f t="shared" si="12"/>
        <v>42.5</v>
      </c>
      <c r="AE51" s="1">
        <f t="shared" si="13"/>
        <v>51</v>
      </c>
      <c r="AF51" s="1">
        <f t="shared" si="14"/>
        <v>34</v>
      </c>
    </row>
    <row r="52" spans="1:32" ht="22.5" customHeight="1">
      <c r="A52" s="126" t="s">
        <v>663</v>
      </c>
      <c r="B52" s="139">
        <f>SUM(M15:M21)</f>
        <v>0.19583333333333333</v>
      </c>
      <c r="C52" s="126">
        <v>45</v>
      </c>
      <c r="D52" s="126">
        <v>5</v>
      </c>
      <c r="E52" s="153">
        <f>C52/580</f>
        <v>7.7586206896551727E-2</v>
      </c>
      <c r="F52" s="153">
        <f t="shared" si="26"/>
        <v>6.0975609756097563E-3</v>
      </c>
      <c r="H52" s="126" t="s">
        <v>663</v>
      </c>
      <c r="I52" s="139">
        <f t="shared" si="7"/>
        <v>1.3361111111111112</v>
      </c>
      <c r="J52" s="126">
        <f t="shared" si="18"/>
        <v>477</v>
      </c>
      <c r="K52" s="126">
        <f t="shared" si="19"/>
        <v>50</v>
      </c>
      <c r="L52" s="153">
        <f t="shared" ref="L52:M52" si="30">SUM(D35,K35,R35,Y35,E52)</f>
        <v>0.82241379310344831</v>
      </c>
      <c r="M52" s="153">
        <f t="shared" si="30"/>
        <v>0.64609756097560977</v>
      </c>
      <c r="O52" s="1"/>
      <c r="P52" s="1"/>
      <c r="Q52" s="1"/>
      <c r="R52" s="1"/>
      <c r="S52" s="1"/>
      <c r="V52" s="1" t="s">
        <v>663</v>
      </c>
      <c r="W52" s="1">
        <v>580</v>
      </c>
      <c r="X52" s="1">
        <v>100</v>
      </c>
      <c r="Y52" s="1">
        <f t="shared" si="9"/>
        <v>120</v>
      </c>
      <c r="Z52" s="1">
        <f t="shared" si="10"/>
        <v>144</v>
      </c>
      <c r="AA52" s="1">
        <f t="shared" si="11"/>
        <v>96</v>
      </c>
      <c r="AB52" s="1">
        <v>75</v>
      </c>
      <c r="AC52" s="1">
        <v>1</v>
      </c>
      <c r="AD52" s="1">
        <f t="shared" si="12"/>
        <v>18.75</v>
      </c>
      <c r="AE52" s="1">
        <f t="shared" si="13"/>
        <v>22.5</v>
      </c>
      <c r="AF52" s="1">
        <f t="shared" si="14"/>
        <v>15</v>
      </c>
    </row>
    <row r="53" spans="1:32" ht="22.5" customHeight="1">
      <c r="A53" s="126" t="s">
        <v>664</v>
      </c>
      <c r="B53" s="139">
        <f>SUM(N15:N21)</f>
        <v>0</v>
      </c>
      <c r="C53" s="126">
        <v>10</v>
      </c>
      <c r="D53" s="126">
        <v>2</v>
      </c>
      <c r="E53" s="153">
        <f>C53/720</f>
        <v>1.3888888888888888E-2</v>
      </c>
      <c r="F53" s="153">
        <f t="shared" si="26"/>
        <v>2.4390243902439024E-3</v>
      </c>
      <c r="H53" s="126" t="s">
        <v>664</v>
      </c>
      <c r="I53" s="139">
        <f t="shared" si="7"/>
        <v>0</v>
      </c>
      <c r="J53" s="126">
        <f t="shared" si="18"/>
        <v>174</v>
      </c>
      <c r="K53" s="126" t="e">
        <f>SUM(#REF!,J36,Q36,X36,#REF!)</f>
        <v>#REF!</v>
      </c>
      <c r="L53" s="153">
        <f t="shared" ref="L53:M53" si="31">SUM(D36,K36,R36,Y36,E53)</f>
        <v>0.24166666666666667</v>
      </c>
      <c r="M53" s="153" t="e">
        <f t="shared" si="31"/>
        <v>#REF!</v>
      </c>
      <c r="O53" s="1"/>
      <c r="P53" s="1"/>
      <c r="Q53" s="1"/>
      <c r="R53" s="1"/>
      <c r="S53" s="1"/>
      <c r="V53" s="1" t="s">
        <v>664</v>
      </c>
      <c r="W53" s="1">
        <v>720</v>
      </c>
      <c r="X53" s="1">
        <v>150</v>
      </c>
      <c r="Y53" s="1">
        <f t="shared" si="9"/>
        <v>142.5</v>
      </c>
      <c r="Z53" s="1">
        <f t="shared" si="10"/>
        <v>171</v>
      </c>
      <c r="AA53" s="1">
        <f t="shared" si="11"/>
        <v>114</v>
      </c>
      <c r="AB53" s="1">
        <v>100</v>
      </c>
      <c r="AC53" s="1">
        <v>1</v>
      </c>
      <c r="AD53" s="1">
        <f t="shared" si="12"/>
        <v>25</v>
      </c>
      <c r="AE53" s="1">
        <f t="shared" si="13"/>
        <v>30</v>
      </c>
      <c r="AF53" s="1">
        <f t="shared" si="14"/>
        <v>20</v>
      </c>
    </row>
    <row r="54" spans="1:32" ht="22.5" customHeight="1">
      <c r="A54" s="126" t="s">
        <v>671</v>
      </c>
      <c r="B54" s="139">
        <f>SUM(B41:B53)</f>
        <v>2.2840277777777778</v>
      </c>
      <c r="C54" s="126"/>
      <c r="D54" s="126"/>
      <c r="E54" s="153">
        <f t="shared" ref="E54:F54" si="32">SUM(E41:E53)</f>
        <v>1.1503891574703093</v>
      </c>
      <c r="F54" s="153">
        <f t="shared" si="32"/>
        <v>0.38387014765063548</v>
      </c>
      <c r="H54" s="126" t="s">
        <v>671</v>
      </c>
      <c r="I54" s="139">
        <f t="shared" si="7"/>
        <v>7.3562500000000011</v>
      </c>
      <c r="J54" s="126">
        <f t="shared" si="18"/>
        <v>144.75</v>
      </c>
      <c r="K54" s="126">
        <f t="shared" ref="K54:L54" si="33">SUM(C37,J37,Q37,X37,D54)</f>
        <v>0</v>
      </c>
      <c r="L54" s="153">
        <f t="shared" si="33"/>
        <v>6.958757165438155</v>
      </c>
      <c r="M54" s="153" t="e">
        <f>SUM(M41:M53)</f>
        <v>#REF!</v>
      </c>
      <c r="O54" s="1"/>
      <c r="P54" s="1"/>
      <c r="Q54" s="1"/>
      <c r="R54" s="1"/>
      <c r="S54" s="1"/>
    </row>
    <row r="56" spans="1:32" ht="15.75" customHeight="1">
      <c r="A56" s="227"/>
      <c r="B56" s="227"/>
      <c r="C56" s="227"/>
      <c r="D56" s="227"/>
      <c r="E56" s="227"/>
      <c r="F56" s="227"/>
      <c r="G56" s="227"/>
      <c r="H56" s="227"/>
    </row>
    <row r="57" spans="1:32" ht="13">
      <c r="A57" s="227"/>
      <c r="B57" s="227"/>
      <c r="C57" s="227"/>
      <c r="D57" s="227"/>
      <c r="E57" s="227"/>
      <c r="F57" s="227"/>
      <c r="G57" s="227"/>
      <c r="H57" s="227"/>
      <c r="AA57" s="1" t="s">
        <v>355</v>
      </c>
      <c r="AB57" s="1" t="s">
        <v>689</v>
      </c>
    </row>
    <row r="58" spans="1:32" ht="13">
      <c r="A58" s="227"/>
      <c r="B58" s="227"/>
      <c r="C58" s="227"/>
      <c r="D58" s="227"/>
      <c r="E58" s="227"/>
      <c r="F58" s="227"/>
      <c r="G58" s="227"/>
      <c r="H58" s="227"/>
      <c r="Z58" s="1" t="s">
        <v>688</v>
      </c>
      <c r="AA58" s="159">
        <v>150</v>
      </c>
      <c r="AB58" s="159">
        <v>50</v>
      </c>
    </row>
    <row r="59" spans="1:32" ht="13">
      <c r="A59" s="227"/>
      <c r="B59" s="227"/>
      <c r="C59" s="227"/>
      <c r="D59" s="227"/>
      <c r="E59" s="227"/>
      <c r="F59" s="227"/>
      <c r="G59" s="227"/>
      <c r="H59" s="227"/>
      <c r="Z59" s="1" t="s">
        <v>650</v>
      </c>
      <c r="AA59" s="159">
        <v>142.5</v>
      </c>
      <c r="AB59" s="159">
        <v>16.25</v>
      </c>
    </row>
    <row r="60" spans="1:32" ht="13">
      <c r="Z60" s="1" t="s">
        <v>651</v>
      </c>
      <c r="AA60" s="159">
        <v>150</v>
      </c>
      <c r="AB60" s="159">
        <v>46.25</v>
      </c>
    </row>
    <row r="61" spans="1:32" ht="13">
      <c r="Z61" s="1" t="s">
        <v>652</v>
      </c>
      <c r="AA61" s="159">
        <v>137.5</v>
      </c>
      <c r="AB61" s="159">
        <v>55</v>
      </c>
    </row>
    <row r="62" spans="1:32" ht="13">
      <c r="Z62" s="1" t="s">
        <v>653</v>
      </c>
      <c r="AA62" s="159">
        <v>162.5</v>
      </c>
      <c r="AB62" s="159">
        <v>55</v>
      </c>
    </row>
    <row r="63" spans="1:32" ht="13">
      <c r="Z63" s="1" t="s">
        <v>654</v>
      </c>
      <c r="AA63" s="159">
        <v>167.5</v>
      </c>
      <c r="AB63" s="159">
        <v>60</v>
      </c>
    </row>
    <row r="64" spans="1:32" ht="13">
      <c r="Z64" s="1" t="s">
        <v>655</v>
      </c>
      <c r="AA64" s="159">
        <v>130</v>
      </c>
      <c r="AB64" s="159">
        <v>22.5</v>
      </c>
    </row>
    <row r="65" spans="26:28" ht="13">
      <c r="Z65" s="1" t="s">
        <v>659</v>
      </c>
      <c r="AA65" s="159">
        <v>167.5</v>
      </c>
      <c r="AB65" s="159">
        <v>50</v>
      </c>
    </row>
    <row r="66" spans="26:28" ht="13">
      <c r="Z66" s="1" t="s">
        <v>660</v>
      </c>
      <c r="AA66" s="159">
        <v>101.25</v>
      </c>
      <c r="AB66" s="159">
        <v>10.5</v>
      </c>
    </row>
    <row r="67" spans="26:28" ht="13">
      <c r="Z67" s="1" t="s">
        <v>661</v>
      </c>
      <c r="AA67" s="159">
        <v>147.5</v>
      </c>
      <c r="AB67" s="159">
        <v>53.75</v>
      </c>
    </row>
    <row r="68" spans="26:28" ht="13">
      <c r="Z68" s="1" t="s">
        <v>662</v>
      </c>
      <c r="AA68" s="159">
        <v>162.5</v>
      </c>
      <c r="AB68" s="159">
        <v>42.5</v>
      </c>
    </row>
    <row r="69" spans="26:28" ht="13">
      <c r="Z69" s="1" t="s">
        <v>663</v>
      </c>
      <c r="AA69" s="159">
        <v>120</v>
      </c>
      <c r="AB69" s="159">
        <v>18.75</v>
      </c>
    </row>
    <row r="70" spans="26:28" ht="13">
      <c r="Z70" s="1" t="s">
        <v>664</v>
      </c>
      <c r="AA70" s="159">
        <v>142.5</v>
      </c>
      <c r="AB70" s="159">
        <v>25</v>
      </c>
    </row>
  </sheetData>
  <mergeCells count="6">
    <mergeCell ref="W39:Z39"/>
    <mergeCell ref="A56:H59"/>
    <mergeCell ref="A3:A6"/>
    <mergeCell ref="A7:A10"/>
    <mergeCell ref="A11:A14"/>
    <mergeCell ref="A15:A21"/>
  </mergeCells>
  <dataValidations count="1">
    <dataValidation type="custom" allowBlank="1" showDropDown="1" sqref="D24:D37" xr:uid="{00000000-0002-0000-1D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FF00"/>
    <outlinePr summaryBelow="0" summaryRight="0"/>
  </sheetPr>
  <dimension ref="A1:AB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55" t="s">
        <v>667</v>
      </c>
      <c r="C1" s="155" t="s">
        <v>650</v>
      </c>
      <c r="D1" s="155" t="s">
        <v>651</v>
      </c>
      <c r="E1" s="127" t="s">
        <v>652</v>
      </c>
      <c r="F1" s="127" t="s">
        <v>653</v>
      </c>
      <c r="G1" s="127" t="s">
        <v>654</v>
      </c>
      <c r="H1" s="141" t="s">
        <v>655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3">
      <c r="A3" s="248">
        <v>1</v>
      </c>
      <c r="B3" s="128"/>
      <c r="C3" s="128"/>
      <c r="D3" s="128"/>
      <c r="E3" s="128"/>
      <c r="F3" s="144"/>
      <c r="G3" s="144"/>
      <c r="H3" s="129"/>
      <c r="I3" s="129"/>
      <c r="J3" s="129"/>
      <c r="K3" s="128"/>
      <c r="L3" s="145"/>
      <c r="M3" s="145"/>
      <c r="N3" s="145"/>
    </row>
    <row r="4" spans="1:14" ht="13">
      <c r="A4" s="249"/>
      <c r="B4" s="128"/>
      <c r="C4" s="128"/>
      <c r="D4" s="128"/>
      <c r="E4" s="128"/>
      <c r="F4" s="146"/>
      <c r="G4" s="146"/>
      <c r="I4" s="129"/>
      <c r="J4" s="129"/>
      <c r="K4" s="128"/>
      <c r="L4" s="146"/>
      <c r="M4" s="146"/>
      <c r="N4" s="146"/>
    </row>
    <row r="5" spans="1:14" ht="13">
      <c r="A5" s="249"/>
      <c r="B5" s="129"/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3">
      <c r="A7" s="248">
        <v>2</v>
      </c>
      <c r="B7" s="135"/>
      <c r="C7" s="135"/>
      <c r="D7" s="135"/>
      <c r="E7" s="135"/>
      <c r="F7" s="144"/>
      <c r="G7" s="144"/>
      <c r="H7" s="135"/>
      <c r="I7" s="135"/>
      <c r="J7" s="135"/>
      <c r="K7" s="135"/>
      <c r="L7" s="144"/>
      <c r="M7" s="144"/>
      <c r="N7" s="144"/>
    </row>
    <row r="8" spans="1:14" ht="13">
      <c r="A8" s="249"/>
      <c r="B8" s="129"/>
      <c r="C8" s="129"/>
      <c r="D8" s="129"/>
      <c r="E8" s="129"/>
      <c r="F8" s="146"/>
      <c r="G8" s="146"/>
      <c r="H8" s="129"/>
      <c r="I8" s="129"/>
      <c r="J8" s="129"/>
      <c r="K8" s="129"/>
      <c r="L8" s="146"/>
      <c r="M8" s="146"/>
      <c r="N8" s="146"/>
    </row>
    <row r="9" spans="1:14" ht="13">
      <c r="A9" s="249"/>
      <c r="B9" s="129"/>
      <c r="C9" s="129"/>
      <c r="D9" s="129"/>
      <c r="E9" s="129"/>
      <c r="F9" s="146"/>
      <c r="G9" s="146"/>
      <c r="H9" s="129"/>
      <c r="I9" s="129"/>
      <c r="J9" s="129"/>
      <c r="K9" s="129"/>
      <c r="L9" s="146"/>
      <c r="M9" s="146"/>
      <c r="N9" s="146"/>
    </row>
    <row r="10" spans="1:14" ht="13">
      <c r="A10" s="250"/>
      <c r="B10" s="147"/>
      <c r="C10" s="147"/>
      <c r="D10" s="147"/>
      <c r="E10" s="147"/>
      <c r="F10" s="148"/>
      <c r="G10" s="148"/>
      <c r="H10" s="147"/>
      <c r="I10" s="147"/>
      <c r="J10" s="147"/>
      <c r="K10" s="147"/>
      <c r="L10" s="148"/>
      <c r="M10" s="148"/>
      <c r="N10" s="148"/>
    </row>
    <row r="11" spans="1:14" ht="13">
      <c r="A11" s="248">
        <v>3</v>
      </c>
      <c r="B11" s="135"/>
      <c r="C11" s="135"/>
      <c r="D11" s="135"/>
      <c r="E11" s="135"/>
      <c r="F11" s="144"/>
      <c r="G11" s="144"/>
      <c r="H11" s="135"/>
      <c r="I11" s="135"/>
      <c r="J11" s="135"/>
      <c r="K11" s="135"/>
      <c r="L11" s="144"/>
      <c r="M11" s="144"/>
      <c r="N11" s="144"/>
    </row>
    <row r="12" spans="1:14" ht="13">
      <c r="A12" s="249"/>
      <c r="B12" s="129"/>
      <c r="C12" s="129"/>
      <c r="D12" s="129"/>
      <c r="E12" s="129"/>
      <c r="F12" s="146"/>
      <c r="G12" s="146"/>
      <c r="H12" s="129"/>
      <c r="I12" s="129"/>
      <c r="J12" s="129"/>
      <c r="K12" s="129"/>
      <c r="L12" s="129"/>
      <c r="M12" s="129"/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/>
      <c r="C15" s="133"/>
      <c r="D15" s="144"/>
      <c r="E15" s="135"/>
      <c r="F15" s="135"/>
      <c r="G15" s="144"/>
      <c r="H15" s="135"/>
      <c r="I15" s="149"/>
      <c r="J15" s="135"/>
      <c r="K15" s="135"/>
      <c r="L15" s="144"/>
      <c r="M15" s="144"/>
      <c r="N15" s="144"/>
    </row>
    <row r="16" spans="1:14" ht="13">
      <c r="A16" s="252"/>
      <c r="B16" s="146"/>
      <c r="C16" s="129"/>
      <c r="D16" s="146"/>
      <c r="E16" s="129"/>
      <c r="F16" s="146"/>
      <c r="G16" s="146"/>
      <c r="H16" s="129"/>
      <c r="I16" s="129"/>
      <c r="J16" s="129"/>
      <c r="K16" s="129"/>
      <c r="L16" s="146"/>
      <c r="M16" s="146"/>
      <c r="N16" s="146"/>
    </row>
    <row r="17" spans="1:26" ht="13">
      <c r="A17" s="252"/>
      <c r="B17" s="146"/>
      <c r="C17" s="129"/>
      <c r="D17" s="146"/>
      <c r="E17" s="129"/>
      <c r="F17" s="129"/>
      <c r="G17" s="146"/>
      <c r="H17" s="129"/>
      <c r="I17" s="129"/>
      <c r="J17" s="129"/>
      <c r="K17" s="129"/>
      <c r="L17" s="146"/>
      <c r="M17" s="146"/>
      <c r="N17" s="146"/>
    </row>
    <row r="18" spans="1:26" ht="13">
      <c r="A18" s="252"/>
      <c r="B18" s="146"/>
      <c r="C18" s="129"/>
      <c r="D18" s="146"/>
      <c r="E18" s="129"/>
      <c r="F18" s="129"/>
      <c r="G18" s="146"/>
      <c r="H18" s="129"/>
      <c r="I18" s="129"/>
      <c r="J18" s="129"/>
      <c r="K18" s="129"/>
      <c r="L18" s="146"/>
      <c r="M18" s="146"/>
      <c r="N18" s="146"/>
    </row>
    <row r="19" spans="1:26" ht="13">
      <c r="A19" s="252"/>
      <c r="B19" s="146"/>
      <c r="C19" s="129"/>
      <c r="D19" s="157"/>
      <c r="E19" s="129"/>
      <c r="F19" s="129"/>
      <c r="G19" s="146"/>
      <c r="H19" s="129"/>
      <c r="I19" s="129"/>
      <c r="J19" s="129"/>
      <c r="K19" s="129"/>
      <c r="L19" s="146"/>
      <c r="M19" s="146"/>
      <c r="N19" s="146"/>
    </row>
    <row r="20" spans="1:26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667</v>
      </c>
      <c r="B24" s="126">
        <v>133</v>
      </c>
      <c r="C24" s="126">
        <v>1</v>
      </c>
      <c r="D24" s="153">
        <f>B24/750</f>
        <v>0.17733333333333334</v>
      </c>
      <c r="E24" s="153">
        <f>C24/200</f>
        <v>5.0000000000000001E-3</v>
      </c>
      <c r="G24" s="126" t="s">
        <v>667</v>
      </c>
      <c r="H24" s="139">
        <f>SUM(B3:B6)</f>
        <v>0</v>
      </c>
      <c r="I24" s="126">
        <v>129</v>
      </c>
      <c r="J24" s="126">
        <v>30</v>
      </c>
      <c r="K24" s="153">
        <f>I24/750</f>
        <v>0.17199999999999999</v>
      </c>
      <c r="L24" s="153">
        <f>J24/200</f>
        <v>0.15</v>
      </c>
      <c r="N24" s="126" t="s">
        <v>667</v>
      </c>
      <c r="O24" s="139">
        <f>SUM(B7:B10)</f>
        <v>0</v>
      </c>
      <c r="P24" s="126">
        <v>112</v>
      </c>
      <c r="Q24" s="126">
        <v>27</v>
      </c>
      <c r="R24" s="153">
        <f>P24/750</f>
        <v>0.14933333333333335</v>
      </c>
      <c r="S24" s="153">
        <f>Q24/200</f>
        <v>0.13500000000000001</v>
      </c>
      <c r="U24" s="126" t="s">
        <v>667</v>
      </c>
      <c r="V24" s="139">
        <f>SUM(B11:B14)</f>
        <v>0</v>
      </c>
      <c r="W24" s="126">
        <v>38</v>
      </c>
      <c r="X24" s="126">
        <v>5</v>
      </c>
      <c r="Y24" s="153">
        <f>W24/750</f>
        <v>5.0666666666666665E-2</v>
      </c>
      <c r="Z24" s="153">
        <f>X24/200</f>
        <v>2.5000000000000001E-2</v>
      </c>
    </row>
    <row r="25" spans="1:26" ht="22.5" customHeight="1">
      <c r="A25" s="126" t="s">
        <v>650</v>
      </c>
      <c r="B25" s="126">
        <v>131</v>
      </c>
      <c r="C25" s="126">
        <v>1</v>
      </c>
      <c r="D25" s="153">
        <f>B25/720</f>
        <v>0.18194444444444444</v>
      </c>
      <c r="E25" s="153">
        <f>C25/65</f>
        <v>1.5384615384615385E-2</v>
      </c>
      <c r="G25" s="126" t="s">
        <v>650</v>
      </c>
      <c r="H25" s="139">
        <f>SUM(C3:C6)</f>
        <v>0</v>
      </c>
      <c r="I25" s="126">
        <v>120</v>
      </c>
      <c r="J25" s="126">
        <v>9</v>
      </c>
      <c r="K25" s="153">
        <f>I25/720</f>
        <v>0.16666666666666666</v>
      </c>
      <c r="L25" s="153">
        <f>J25/65</f>
        <v>0.13846153846153847</v>
      </c>
      <c r="N25" s="126" t="s">
        <v>650</v>
      </c>
      <c r="O25" s="139">
        <f>SUM(C7:C10)</f>
        <v>0</v>
      </c>
      <c r="P25" s="126">
        <v>143</v>
      </c>
      <c r="Q25" s="126">
        <v>7</v>
      </c>
      <c r="R25" s="153">
        <f>P25/720</f>
        <v>0.1986111111111111</v>
      </c>
      <c r="S25" s="153">
        <f>Q25/65</f>
        <v>0.1076923076923077</v>
      </c>
      <c r="U25" s="126" t="s">
        <v>650</v>
      </c>
      <c r="V25" s="139">
        <f>SUM(C11:C14)</f>
        <v>0</v>
      </c>
      <c r="W25" s="126">
        <v>142</v>
      </c>
      <c r="X25" s="126">
        <v>6</v>
      </c>
      <c r="Y25" s="153">
        <f>W25/720</f>
        <v>0.19722222222222222</v>
      </c>
      <c r="Z25" s="153">
        <f>X25/65</f>
        <v>9.2307692307692313E-2</v>
      </c>
    </row>
    <row r="26" spans="1:26" ht="22.5" customHeight="1">
      <c r="A26" s="126" t="s">
        <v>651</v>
      </c>
      <c r="B26" s="126">
        <v>132</v>
      </c>
      <c r="C26" s="126">
        <v>1</v>
      </c>
      <c r="D26" s="153">
        <f>B26/750</f>
        <v>0.17599999999999999</v>
      </c>
      <c r="E26" s="153">
        <f>C26/185</f>
        <v>5.4054054054054057E-3</v>
      </c>
      <c r="G26" s="126" t="s">
        <v>651</v>
      </c>
      <c r="H26" s="139">
        <f>SUM($D3:$D6)</f>
        <v>0</v>
      </c>
      <c r="I26" s="126">
        <v>82</v>
      </c>
      <c r="J26" s="126">
        <v>12</v>
      </c>
      <c r="K26" s="153">
        <f>I26/750</f>
        <v>0.10933333333333334</v>
      </c>
      <c r="L26" s="153">
        <f>J26/185</f>
        <v>6.4864864864864868E-2</v>
      </c>
      <c r="N26" s="126" t="s">
        <v>651</v>
      </c>
      <c r="O26" s="139">
        <f>SUM(D7:D10)</f>
        <v>0</v>
      </c>
      <c r="P26" s="126">
        <v>136</v>
      </c>
      <c r="Q26" s="126">
        <v>20</v>
      </c>
      <c r="R26" s="153">
        <f>P26/750</f>
        <v>0.18133333333333335</v>
      </c>
      <c r="S26" s="153">
        <f>Q26/185</f>
        <v>0.10810810810810811</v>
      </c>
      <c r="U26" s="126" t="s">
        <v>651</v>
      </c>
      <c r="V26" s="139">
        <f>SUM(D11:D14)</f>
        <v>0</v>
      </c>
      <c r="W26" s="126">
        <v>122</v>
      </c>
      <c r="X26" s="126">
        <v>21</v>
      </c>
      <c r="Y26" s="153">
        <f>W26/750</f>
        <v>0.16266666666666665</v>
      </c>
      <c r="Z26" s="153">
        <f>X26/185</f>
        <v>0.11351351351351352</v>
      </c>
    </row>
    <row r="27" spans="1:26" ht="22.5" customHeight="1">
      <c r="A27" s="126" t="s">
        <v>652</v>
      </c>
      <c r="B27" s="126">
        <v>142</v>
      </c>
      <c r="C27" s="126">
        <v>2</v>
      </c>
      <c r="D27" s="153">
        <f>B27/700</f>
        <v>0.20285714285714285</v>
      </c>
      <c r="E27" s="153">
        <f>C27/220</f>
        <v>9.0909090909090905E-3</v>
      </c>
      <c r="G27" s="126" t="s">
        <v>652</v>
      </c>
      <c r="H27" s="139">
        <f>SUM(E3:E6)</f>
        <v>0</v>
      </c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</v>
      </c>
      <c r="R27" s="153">
        <f>P27/700</f>
        <v>0</v>
      </c>
      <c r="S27" s="153">
        <f t="shared" ref="S27:S28" si="1">Q27/220</f>
        <v>0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</row>
    <row r="28" spans="1:26" ht="22.5" customHeight="1">
      <c r="A28" s="126" t="s">
        <v>653</v>
      </c>
      <c r="B28" s="126">
        <v>118</v>
      </c>
      <c r="C28" s="126">
        <v>2</v>
      </c>
      <c r="D28" s="153">
        <f>B28/800</f>
        <v>0.14749999999999999</v>
      </c>
      <c r="E28" s="153">
        <f>C29/220</f>
        <v>4.5454545454545452E-3</v>
      </c>
      <c r="G28" s="126" t="s">
        <v>653</v>
      </c>
      <c r="H28" s="139">
        <f>SUM(F3:F6)</f>
        <v>0</v>
      </c>
      <c r="I28" s="126">
        <v>141</v>
      </c>
      <c r="J28" s="126">
        <v>23</v>
      </c>
      <c r="K28" s="153">
        <f>I28/800</f>
        <v>0.17624999999999999</v>
      </c>
      <c r="L28" s="153">
        <f t="shared" si="0"/>
        <v>0.10454545454545454</v>
      </c>
      <c r="N28" s="126" t="s">
        <v>653</v>
      </c>
      <c r="O28" s="139">
        <f>SUM(F7:F10)</f>
        <v>0</v>
      </c>
      <c r="P28" s="126">
        <v>47</v>
      </c>
      <c r="Q28" s="126">
        <v>11</v>
      </c>
      <c r="R28" s="153">
        <f>P28/800</f>
        <v>5.8749999999999997E-2</v>
      </c>
      <c r="S28" s="153">
        <f t="shared" si="1"/>
        <v>0.05</v>
      </c>
      <c r="U28" s="126" t="s">
        <v>653</v>
      </c>
      <c r="V28" s="139">
        <f>SUM(F11:F14)</f>
        <v>0</v>
      </c>
      <c r="W28" s="126">
        <v>170</v>
      </c>
      <c r="X28" s="126">
        <v>25</v>
      </c>
      <c r="Y28" s="153">
        <f>W28/800</f>
        <v>0.21249999999999999</v>
      </c>
      <c r="Z28" s="153">
        <f t="shared" si="2"/>
        <v>0.11363636363636363</v>
      </c>
    </row>
    <row r="29" spans="1:26" ht="22.5" customHeight="1">
      <c r="A29" s="126" t="s">
        <v>654</v>
      </c>
      <c r="B29" s="126">
        <v>129</v>
      </c>
      <c r="C29" s="126">
        <v>1</v>
      </c>
      <c r="D29" s="153">
        <f>B29/820</f>
        <v>0.15731707317073171</v>
      </c>
      <c r="E29" s="153">
        <f>C30/240</f>
        <v>8.3333333333333332E-3</v>
      </c>
      <c r="G29" s="126" t="s">
        <v>654</v>
      </c>
      <c r="H29" s="139">
        <f>SUM(G3:G6)</f>
        <v>0</v>
      </c>
      <c r="K29" s="153">
        <f>I29/820</f>
        <v>0</v>
      </c>
      <c r="L29" s="153">
        <f>J29/240</f>
        <v>0</v>
      </c>
      <c r="N29" s="126" t="s">
        <v>654</v>
      </c>
      <c r="O29" s="139">
        <f>SUM(G7:G10)</f>
        <v>0</v>
      </c>
      <c r="R29" s="153">
        <f>P29/820</f>
        <v>0</v>
      </c>
      <c r="S29" s="153">
        <f>Q29/240</f>
        <v>0</v>
      </c>
      <c r="U29" s="126" t="s">
        <v>654</v>
      </c>
      <c r="V29" s="139">
        <f>SUM(G11:G14)</f>
        <v>0</v>
      </c>
      <c r="Y29" s="153">
        <f>W29/820</f>
        <v>0</v>
      </c>
      <c r="Z29" s="153">
        <f>X29/240</f>
        <v>0</v>
      </c>
    </row>
    <row r="30" spans="1:26" ht="22.5" customHeight="1">
      <c r="A30" s="126" t="s">
        <v>655</v>
      </c>
      <c r="B30" s="126">
        <v>139</v>
      </c>
      <c r="C30" s="126">
        <v>2</v>
      </c>
      <c r="D30" s="153">
        <f>B30/620</f>
        <v>0.22419354838709676</v>
      </c>
      <c r="E30" s="153">
        <f>C31/90</f>
        <v>0.1</v>
      </c>
      <c r="G30" s="126" t="s">
        <v>655</v>
      </c>
      <c r="H30" s="139">
        <f>SUM(H3:H6)</f>
        <v>0</v>
      </c>
      <c r="K30" s="153">
        <f>I30/620</f>
        <v>0</v>
      </c>
      <c r="L30" s="153">
        <f>J30/90</f>
        <v>0</v>
      </c>
      <c r="N30" s="126" t="s">
        <v>655</v>
      </c>
      <c r="O30" s="139">
        <f>SUM(H7:H10)</f>
        <v>0</v>
      </c>
      <c r="P30" s="126">
        <v>81</v>
      </c>
      <c r="Q30" s="126">
        <v>16</v>
      </c>
      <c r="R30" s="153">
        <f>P30/620</f>
        <v>0.13064516129032258</v>
      </c>
      <c r="S30" s="153">
        <f>Q30/90</f>
        <v>0.17777777777777778</v>
      </c>
      <c r="U30" s="126" t="s">
        <v>655</v>
      </c>
      <c r="V30" s="139">
        <f>SUM(H11:H14)</f>
        <v>0</v>
      </c>
      <c r="W30" s="126">
        <v>94</v>
      </c>
      <c r="X30" s="126">
        <v>15</v>
      </c>
      <c r="Y30" s="153">
        <f>W30/620</f>
        <v>0.15161290322580645</v>
      </c>
      <c r="Z30" s="153">
        <f>X30/90</f>
        <v>0.16666666666666666</v>
      </c>
    </row>
    <row r="31" spans="1:26" ht="22.5" customHeight="1">
      <c r="A31" s="126" t="s">
        <v>659</v>
      </c>
      <c r="B31" s="126">
        <v>161</v>
      </c>
      <c r="C31" s="126">
        <v>9</v>
      </c>
      <c r="D31" s="153">
        <f>B31/820</f>
        <v>0.19634146341463415</v>
      </c>
      <c r="E31" s="153">
        <f>C32/200</f>
        <v>5.0000000000000001E-3</v>
      </c>
      <c r="G31" s="126" t="s">
        <v>659</v>
      </c>
      <c r="H31" s="139">
        <f>SUM(I3:I6)</f>
        <v>0</v>
      </c>
      <c r="I31" s="126">
        <v>51</v>
      </c>
      <c r="J31" s="126">
        <v>12</v>
      </c>
      <c r="K31" s="153">
        <f>I31/820</f>
        <v>6.2195121951219512E-2</v>
      </c>
      <c r="L31" s="153">
        <f>J31/200</f>
        <v>0.06</v>
      </c>
      <c r="N31" s="126" t="s">
        <v>659</v>
      </c>
      <c r="O31" s="154">
        <f>SUM(I7:I10)</f>
        <v>0</v>
      </c>
      <c r="P31" s="126">
        <v>93</v>
      </c>
      <c r="Q31" s="126">
        <v>24</v>
      </c>
      <c r="R31" s="153">
        <f>P31/820</f>
        <v>0.11341463414634147</v>
      </c>
      <c r="S31" s="153">
        <f>Q31/200</f>
        <v>0.12</v>
      </c>
      <c r="U31" s="126" t="s">
        <v>659</v>
      </c>
      <c r="V31" s="139">
        <f>SUM(I11:I14)</f>
        <v>0</v>
      </c>
      <c r="W31" s="126">
        <v>112</v>
      </c>
      <c r="X31" s="126">
        <v>33</v>
      </c>
      <c r="Y31" s="153">
        <f>W31/820</f>
        <v>0.13658536585365855</v>
      </c>
      <c r="Z31" s="153">
        <f>X31/200</f>
        <v>0.16500000000000001</v>
      </c>
    </row>
    <row r="32" spans="1:26" ht="22.5" customHeight="1">
      <c r="A32" s="126" t="s">
        <v>660</v>
      </c>
      <c r="B32" s="126">
        <v>117</v>
      </c>
      <c r="C32" s="126">
        <v>1</v>
      </c>
      <c r="D32" s="153">
        <f>B32/505</f>
        <v>0.23168316831683169</v>
      </c>
      <c r="E32" s="153">
        <f>C33/42</f>
        <v>0.33333333333333331</v>
      </c>
      <c r="G32" s="126" t="s">
        <v>660</v>
      </c>
      <c r="H32" s="139">
        <f>SUM(J3:J6)</f>
        <v>0</v>
      </c>
      <c r="I32" s="126">
        <v>30</v>
      </c>
      <c r="J32" s="126">
        <v>1</v>
      </c>
      <c r="K32" s="153">
        <f>I32/505</f>
        <v>5.9405940594059403E-2</v>
      </c>
      <c r="L32" s="153">
        <f>J32/42</f>
        <v>2.3809523809523808E-2</v>
      </c>
      <c r="N32" s="126" t="s">
        <v>660</v>
      </c>
      <c r="O32" s="139">
        <f>SUM(J7:J10)</f>
        <v>0</v>
      </c>
      <c r="R32" s="153">
        <f>P32/505</f>
        <v>0</v>
      </c>
      <c r="S32" s="153">
        <f>Q32/42</f>
        <v>0</v>
      </c>
      <c r="U32" s="126" t="s">
        <v>660</v>
      </c>
      <c r="V32" s="139">
        <f>SUM(J11:J14)</f>
        <v>0</v>
      </c>
      <c r="Y32" s="153">
        <f>W32/505</f>
        <v>0</v>
      </c>
      <c r="Z32" s="153">
        <f>X32/42</f>
        <v>0</v>
      </c>
    </row>
    <row r="33" spans="1:26" ht="22.5" customHeight="1">
      <c r="A33" s="126" t="s">
        <v>661</v>
      </c>
      <c r="B33" s="126">
        <v>181</v>
      </c>
      <c r="C33" s="126">
        <v>14</v>
      </c>
      <c r="D33" s="153">
        <f>B33/740</f>
        <v>0.24459459459459459</v>
      </c>
      <c r="E33" s="153">
        <f>C34/215</f>
        <v>4.6511627906976744E-3</v>
      </c>
      <c r="G33" s="126" t="s">
        <v>661</v>
      </c>
      <c r="H33" s="139">
        <f>SUM(K3:K6)</f>
        <v>0</v>
      </c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</row>
    <row r="34" spans="1:26" ht="22.5" customHeight="1">
      <c r="A34" s="126" t="s">
        <v>662</v>
      </c>
      <c r="B34" s="126">
        <v>138</v>
      </c>
      <c r="C34" s="126">
        <v>1</v>
      </c>
      <c r="D34" s="153">
        <f>B34/800</f>
        <v>0.17249999999999999</v>
      </c>
      <c r="E34" s="153">
        <f>C35/170</f>
        <v>0</v>
      </c>
      <c r="G34" s="126" t="s">
        <v>662</v>
      </c>
      <c r="H34" s="139">
        <f>SUM(L3:L6)</f>
        <v>0</v>
      </c>
      <c r="I34" s="126">
        <v>135</v>
      </c>
      <c r="J34" s="126">
        <v>31</v>
      </c>
      <c r="K34" s="153">
        <f>I34/800</f>
        <v>0.16875000000000001</v>
      </c>
      <c r="L34" s="153">
        <f>J34/170</f>
        <v>0.18235294117647058</v>
      </c>
      <c r="N34" s="126" t="s">
        <v>662</v>
      </c>
      <c r="O34" s="139">
        <f>SUM(L7:L10)</f>
        <v>0</v>
      </c>
      <c r="P34" s="126">
        <v>134</v>
      </c>
      <c r="Q34" s="126">
        <v>24</v>
      </c>
      <c r="R34" s="153">
        <f>P34/800</f>
        <v>0.16750000000000001</v>
      </c>
      <c r="S34" s="153">
        <f>Q34/170</f>
        <v>0.14117647058823529</v>
      </c>
      <c r="U34" s="126" t="s">
        <v>662</v>
      </c>
      <c r="V34" s="139">
        <f>SUM(L11:L14)</f>
        <v>0</v>
      </c>
      <c r="W34" s="126">
        <v>109</v>
      </c>
      <c r="X34" s="126">
        <v>20</v>
      </c>
      <c r="Y34" s="153">
        <f>W34/800</f>
        <v>0.13625000000000001</v>
      </c>
      <c r="Z34" s="153">
        <f>X34/170</f>
        <v>0.11764705882352941</v>
      </c>
    </row>
    <row r="35" spans="1:26" ht="22.5" customHeight="1">
      <c r="A35" s="126" t="s">
        <v>663</v>
      </c>
      <c r="B35" s="126">
        <v>118</v>
      </c>
      <c r="C35" s="126">
        <v>0</v>
      </c>
      <c r="D35" s="153">
        <f>B35/580</f>
        <v>0.20344827586206896</v>
      </c>
      <c r="E35" s="153">
        <f>C36/75</f>
        <v>2.6666666666666668E-2</v>
      </c>
      <c r="G35" s="126" t="s">
        <v>663</v>
      </c>
      <c r="H35" s="139">
        <f>SUM(M3:M6)</f>
        <v>0</v>
      </c>
      <c r="I35" s="126">
        <v>107</v>
      </c>
      <c r="J35" s="126">
        <v>15</v>
      </c>
      <c r="K35" s="153">
        <f>I35/580</f>
        <v>0.18448275862068966</v>
      </c>
      <c r="L35" s="153">
        <f>J35/75</f>
        <v>0.2</v>
      </c>
      <c r="N35" s="126" t="s">
        <v>663</v>
      </c>
      <c r="O35" s="139">
        <f>SUM(M7:M10)</f>
        <v>0</v>
      </c>
      <c r="P35" s="126">
        <v>83</v>
      </c>
      <c r="Q35" s="126">
        <v>8</v>
      </c>
      <c r="R35" s="153">
        <f>P35/580</f>
        <v>0.14310344827586208</v>
      </c>
      <c r="S35" s="153">
        <f>Q35/75</f>
        <v>0.10666666666666667</v>
      </c>
      <c r="U35" s="126" t="s">
        <v>663</v>
      </c>
      <c r="V35" s="139">
        <f>SUM(M11:M14)</f>
        <v>0</v>
      </c>
      <c r="W35" s="126">
        <v>69</v>
      </c>
      <c r="X35" s="126">
        <v>5</v>
      </c>
      <c r="Y35" s="153">
        <f>W35/580</f>
        <v>0.11896551724137931</v>
      </c>
      <c r="Z35" s="153">
        <f>X35/75</f>
        <v>6.6666666666666666E-2</v>
      </c>
    </row>
    <row r="36" spans="1:26" ht="22.5" customHeight="1">
      <c r="A36" s="126" t="s">
        <v>664</v>
      </c>
      <c r="B36" s="126">
        <v>146</v>
      </c>
      <c r="C36" s="126">
        <v>2</v>
      </c>
      <c r="D36" s="153">
        <f>B36/720</f>
        <v>0.20277777777777778</v>
      </c>
      <c r="E36" s="153">
        <f>C36/100</f>
        <v>0.02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>AVERAGE(B24:B36)</f>
        <v>137.30769230769232</v>
      </c>
      <c r="C37" s="126"/>
      <c r="D37" s="153">
        <f t="shared" ref="D37:E37" si="3">SUM(D24:D36)</f>
        <v>2.5184908221586562</v>
      </c>
      <c r="E37" s="153">
        <f t="shared" si="3"/>
        <v>0.53741088055041542</v>
      </c>
      <c r="G37" s="126" t="s">
        <v>671</v>
      </c>
      <c r="H37" s="139">
        <f>SUM(H24:H36)</f>
        <v>0</v>
      </c>
      <c r="I37" s="126"/>
      <c r="J37" s="126"/>
      <c r="K37" s="153">
        <f t="shared" ref="K37:L37" si="4">SUM(K24:K36)</f>
        <v>1.0990838211659686</v>
      </c>
      <c r="L37" s="153">
        <f t="shared" si="4"/>
        <v>0.92403432285785225</v>
      </c>
      <c r="N37" s="126" t="s">
        <v>671</v>
      </c>
      <c r="O37" s="139"/>
      <c r="P37" s="126"/>
      <c r="Q37" s="126"/>
      <c r="R37" s="153">
        <f t="shared" ref="R37:S37" si="5">SUM(R24:R36)</f>
        <v>1.1426910214903039</v>
      </c>
      <c r="S37" s="153">
        <f t="shared" si="5"/>
        <v>0.94642133083309554</v>
      </c>
      <c r="U37" s="126" t="s">
        <v>671</v>
      </c>
      <c r="V37" s="139">
        <f>SUM(V24:V36)</f>
        <v>0</v>
      </c>
      <c r="W37" s="126"/>
      <c r="X37" s="126"/>
      <c r="Y37" s="153">
        <f t="shared" ref="Y37:Z37" si="6">SUM(Y24:Y36)</f>
        <v>1.1664693418763998</v>
      </c>
      <c r="Z37" s="153">
        <f t="shared" si="6"/>
        <v>0.8604379616144322</v>
      </c>
    </row>
    <row r="39" spans="1:26" ht="13">
      <c r="W39" s="228"/>
      <c r="X39" s="227"/>
      <c r="Y39" s="227"/>
      <c r="Z39" s="227"/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</row>
    <row r="41" spans="1:26" ht="22.5" customHeight="1">
      <c r="A41" s="126" t="s">
        <v>667</v>
      </c>
      <c r="B41" s="139">
        <f>SUM(B15:B21)</f>
        <v>0</v>
      </c>
      <c r="E41" s="153">
        <f>C41/750</f>
        <v>0</v>
      </c>
      <c r="F41" s="153">
        <f>D41/200</f>
        <v>0</v>
      </c>
      <c r="H41" s="126" t="s">
        <v>667</v>
      </c>
      <c r="I41" s="139">
        <f t="shared" ref="I41:I54" si="7">SUM(H24,O24,V24,B41)</f>
        <v>0</v>
      </c>
      <c r="J41" s="126">
        <f t="shared" ref="J41:M41" si="8">SUM(B24,I24,P24,W24,C41)</f>
        <v>412</v>
      </c>
      <c r="K41" s="126">
        <f t="shared" si="8"/>
        <v>63</v>
      </c>
      <c r="L41" s="153">
        <f t="shared" si="8"/>
        <v>0.54933333333333334</v>
      </c>
      <c r="M41" s="153">
        <f t="shared" si="8"/>
        <v>0.31500000000000006</v>
      </c>
      <c r="R41" s="47"/>
      <c r="S41" s="47"/>
    </row>
    <row r="42" spans="1:26" ht="22.5" customHeight="1">
      <c r="A42" s="126" t="s">
        <v>650</v>
      </c>
      <c r="B42" s="139">
        <f>SUM(C15:C21)</f>
        <v>0</v>
      </c>
      <c r="E42" s="153">
        <f>C42/720</f>
        <v>0</v>
      </c>
      <c r="F42" s="153">
        <f>D42/65</f>
        <v>0</v>
      </c>
      <c r="H42" s="126" t="s">
        <v>650</v>
      </c>
      <c r="I42" s="139">
        <f t="shared" si="7"/>
        <v>0</v>
      </c>
      <c r="J42" s="126">
        <f t="shared" ref="J42:M42" si="9">SUM(B25,I25,P25,W25,C42)</f>
        <v>536</v>
      </c>
      <c r="K42" s="126">
        <f t="shared" si="9"/>
        <v>23</v>
      </c>
      <c r="L42" s="153">
        <f t="shared" si="9"/>
        <v>0.74444444444444435</v>
      </c>
      <c r="M42" s="153">
        <f t="shared" si="9"/>
        <v>0.35384615384615387</v>
      </c>
      <c r="R42" s="160"/>
      <c r="S42" s="47"/>
    </row>
    <row r="43" spans="1:26" ht="22.5" customHeight="1">
      <c r="A43" s="126" t="s">
        <v>651</v>
      </c>
      <c r="B43" s="139">
        <f>SUM(D15:D21)</f>
        <v>0</v>
      </c>
      <c r="E43" s="153">
        <f>C43/750</f>
        <v>0</v>
      </c>
      <c r="F43" s="153">
        <f>D43/185</f>
        <v>0</v>
      </c>
      <c r="H43" s="126" t="s">
        <v>651</v>
      </c>
      <c r="I43" s="139">
        <f t="shared" si="7"/>
        <v>0</v>
      </c>
      <c r="J43" s="126">
        <f t="shared" ref="J43:M43" si="10">SUM(B26,I26,P26,W26,C43)</f>
        <v>472</v>
      </c>
      <c r="K43" s="126">
        <f t="shared" si="10"/>
        <v>54</v>
      </c>
      <c r="L43" s="153">
        <f t="shared" si="10"/>
        <v>0.6293333333333333</v>
      </c>
      <c r="M43" s="153">
        <f t="shared" si="10"/>
        <v>0.29189189189189191</v>
      </c>
      <c r="R43" s="47"/>
      <c r="S43" s="47"/>
    </row>
    <row r="44" spans="1:26" ht="22.5" customHeight="1">
      <c r="A44" s="126" t="s">
        <v>652</v>
      </c>
      <c r="B44" s="139">
        <f>SUM(E15:E21)</f>
        <v>0</v>
      </c>
      <c r="E44" s="153">
        <f>C44/700</f>
        <v>0</v>
      </c>
      <c r="F44" s="153">
        <f>D44/220</f>
        <v>0</v>
      </c>
      <c r="H44" s="126" t="s">
        <v>652</v>
      </c>
      <c r="I44" s="139">
        <f t="shared" si="7"/>
        <v>0</v>
      </c>
      <c r="J44" s="126">
        <f t="shared" ref="J44:M44" si="11">SUM(B27,I27,P27,W27,C44)</f>
        <v>142</v>
      </c>
      <c r="K44" s="126">
        <f t="shared" si="11"/>
        <v>2</v>
      </c>
      <c r="L44" s="153">
        <f t="shared" si="11"/>
        <v>0.20285714285714285</v>
      </c>
      <c r="M44" s="153">
        <f t="shared" si="11"/>
        <v>9.0909090909090905E-3</v>
      </c>
      <c r="R44" s="47"/>
      <c r="S44" s="47"/>
    </row>
    <row r="45" spans="1:26" ht="22.5" customHeight="1">
      <c r="A45" s="126" t="s">
        <v>653</v>
      </c>
      <c r="B45" s="139">
        <f>SUM(F15:F21)</f>
        <v>0</v>
      </c>
      <c r="E45" s="153">
        <f>C45/800</f>
        <v>0</v>
      </c>
      <c r="F45" s="153">
        <f>D46/220</f>
        <v>0</v>
      </c>
      <c r="H45" s="126" t="s">
        <v>653</v>
      </c>
      <c r="I45" s="139">
        <f t="shared" si="7"/>
        <v>0</v>
      </c>
      <c r="J45" s="126">
        <f t="shared" ref="J45:J54" si="12">SUM(B28,I28,P28,W28,C45)</f>
        <v>476</v>
      </c>
      <c r="K45" s="126">
        <f t="shared" ref="K45:K52" si="13">SUM(C29,J28,Q28,X28,D46)</f>
        <v>60</v>
      </c>
      <c r="L45" s="153">
        <f t="shared" ref="L45:M45" si="14">SUM(D28,K28,R28,Y28,E45)</f>
        <v>0.59499999999999997</v>
      </c>
      <c r="M45" s="153">
        <f t="shared" si="14"/>
        <v>0.27272727272727271</v>
      </c>
      <c r="R45" s="47"/>
      <c r="S45" s="47"/>
    </row>
    <row r="46" spans="1:26" ht="22.5" customHeight="1">
      <c r="A46" s="126" t="s">
        <v>654</v>
      </c>
      <c r="B46" s="139">
        <f>SUM(G15:G21)</f>
        <v>0</v>
      </c>
      <c r="E46" s="153">
        <f t="shared" ref="E46:F46" si="15">C46/820</f>
        <v>0</v>
      </c>
      <c r="F46" s="153">
        <f t="shared" si="15"/>
        <v>0</v>
      </c>
      <c r="H46" s="126" t="s">
        <v>654</v>
      </c>
      <c r="I46" s="139">
        <f t="shared" si="7"/>
        <v>0</v>
      </c>
      <c r="J46" s="126">
        <f t="shared" si="12"/>
        <v>129</v>
      </c>
      <c r="K46" s="126">
        <f t="shared" si="13"/>
        <v>2</v>
      </c>
      <c r="L46" s="153">
        <f t="shared" ref="L46:M46" si="16">SUM(D29,K29,R29,Y29,E46)</f>
        <v>0.15731707317073171</v>
      </c>
      <c r="M46" s="153">
        <f t="shared" si="16"/>
        <v>8.3333333333333332E-3</v>
      </c>
      <c r="R46" s="47"/>
      <c r="S46" s="47"/>
    </row>
    <row r="47" spans="1:26" ht="22.5" customHeight="1">
      <c r="A47" s="126" t="s">
        <v>655</v>
      </c>
      <c r="B47" s="139">
        <f>SUM(H15:H21)</f>
        <v>0</v>
      </c>
      <c r="E47" s="153">
        <f>C47/620</f>
        <v>0</v>
      </c>
      <c r="F47" s="153">
        <f>D47/820</f>
        <v>0</v>
      </c>
      <c r="H47" s="126" t="s">
        <v>655</v>
      </c>
      <c r="I47" s="139">
        <f t="shared" si="7"/>
        <v>0</v>
      </c>
      <c r="J47" s="126">
        <f t="shared" si="12"/>
        <v>314</v>
      </c>
      <c r="K47" s="126">
        <f t="shared" si="13"/>
        <v>40</v>
      </c>
      <c r="L47" s="153">
        <f t="shared" ref="L47:M47" si="17">SUM(D30,K30,R30,Y30,E47)</f>
        <v>0.50645161290322582</v>
      </c>
      <c r="M47" s="153">
        <f t="shared" si="17"/>
        <v>0.44444444444444442</v>
      </c>
      <c r="R47" s="47"/>
      <c r="S47" s="160"/>
    </row>
    <row r="48" spans="1:26" ht="22.5" customHeight="1">
      <c r="A48" s="126" t="s">
        <v>659</v>
      </c>
      <c r="B48" s="139">
        <f>SUM(I15:I21)</f>
        <v>0</v>
      </c>
      <c r="E48" s="153">
        <f t="shared" ref="E48:F48" si="18">C48/820</f>
        <v>0</v>
      </c>
      <c r="F48" s="153">
        <f t="shared" si="18"/>
        <v>0</v>
      </c>
      <c r="H48" s="126" t="s">
        <v>659</v>
      </c>
      <c r="I48" s="139">
        <f t="shared" si="7"/>
        <v>0</v>
      </c>
      <c r="J48" s="126">
        <f t="shared" si="12"/>
        <v>417</v>
      </c>
      <c r="K48" s="126">
        <f t="shared" si="13"/>
        <v>70</v>
      </c>
      <c r="L48" s="153">
        <f t="shared" ref="L48:M48" si="19">SUM(D31,K31,R31,Y31,E48)</f>
        <v>0.50853658536585367</v>
      </c>
      <c r="M48" s="153">
        <f t="shared" si="19"/>
        <v>0.35</v>
      </c>
      <c r="R48" s="160"/>
      <c r="S48" s="160"/>
    </row>
    <row r="49" spans="1:28" ht="22.5" customHeight="1">
      <c r="A49" s="126" t="s">
        <v>660</v>
      </c>
      <c r="B49" s="139">
        <f>SUM(J15:J21)</f>
        <v>0</v>
      </c>
      <c r="E49" s="153">
        <f>C49/505</f>
        <v>0</v>
      </c>
      <c r="F49" s="153">
        <f t="shared" ref="F49:F53" si="20">D49/820</f>
        <v>0</v>
      </c>
      <c r="H49" s="126" t="s">
        <v>660</v>
      </c>
      <c r="I49" s="139">
        <f t="shared" si="7"/>
        <v>0</v>
      </c>
      <c r="J49" s="126">
        <f t="shared" si="12"/>
        <v>147</v>
      </c>
      <c r="K49" s="126">
        <f t="shared" si="13"/>
        <v>15</v>
      </c>
      <c r="L49" s="153">
        <f t="shared" ref="L49:M49" si="21">SUM(D32,K32,R32,Y32,E49)</f>
        <v>0.29108910891089113</v>
      </c>
      <c r="M49" s="153">
        <f t="shared" si="21"/>
        <v>0.3571428571428571</v>
      </c>
      <c r="R49" s="160"/>
      <c r="S49" s="160"/>
    </row>
    <row r="50" spans="1:28" ht="22.5" customHeight="1">
      <c r="A50" s="126" t="s">
        <v>661</v>
      </c>
      <c r="B50" s="139">
        <f>SUM(K15:K21)</f>
        <v>0</v>
      </c>
      <c r="E50" s="153">
        <f>C50/740</f>
        <v>0</v>
      </c>
      <c r="F50" s="153">
        <f t="shared" si="20"/>
        <v>0</v>
      </c>
      <c r="H50" s="126" t="s">
        <v>661</v>
      </c>
      <c r="I50" s="139">
        <f t="shared" si="7"/>
        <v>0</v>
      </c>
      <c r="J50" s="126">
        <f t="shared" si="12"/>
        <v>181</v>
      </c>
      <c r="K50" s="126">
        <f t="shared" si="13"/>
        <v>1</v>
      </c>
      <c r="L50" s="153">
        <f t="shared" ref="L50:M50" si="22">SUM(D33,K33,R33,Y33,E50)</f>
        <v>0.24459459459459459</v>
      </c>
      <c r="M50" s="153">
        <f t="shared" si="22"/>
        <v>4.6511627906976744E-3</v>
      </c>
      <c r="O50" s="1"/>
      <c r="P50" s="1"/>
      <c r="Q50" s="1"/>
      <c r="R50" s="1"/>
      <c r="S50" s="1"/>
    </row>
    <row r="51" spans="1:28" ht="22.5" customHeight="1">
      <c r="A51" s="126" t="s">
        <v>662</v>
      </c>
      <c r="B51" s="139">
        <f>SUM(L15:L21)</f>
        <v>0</v>
      </c>
      <c r="E51" s="153">
        <f>C51/800</f>
        <v>0</v>
      </c>
      <c r="F51" s="153">
        <f t="shared" si="20"/>
        <v>0</v>
      </c>
      <c r="H51" s="126" t="s">
        <v>662</v>
      </c>
      <c r="I51" s="139">
        <f t="shared" si="7"/>
        <v>0</v>
      </c>
      <c r="J51" s="126">
        <f t="shared" si="12"/>
        <v>516</v>
      </c>
      <c r="K51" s="126">
        <f t="shared" si="13"/>
        <v>75</v>
      </c>
      <c r="L51" s="153">
        <f t="shared" ref="L51:M51" si="23">SUM(D34,K34,R34,Y34,E51)</f>
        <v>0.64500000000000002</v>
      </c>
      <c r="M51" s="153">
        <f t="shared" si="23"/>
        <v>0.44117647058823528</v>
      </c>
      <c r="O51" s="1"/>
      <c r="P51" s="1"/>
      <c r="Q51" s="1"/>
      <c r="R51" s="1"/>
      <c r="S51" s="1"/>
    </row>
    <row r="52" spans="1:28" ht="22.5" customHeight="1">
      <c r="A52" s="126" t="s">
        <v>663</v>
      </c>
      <c r="B52" s="139">
        <f>SUM(M15:M21)</f>
        <v>0</v>
      </c>
      <c r="E52" s="153">
        <f>C52/580</f>
        <v>0</v>
      </c>
      <c r="F52" s="153">
        <f t="shared" si="20"/>
        <v>0</v>
      </c>
      <c r="H52" s="126" t="s">
        <v>663</v>
      </c>
      <c r="I52" s="139">
        <f t="shared" si="7"/>
        <v>0</v>
      </c>
      <c r="J52" s="126">
        <f t="shared" si="12"/>
        <v>377</v>
      </c>
      <c r="K52" s="126">
        <f t="shared" si="13"/>
        <v>30</v>
      </c>
      <c r="L52" s="153">
        <f t="shared" ref="L52:M52" si="24">SUM(D35,K35,R35,Y35,E52)</f>
        <v>0.64999999999999991</v>
      </c>
      <c r="M52" s="153">
        <f t="shared" si="24"/>
        <v>0.4</v>
      </c>
      <c r="O52" s="1"/>
      <c r="P52" s="1"/>
      <c r="Q52" s="1"/>
      <c r="R52" s="1"/>
      <c r="S52" s="1"/>
    </row>
    <row r="53" spans="1:28" ht="22.5" customHeight="1">
      <c r="A53" s="126" t="s">
        <v>664</v>
      </c>
      <c r="B53" s="139">
        <f>SUM(N15:N21)</f>
        <v>0</v>
      </c>
      <c r="E53" s="153">
        <f>C53/720</f>
        <v>0</v>
      </c>
      <c r="F53" s="153">
        <f t="shared" si="20"/>
        <v>0</v>
      </c>
      <c r="H53" s="126" t="s">
        <v>664</v>
      </c>
      <c r="I53" s="139">
        <f t="shared" si="7"/>
        <v>0</v>
      </c>
      <c r="J53" s="126">
        <f t="shared" si="12"/>
        <v>146</v>
      </c>
      <c r="K53" s="126">
        <f>SUM(D53,C36,J36,Q36,X36)</f>
        <v>2</v>
      </c>
      <c r="L53" s="153">
        <f t="shared" ref="L53:M53" si="25">SUM(D36,K36,R36,Y36,E53)</f>
        <v>0.20277777777777778</v>
      </c>
      <c r="M53" s="153">
        <f t="shared" si="25"/>
        <v>0.02</v>
      </c>
      <c r="O53" s="1"/>
      <c r="P53" s="1"/>
      <c r="Q53" s="1"/>
      <c r="R53" s="1"/>
      <c r="S53" s="1"/>
    </row>
    <row r="54" spans="1:28" ht="22.5" customHeight="1">
      <c r="A54" s="126" t="s">
        <v>671</v>
      </c>
      <c r="B54" s="139">
        <f>SUM(B41:B53)</f>
        <v>0</v>
      </c>
      <c r="C54" s="126"/>
      <c r="D54" s="126"/>
      <c r="E54" s="153">
        <f t="shared" ref="E54:F54" si="26">SUM(E41:E53)</f>
        <v>0</v>
      </c>
      <c r="F54" s="153">
        <f t="shared" si="26"/>
        <v>0</v>
      </c>
      <c r="H54" s="126" t="s">
        <v>671</v>
      </c>
      <c r="I54" s="139">
        <f t="shared" si="7"/>
        <v>0</v>
      </c>
      <c r="J54" s="126">
        <f t="shared" si="12"/>
        <v>137.30769230769232</v>
      </c>
      <c r="K54" s="126">
        <f t="shared" ref="K54:L54" si="27">SUM(C37,J37,Q37,X37,D54)</f>
        <v>0</v>
      </c>
      <c r="L54" s="153">
        <f t="shared" si="27"/>
        <v>5.9267350066913291</v>
      </c>
      <c r="M54" s="153">
        <f>SUM(M41:M53)</f>
        <v>3.2683044958557952</v>
      </c>
      <c r="O54" s="1"/>
      <c r="P54" s="1"/>
      <c r="Q54" s="1"/>
      <c r="R54" s="1"/>
      <c r="S54" s="1"/>
    </row>
    <row r="58" spans="1:28" ht="13">
      <c r="AA58" s="159"/>
      <c r="AB58" s="159"/>
    </row>
    <row r="59" spans="1:28" ht="13">
      <c r="AA59" s="159"/>
      <c r="AB59" s="159"/>
    </row>
    <row r="60" spans="1:28" ht="13">
      <c r="AA60" s="159"/>
      <c r="AB60" s="159"/>
    </row>
    <row r="61" spans="1:28" ht="13">
      <c r="AA61" s="159"/>
      <c r="AB61" s="159"/>
    </row>
    <row r="62" spans="1:28" ht="13">
      <c r="AA62" s="159"/>
      <c r="AB62" s="159"/>
    </row>
    <row r="63" spans="1:28" ht="13">
      <c r="AA63" s="159"/>
      <c r="AB63" s="159"/>
    </row>
    <row r="64" spans="1:28" ht="13">
      <c r="AA64" s="159"/>
      <c r="AB64" s="159"/>
    </row>
    <row r="65" spans="27:28" ht="13">
      <c r="AA65" s="159"/>
      <c r="AB65" s="159"/>
    </row>
    <row r="66" spans="27:28" ht="13">
      <c r="AA66" s="159"/>
      <c r="AB66" s="159"/>
    </row>
    <row r="67" spans="27:28" ht="13">
      <c r="AA67" s="159"/>
      <c r="AB67" s="159"/>
    </row>
    <row r="68" spans="27:28" ht="13">
      <c r="AA68" s="159"/>
      <c r="AB68" s="159"/>
    </row>
    <row r="69" spans="27:28" ht="13">
      <c r="AA69" s="159"/>
      <c r="AB69" s="159"/>
    </row>
    <row r="70" spans="27:28" ht="13">
      <c r="AA70" s="159"/>
      <c r="AB70" s="159"/>
    </row>
  </sheetData>
  <mergeCells count="5">
    <mergeCell ref="A3:A6"/>
    <mergeCell ref="A7:A10"/>
    <mergeCell ref="A11:A14"/>
    <mergeCell ref="A15:A21"/>
    <mergeCell ref="W39:Z39"/>
  </mergeCells>
  <dataValidations count="1">
    <dataValidation type="custom" allowBlank="1" showDropDown="1" sqref="D24:D37" xr:uid="{00000000-0002-0000-1E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FF00"/>
    <outlinePr summaryBelow="0" summaryRight="0"/>
  </sheetPr>
  <dimension ref="A1:AB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27" t="s">
        <v>667</v>
      </c>
      <c r="C1" s="155" t="s">
        <v>650</v>
      </c>
      <c r="D1" s="155" t="s">
        <v>651</v>
      </c>
      <c r="E1" s="127" t="s">
        <v>652</v>
      </c>
      <c r="F1" s="127" t="s">
        <v>655</v>
      </c>
      <c r="G1" s="155" t="s">
        <v>653</v>
      </c>
      <c r="H1" s="141" t="s">
        <v>654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3">
      <c r="A3" s="248">
        <v>1</v>
      </c>
      <c r="B3" s="129"/>
      <c r="C3" s="129">
        <v>0.34861111111111109</v>
      </c>
      <c r="D3" s="129">
        <v>0.34861111111111109</v>
      </c>
      <c r="E3" s="129"/>
      <c r="F3" s="144"/>
      <c r="G3" s="144">
        <v>0.34861111111111109</v>
      </c>
      <c r="H3" s="129"/>
      <c r="I3" s="129">
        <v>8.7499999999999994E-2</v>
      </c>
      <c r="J3" s="129">
        <v>0.25138888888888888</v>
      </c>
      <c r="K3" s="129"/>
      <c r="L3" s="146">
        <v>0.26111111111111113</v>
      </c>
      <c r="M3" s="146">
        <v>0.34861111111111109</v>
      </c>
      <c r="N3" s="146"/>
    </row>
    <row r="4" spans="1:14" ht="13">
      <c r="A4" s="249"/>
      <c r="B4" s="129"/>
      <c r="C4" s="129">
        <v>0.25138888888888888</v>
      </c>
      <c r="D4" s="129">
        <v>2.9861111111111113E-2</v>
      </c>
      <c r="E4" s="129"/>
      <c r="F4" s="146"/>
      <c r="G4" s="146">
        <v>0.22152777777777777</v>
      </c>
      <c r="H4" s="131"/>
      <c r="I4" s="129">
        <v>0.25138888888888888</v>
      </c>
      <c r="J4" s="129"/>
      <c r="K4" s="129"/>
      <c r="L4" s="146">
        <v>0.25138888888888888</v>
      </c>
      <c r="M4" s="146"/>
      <c r="N4" s="146"/>
    </row>
    <row r="5" spans="1:14" ht="13">
      <c r="A5" s="249"/>
      <c r="B5" s="129"/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3">
      <c r="A7" s="248">
        <v>2</v>
      </c>
      <c r="B7" s="135"/>
      <c r="C7" s="135">
        <v>0.23472222222222222</v>
      </c>
      <c r="D7" s="135">
        <v>0.18958333333333333</v>
      </c>
      <c r="E7" s="135">
        <v>0.13333333333333333</v>
      </c>
      <c r="F7" s="144">
        <v>0.15694444444444444</v>
      </c>
      <c r="G7" s="144">
        <v>0.17847222222222223</v>
      </c>
      <c r="H7" s="135"/>
      <c r="I7" s="135">
        <v>0.26944444444444443</v>
      </c>
      <c r="J7" s="135">
        <v>0.22847222222222222</v>
      </c>
      <c r="K7" s="135"/>
      <c r="L7" s="144">
        <v>0.36875000000000002</v>
      </c>
      <c r="M7" s="144">
        <v>0.36875000000000002</v>
      </c>
      <c r="N7" s="144"/>
    </row>
    <row r="8" spans="1:14" ht="13">
      <c r="A8" s="249"/>
      <c r="B8" s="129"/>
      <c r="C8" s="129">
        <v>9.8611111111111108E-2</v>
      </c>
      <c r="D8" s="129">
        <v>0.11180555555555556</v>
      </c>
      <c r="E8" s="129">
        <v>0.15694444444444444</v>
      </c>
      <c r="F8" s="146"/>
      <c r="G8" s="146">
        <v>0.38472222222222224</v>
      </c>
      <c r="H8" s="129"/>
      <c r="I8" s="129"/>
      <c r="J8" s="129"/>
      <c r="K8" s="129"/>
      <c r="L8" s="146">
        <v>0.38472222222222224</v>
      </c>
      <c r="M8" s="146">
        <v>0.22847222222222222</v>
      </c>
      <c r="N8" s="146"/>
    </row>
    <row r="9" spans="1:14" ht="13">
      <c r="A9" s="249"/>
      <c r="B9" s="129"/>
      <c r="C9" s="129">
        <v>0.15694444444444444</v>
      </c>
      <c r="D9" s="129"/>
      <c r="E9" s="129"/>
      <c r="F9" s="146"/>
      <c r="G9" s="146"/>
      <c r="H9" s="129"/>
      <c r="I9" s="129"/>
      <c r="J9" s="129"/>
      <c r="K9" s="129"/>
      <c r="L9" s="146"/>
      <c r="M9" s="146"/>
      <c r="N9" s="146"/>
    </row>
    <row r="10" spans="1:14" ht="13">
      <c r="A10" s="250"/>
      <c r="B10" s="147"/>
      <c r="C10" s="147">
        <v>0.11666666666666667</v>
      </c>
      <c r="D10" s="147"/>
      <c r="E10" s="147"/>
      <c r="F10" s="148"/>
      <c r="G10" s="148"/>
      <c r="H10" s="147"/>
      <c r="I10" s="147"/>
      <c r="J10" s="147"/>
      <c r="K10" s="147"/>
      <c r="L10" s="148"/>
      <c r="M10" s="148"/>
      <c r="N10" s="148"/>
    </row>
    <row r="11" spans="1:14" ht="13">
      <c r="A11" s="248">
        <v>3</v>
      </c>
      <c r="B11" s="135"/>
      <c r="C11" s="135">
        <v>0.2048611111111111</v>
      </c>
      <c r="D11" s="135">
        <v>0.2048611111111111</v>
      </c>
      <c r="E11" s="135"/>
      <c r="F11" s="144"/>
      <c r="G11" s="144">
        <v>0.2048611111111111</v>
      </c>
      <c r="H11" s="135"/>
      <c r="I11" s="135">
        <v>0.12361111111111112</v>
      </c>
      <c r="J11" s="135">
        <v>0.12361111111111112</v>
      </c>
      <c r="K11" s="135"/>
      <c r="L11" s="144">
        <v>0.2048611111111111</v>
      </c>
      <c r="M11" s="144">
        <v>0.2048611111111111</v>
      </c>
      <c r="N11" s="144"/>
    </row>
    <row r="12" spans="1:14" ht="13">
      <c r="A12" s="249"/>
      <c r="B12" s="129"/>
      <c r="C12" s="129">
        <v>0.12361111111111112</v>
      </c>
      <c r="D12" s="129">
        <v>0.12361111111111112</v>
      </c>
      <c r="E12" s="129"/>
      <c r="F12" s="146"/>
      <c r="G12" s="146">
        <v>0.12361111111111112</v>
      </c>
      <c r="H12" s="129"/>
      <c r="I12" s="129">
        <v>0.36736111111111114</v>
      </c>
      <c r="J12" s="129"/>
      <c r="K12" s="129"/>
      <c r="L12" s="129">
        <v>0.36736111111111114</v>
      </c>
      <c r="M12" s="129">
        <v>0.36736111111111114</v>
      </c>
      <c r="N12" s="146"/>
    </row>
    <row r="13" spans="1:14" ht="13">
      <c r="A13" s="249"/>
      <c r="B13" s="129"/>
      <c r="C13" s="129">
        <v>0.36736111111111114</v>
      </c>
      <c r="D13" s="129"/>
      <c r="E13" s="129"/>
      <c r="F13" s="146"/>
      <c r="G13" s="146">
        <v>0.36736111111111114</v>
      </c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/>
      <c r="C15" s="133">
        <v>7.8472222222222221E-2</v>
      </c>
      <c r="D15" s="144"/>
      <c r="E15" s="135"/>
      <c r="F15" s="135"/>
      <c r="G15" s="144">
        <v>7.8472222222222221E-2</v>
      </c>
      <c r="H15" s="135"/>
      <c r="I15" s="135">
        <v>7.8472222222222221E-2</v>
      </c>
      <c r="J15" s="135"/>
      <c r="K15" s="135"/>
      <c r="L15" s="144">
        <v>7.8472222222222221E-2</v>
      </c>
      <c r="M15" s="144">
        <v>7.8472222222222221E-2</v>
      </c>
      <c r="N15" s="144"/>
    </row>
    <row r="16" spans="1:14" ht="13">
      <c r="A16" s="252"/>
      <c r="B16" s="146"/>
      <c r="C16" s="129"/>
      <c r="D16" s="146"/>
      <c r="E16" s="129"/>
      <c r="F16" s="146"/>
      <c r="G16" s="146"/>
      <c r="H16" s="129"/>
      <c r="I16" s="129"/>
      <c r="J16" s="129"/>
      <c r="K16" s="129"/>
      <c r="L16" s="146"/>
      <c r="M16" s="146"/>
      <c r="N16" s="146"/>
    </row>
    <row r="17" spans="1:26" ht="13">
      <c r="A17" s="252"/>
      <c r="B17" s="146"/>
      <c r="C17" s="129"/>
      <c r="D17" s="146"/>
      <c r="E17" s="129"/>
      <c r="F17" s="129"/>
      <c r="G17" s="146"/>
      <c r="H17" s="129"/>
      <c r="I17" s="129"/>
      <c r="J17" s="129"/>
      <c r="K17" s="129"/>
      <c r="L17" s="146"/>
      <c r="M17" s="146"/>
      <c r="N17" s="146"/>
    </row>
    <row r="18" spans="1:26" ht="13">
      <c r="A18" s="252"/>
      <c r="B18" s="146"/>
      <c r="C18" s="129"/>
      <c r="D18" s="146"/>
      <c r="E18" s="129"/>
      <c r="F18" s="129"/>
      <c r="G18" s="146"/>
      <c r="H18" s="129"/>
      <c r="I18" s="129"/>
      <c r="J18" s="129"/>
      <c r="K18" s="129"/>
      <c r="L18" s="146"/>
      <c r="M18" s="146"/>
      <c r="N18" s="146"/>
    </row>
    <row r="19" spans="1:26" ht="13">
      <c r="A19" s="252"/>
      <c r="B19" s="146"/>
      <c r="C19" s="129"/>
      <c r="D19" s="157"/>
      <c r="E19" s="129"/>
      <c r="F19" s="129"/>
      <c r="G19" s="146"/>
      <c r="H19" s="129"/>
      <c r="I19" s="129"/>
      <c r="J19" s="129"/>
      <c r="K19" s="129"/>
      <c r="L19" s="146"/>
      <c r="M19" s="146"/>
      <c r="N19" s="146"/>
    </row>
    <row r="20" spans="1:26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667</v>
      </c>
      <c r="D24" s="153">
        <f>B24/750</f>
        <v>0</v>
      </c>
      <c r="E24" s="153">
        <f>C24/200</f>
        <v>0</v>
      </c>
      <c r="G24" s="126" t="s">
        <v>667</v>
      </c>
      <c r="H24" s="139">
        <f>SUM(B3:B6)</f>
        <v>0</v>
      </c>
      <c r="K24" s="153">
        <f>I24/750</f>
        <v>0</v>
      </c>
      <c r="L24" s="153">
        <f>J24/200</f>
        <v>0</v>
      </c>
      <c r="N24" s="126" t="s">
        <v>667</v>
      </c>
      <c r="O24" s="139">
        <f>SUM(B7:B10)</f>
        <v>0</v>
      </c>
      <c r="R24" s="153">
        <f>P24/750</f>
        <v>0</v>
      </c>
      <c r="S24" s="153">
        <f>Q24/200</f>
        <v>0</v>
      </c>
      <c r="U24" s="126" t="s">
        <v>667</v>
      </c>
      <c r="V24" s="139">
        <f>SUM(B11:B14)</f>
        <v>0</v>
      </c>
      <c r="Y24" s="153">
        <f>W24/750</f>
        <v>0</v>
      </c>
      <c r="Z24" s="153">
        <f>X24/200</f>
        <v>0</v>
      </c>
    </row>
    <row r="25" spans="1:26" ht="22.5" customHeight="1">
      <c r="A25" s="126" t="s">
        <v>650</v>
      </c>
      <c r="B25" s="126">
        <v>154</v>
      </c>
      <c r="C25" s="126">
        <v>0</v>
      </c>
      <c r="D25" s="153">
        <f>B25/720</f>
        <v>0.21388888888888888</v>
      </c>
      <c r="E25" s="153">
        <f>C25/65</f>
        <v>0</v>
      </c>
      <c r="G25" s="126" t="s">
        <v>650</v>
      </c>
      <c r="H25" s="139">
        <f>SUM(C3:C6)</f>
        <v>0.6</v>
      </c>
      <c r="I25" s="126">
        <v>134</v>
      </c>
      <c r="J25" s="126">
        <v>11</v>
      </c>
      <c r="K25" s="153">
        <f>I25/720</f>
        <v>0.18611111111111112</v>
      </c>
      <c r="L25" s="153">
        <f>J25/65</f>
        <v>0.16923076923076924</v>
      </c>
      <c r="N25" s="126" t="s">
        <v>650</v>
      </c>
      <c r="O25" s="139">
        <f>SUM(C7:C10)</f>
        <v>0.6069444444444444</v>
      </c>
      <c r="P25" s="126">
        <v>124</v>
      </c>
      <c r="Q25" s="126">
        <v>7</v>
      </c>
      <c r="R25" s="153">
        <f>P25/720</f>
        <v>0.17222222222222222</v>
      </c>
      <c r="S25" s="153">
        <f>Q25/65</f>
        <v>0.1076923076923077</v>
      </c>
      <c r="U25" s="126" t="s">
        <v>650</v>
      </c>
      <c r="V25" s="139">
        <f>SUM(C11:C14)</f>
        <v>0.6958333333333333</v>
      </c>
      <c r="W25" s="126">
        <v>142</v>
      </c>
      <c r="X25" s="126">
        <v>8</v>
      </c>
      <c r="Y25" s="153">
        <f>W25/720</f>
        <v>0.19722222222222222</v>
      </c>
      <c r="Z25" s="153">
        <f>X25/65</f>
        <v>0.12307692307692308</v>
      </c>
    </row>
    <row r="26" spans="1:26" ht="22.5" customHeight="1">
      <c r="A26" s="126" t="s">
        <v>651</v>
      </c>
      <c r="B26" s="126">
        <v>165</v>
      </c>
      <c r="C26" s="126">
        <v>2</v>
      </c>
      <c r="D26" s="153">
        <f>B26/750</f>
        <v>0.22</v>
      </c>
      <c r="E26" s="153">
        <f>C26/185</f>
        <v>1.0810810810810811E-2</v>
      </c>
      <c r="G26" s="126" t="s">
        <v>651</v>
      </c>
      <c r="H26" s="139">
        <f>SUM($D3:$D6)</f>
        <v>0.37847222222222221</v>
      </c>
      <c r="I26" s="126">
        <v>92</v>
      </c>
      <c r="J26" s="126">
        <v>13</v>
      </c>
      <c r="K26" s="153">
        <f>I26/750</f>
        <v>0.12266666666666666</v>
      </c>
      <c r="L26" s="153">
        <f>J26/185</f>
        <v>7.0270270270270274E-2</v>
      </c>
      <c r="N26" s="126" t="s">
        <v>651</v>
      </c>
      <c r="O26" s="139">
        <f>SUM(D7:D10)</f>
        <v>0.30138888888888887</v>
      </c>
      <c r="P26" s="126">
        <v>67</v>
      </c>
      <c r="Q26" s="126">
        <v>7</v>
      </c>
      <c r="R26" s="153">
        <f>P26/750</f>
        <v>8.9333333333333334E-2</v>
      </c>
      <c r="S26" s="153">
        <f>Q26/185</f>
        <v>3.783783783783784E-2</v>
      </c>
      <c r="U26" s="126" t="s">
        <v>651</v>
      </c>
      <c r="V26" s="139">
        <f>SUM(D11:D14)</f>
        <v>0.32847222222222222</v>
      </c>
      <c r="W26" s="126">
        <v>65</v>
      </c>
      <c r="X26" s="126">
        <v>1</v>
      </c>
      <c r="Y26" s="153">
        <f>W26/750</f>
        <v>8.666666666666667E-2</v>
      </c>
      <c r="Z26" s="153">
        <f>X26/185</f>
        <v>5.4054054054054057E-3</v>
      </c>
    </row>
    <row r="27" spans="1:26" ht="22.5" customHeight="1">
      <c r="A27" s="126" t="s">
        <v>652</v>
      </c>
      <c r="B27" s="126">
        <v>153</v>
      </c>
      <c r="C27" s="126">
        <v>4</v>
      </c>
      <c r="D27" s="153">
        <f>B27/700</f>
        <v>0.21857142857142858</v>
      </c>
      <c r="E27" s="153">
        <f>C27/220</f>
        <v>1.8181818181818181E-2</v>
      </c>
      <c r="G27" s="126" t="s">
        <v>652</v>
      </c>
      <c r="H27" s="139">
        <f>SUM(E3:E6)</f>
        <v>0</v>
      </c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0.29027777777777775</v>
      </c>
      <c r="P27" s="126">
        <v>82</v>
      </c>
      <c r="Q27" s="126">
        <v>22</v>
      </c>
      <c r="R27" s="153">
        <f>P27/700</f>
        <v>0.11714285714285715</v>
      </c>
      <c r="S27" s="153">
        <f t="shared" ref="S27:S28" si="1">Q27/220</f>
        <v>0.1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</row>
    <row r="28" spans="1:26" ht="22.5" customHeight="1">
      <c r="A28" s="126" t="s">
        <v>655</v>
      </c>
      <c r="B28" s="126">
        <v>172</v>
      </c>
      <c r="C28" s="126">
        <v>1</v>
      </c>
      <c r="D28" s="153">
        <f>B28/800</f>
        <v>0.215</v>
      </c>
      <c r="E28" s="153">
        <f>C29/220</f>
        <v>1.3636363636363636E-2</v>
      </c>
      <c r="G28" s="126" t="s">
        <v>655</v>
      </c>
      <c r="H28" s="139">
        <f>SUM(F3:F6)</f>
        <v>0</v>
      </c>
      <c r="K28" s="153">
        <f>I28/800</f>
        <v>0</v>
      </c>
      <c r="L28" s="153">
        <f t="shared" si="0"/>
        <v>0</v>
      </c>
      <c r="N28" s="126" t="s">
        <v>655</v>
      </c>
      <c r="O28" s="139">
        <f>SUM(F7:F10)</f>
        <v>0.15694444444444444</v>
      </c>
      <c r="P28" s="126">
        <v>33</v>
      </c>
      <c r="Q28" s="126">
        <v>2</v>
      </c>
      <c r="R28" s="153">
        <f>P28/800</f>
        <v>4.1250000000000002E-2</v>
      </c>
      <c r="S28" s="153">
        <f t="shared" si="1"/>
        <v>9.0909090909090905E-3</v>
      </c>
      <c r="U28" s="126" t="s">
        <v>655</v>
      </c>
      <c r="V28" s="139">
        <f>SUM(F11:F14)</f>
        <v>0</v>
      </c>
      <c r="Y28" s="153">
        <f>W28/800</f>
        <v>0</v>
      </c>
      <c r="Z28" s="153">
        <f t="shared" si="2"/>
        <v>0</v>
      </c>
    </row>
    <row r="29" spans="1:26" ht="22.5" customHeight="1">
      <c r="A29" s="126" t="s">
        <v>653</v>
      </c>
      <c r="B29" s="126">
        <v>161</v>
      </c>
      <c r="C29" s="126">
        <v>3</v>
      </c>
      <c r="D29" s="153">
        <f>B29/820</f>
        <v>0.19634146341463415</v>
      </c>
      <c r="E29" s="153">
        <f>C30/240</f>
        <v>1.6666666666666666E-2</v>
      </c>
      <c r="G29" s="126" t="s">
        <v>653</v>
      </c>
      <c r="H29" s="139">
        <f>SUM(G3:G6)</f>
        <v>0.57013888888888886</v>
      </c>
      <c r="I29" s="126">
        <v>147</v>
      </c>
      <c r="J29" s="126">
        <v>19</v>
      </c>
      <c r="K29" s="153">
        <f>I29/820</f>
        <v>0.17926829268292682</v>
      </c>
      <c r="L29" s="153">
        <f>J29/240</f>
        <v>7.9166666666666663E-2</v>
      </c>
      <c r="N29" s="126" t="s">
        <v>653</v>
      </c>
      <c r="O29" s="139">
        <f>SUM(G7:G10)</f>
        <v>0.56319444444444444</v>
      </c>
      <c r="P29" s="126">
        <v>112</v>
      </c>
      <c r="Q29" s="126">
        <v>13</v>
      </c>
      <c r="R29" s="153">
        <f>P29/820</f>
        <v>0.13658536585365855</v>
      </c>
      <c r="S29" s="153">
        <f>Q29/240</f>
        <v>5.4166666666666669E-2</v>
      </c>
      <c r="U29" s="126" t="s">
        <v>653</v>
      </c>
      <c r="V29" s="139">
        <f>SUM(G11:G14)</f>
        <v>0.6958333333333333</v>
      </c>
      <c r="W29" s="126">
        <v>148</v>
      </c>
      <c r="X29" s="126">
        <v>19</v>
      </c>
      <c r="Y29" s="153">
        <f>W29/820</f>
        <v>0.18048780487804877</v>
      </c>
      <c r="Z29" s="153">
        <f>X29/240</f>
        <v>7.9166666666666663E-2</v>
      </c>
    </row>
    <row r="30" spans="1:26" ht="22.5" customHeight="1">
      <c r="A30" s="126" t="s">
        <v>654</v>
      </c>
      <c r="B30" s="126">
        <v>152</v>
      </c>
      <c r="C30" s="126">
        <v>4</v>
      </c>
      <c r="D30" s="153">
        <f>B30/620</f>
        <v>0.24516129032258063</v>
      </c>
      <c r="E30" s="153">
        <f>C31/90</f>
        <v>7.7777777777777779E-2</v>
      </c>
      <c r="G30" s="126" t="s">
        <v>654</v>
      </c>
      <c r="H30" s="139">
        <f>SUM(H3:H6)</f>
        <v>0</v>
      </c>
      <c r="K30" s="153">
        <f>I30/620</f>
        <v>0</v>
      </c>
      <c r="L30" s="153">
        <f>J30/90</f>
        <v>0</v>
      </c>
      <c r="N30" s="126" t="s">
        <v>654</v>
      </c>
      <c r="O30" s="139">
        <f>SUM(H7:H10)</f>
        <v>0</v>
      </c>
      <c r="R30" s="153">
        <f>P30/620</f>
        <v>0</v>
      </c>
      <c r="S30" s="153">
        <f>Q30/90</f>
        <v>0</v>
      </c>
      <c r="U30" s="126" t="s">
        <v>654</v>
      </c>
      <c r="V30" s="139">
        <f>SUM(H11:H14)</f>
        <v>0</v>
      </c>
      <c r="Y30" s="153">
        <f>W30/620</f>
        <v>0</v>
      </c>
      <c r="Z30" s="153">
        <f>X30/90</f>
        <v>0</v>
      </c>
    </row>
    <row r="31" spans="1:26" ht="22.5" customHeight="1">
      <c r="A31" s="126" t="s">
        <v>659</v>
      </c>
      <c r="B31" s="126">
        <v>188</v>
      </c>
      <c r="C31" s="126">
        <v>7</v>
      </c>
      <c r="D31" s="153">
        <f>B31/820</f>
        <v>0.22926829268292684</v>
      </c>
      <c r="E31" s="153">
        <f>C32/200</f>
        <v>0</v>
      </c>
      <c r="G31" s="126" t="s">
        <v>659</v>
      </c>
      <c r="H31" s="139">
        <f>SUM(I3:I6)</f>
        <v>0.33888888888888891</v>
      </c>
      <c r="I31" s="126">
        <v>106</v>
      </c>
      <c r="J31" s="126">
        <v>20</v>
      </c>
      <c r="K31" s="153">
        <f>I31/820</f>
        <v>0.12926829268292683</v>
      </c>
      <c r="L31" s="153">
        <f>J31/200</f>
        <v>0.1</v>
      </c>
      <c r="N31" s="126" t="s">
        <v>659</v>
      </c>
      <c r="O31" s="154">
        <f>SUM(I7:I10)</f>
        <v>0.26944444444444443</v>
      </c>
      <c r="P31" s="126">
        <v>70</v>
      </c>
      <c r="Q31" s="126">
        <v>17</v>
      </c>
      <c r="R31" s="153">
        <f>P31/820</f>
        <v>8.5365853658536592E-2</v>
      </c>
      <c r="S31" s="153">
        <f>Q31/200</f>
        <v>8.5000000000000006E-2</v>
      </c>
      <c r="U31" s="126" t="s">
        <v>659</v>
      </c>
      <c r="V31" s="139">
        <f>SUM(I11:I14)</f>
        <v>0.49097222222222225</v>
      </c>
      <c r="W31" s="126">
        <v>114</v>
      </c>
      <c r="X31" s="126">
        <v>26</v>
      </c>
      <c r="Y31" s="153">
        <f>W31/820</f>
        <v>0.13902439024390245</v>
      </c>
      <c r="Z31" s="153">
        <f>X31/200</f>
        <v>0.13</v>
      </c>
    </row>
    <row r="32" spans="1:26" ht="22.5" customHeight="1">
      <c r="A32" s="126" t="s">
        <v>660</v>
      </c>
      <c r="B32" s="126">
        <v>123</v>
      </c>
      <c r="C32" s="126">
        <v>0</v>
      </c>
      <c r="D32" s="153">
        <f>B32/505</f>
        <v>0.24356435643564356</v>
      </c>
      <c r="E32" s="153">
        <f>C33/42</f>
        <v>0.23809523809523808</v>
      </c>
      <c r="G32" s="126" t="s">
        <v>660</v>
      </c>
      <c r="H32" s="139">
        <f>SUM(J3:J6)</f>
        <v>0.25138888888888888</v>
      </c>
      <c r="I32" s="126">
        <v>49</v>
      </c>
      <c r="J32" s="126">
        <v>2</v>
      </c>
      <c r="K32" s="153">
        <f>I32/505</f>
        <v>9.7029702970297033E-2</v>
      </c>
      <c r="L32" s="153">
        <f>J32/42</f>
        <v>4.7619047619047616E-2</v>
      </c>
      <c r="N32" s="126" t="s">
        <v>660</v>
      </c>
      <c r="O32" s="139">
        <f>SUM(J7:J10)</f>
        <v>0.22847222222222222</v>
      </c>
      <c r="P32" s="126">
        <v>42</v>
      </c>
      <c r="Q32" s="126">
        <v>2</v>
      </c>
      <c r="R32" s="153">
        <f>P32/505</f>
        <v>8.3168316831683173E-2</v>
      </c>
      <c r="S32" s="153">
        <f>Q32/42</f>
        <v>4.7619047619047616E-2</v>
      </c>
      <c r="U32" s="126" t="s">
        <v>660</v>
      </c>
      <c r="V32" s="139">
        <f>SUM(J11:J14)</f>
        <v>0.12361111111111112</v>
      </c>
      <c r="W32" s="126">
        <v>22</v>
      </c>
      <c r="X32" s="126">
        <v>1</v>
      </c>
      <c r="Y32" s="153">
        <f>W32/505</f>
        <v>4.3564356435643561E-2</v>
      </c>
      <c r="Z32" s="153">
        <f>X32/42</f>
        <v>2.3809523809523808E-2</v>
      </c>
    </row>
    <row r="33" spans="1:26" ht="22.5" customHeight="1">
      <c r="A33" s="126" t="s">
        <v>661</v>
      </c>
      <c r="B33" s="126">
        <v>202</v>
      </c>
      <c r="C33" s="126">
        <v>10</v>
      </c>
      <c r="D33" s="153">
        <f>B33/740</f>
        <v>0.27297297297297296</v>
      </c>
      <c r="E33" s="153">
        <f>C34/215</f>
        <v>1.8604651162790697E-2</v>
      </c>
      <c r="G33" s="126" t="s">
        <v>661</v>
      </c>
      <c r="H33" s="139">
        <f>SUM(K3:K6)</f>
        <v>0</v>
      </c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</row>
    <row r="34" spans="1:26" ht="22.5" customHeight="1">
      <c r="A34" s="126" t="s">
        <v>662</v>
      </c>
      <c r="B34" s="126">
        <v>149</v>
      </c>
      <c r="C34" s="126">
        <v>4</v>
      </c>
      <c r="D34" s="153">
        <f>B34/800</f>
        <v>0.18625</v>
      </c>
      <c r="E34" s="153">
        <f>C35/170</f>
        <v>1.1764705882352941E-2</v>
      </c>
      <c r="G34" s="126" t="s">
        <v>662</v>
      </c>
      <c r="H34" s="139">
        <f>SUM(L3:L6)</f>
        <v>0.51249999999999996</v>
      </c>
      <c r="I34" s="126">
        <v>133</v>
      </c>
      <c r="J34" s="126">
        <v>24</v>
      </c>
      <c r="K34" s="153">
        <f>I34/800</f>
        <v>0.16625000000000001</v>
      </c>
      <c r="L34" s="153">
        <f>J34/170</f>
        <v>0.14117647058823529</v>
      </c>
      <c r="N34" s="126" t="s">
        <v>662</v>
      </c>
      <c r="O34" s="139">
        <f>SUM(L7:L10)</f>
        <v>0.75347222222222232</v>
      </c>
      <c r="P34" s="126">
        <v>163</v>
      </c>
      <c r="Q34" s="126">
        <v>22</v>
      </c>
      <c r="R34" s="153">
        <f>P34/800</f>
        <v>0.20374999999999999</v>
      </c>
      <c r="S34" s="153">
        <f>Q34/170</f>
        <v>0.12941176470588237</v>
      </c>
      <c r="U34" s="126" t="s">
        <v>662</v>
      </c>
      <c r="V34" s="139">
        <f>SUM(L11:L14)</f>
        <v>0.57222222222222219</v>
      </c>
      <c r="W34" s="126">
        <v>142</v>
      </c>
      <c r="X34" s="126">
        <v>25</v>
      </c>
      <c r="Y34" s="153">
        <f>W34/800</f>
        <v>0.17749999999999999</v>
      </c>
      <c r="Z34" s="153">
        <f>X34/170</f>
        <v>0.14705882352941177</v>
      </c>
    </row>
    <row r="35" spans="1:26" ht="22.5" customHeight="1">
      <c r="A35" s="126" t="s">
        <v>663</v>
      </c>
      <c r="B35" s="126">
        <v>179</v>
      </c>
      <c r="C35" s="126">
        <v>2</v>
      </c>
      <c r="D35" s="153">
        <f>B35/580</f>
        <v>0.30862068965517242</v>
      </c>
      <c r="E35" s="153">
        <f>C36/75</f>
        <v>5.3333333333333337E-2</v>
      </c>
      <c r="G35" s="126" t="s">
        <v>663</v>
      </c>
      <c r="H35" s="139">
        <f>SUM(M3:M6)</f>
        <v>0.34861111111111109</v>
      </c>
      <c r="I35" s="126">
        <v>85</v>
      </c>
      <c r="J35" s="126">
        <v>7</v>
      </c>
      <c r="K35" s="153">
        <f>I35/580</f>
        <v>0.14655172413793102</v>
      </c>
      <c r="L35" s="153">
        <f>J35/75</f>
        <v>9.3333333333333338E-2</v>
      </c>
      <c r="N35" s="126" t="s">
        <v>663</v>
      </c>
      <c r="O35" s="139">
        <f>SUM(M7:M10)</f>
        <v>0.59722222222222221</v>
      </c>
      <c r="P35" s="126">
        <v>121</v>
      </c>
      <c r="Q35" s="126">
        <v>13</v>
      </c>
      <c r="R35" s="153">
        <f>P35/580</f>
        <v>0.20862068965517241</v>
      </c>
      <c r="S35" s="153">
        <f>Q35/75</f>
        <v>0.17333333333333334</v>
      </c>
      <c r="U35" s="126" t="s">
        <v>663</v>
      </c>
      <c r="V35" s="139">
        <f>SUM(M11:M14)</f>
        <v>0.57222222222222219</v>
      </c>
      <c r="W35" s="126">
        <v>115</v>
      </c>
      <c r="X35" s="126">
        <v>13</v>
      </c>
      <c r="Y35" s="153">
        <f>W35/580</f>
        <v>0.19827586206896552</v>
      </c>
      <c r="Z35" s="153">
        <f>X35/75</f>
        <v>0.17333333333333334</v>
      </c>
    </row>
    <row r="36" spans="1:26" ht="22.5" customHeight="1">
      <c r="A36" s="126" t="s">
        <v>664</v>
      </c>
      <c r="B36" s="126">
        <v>168</v>
      </c>
      <c r="C36" s="126">
        <v>4</v>
      </c>
      <c r="D36" s="153">
        <f>B36/720</f>
        <v>0.23333333333333334</v>
      </c>
      <c r="E36" s="153">
        <f>C36/100</f>
        <v>0.04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 t="shared" ref="B37:C37" si="3">AVERAGE(B24:B36)</f>
        <v>163.83333333333334</v>
      </c>
      <c r="C37" s="126">
        <f t="shared" si="3"/>
        <v>3.4166666666666665</v>
      </c>
      <c r="D37" s="153">
        <f t="shared" ref="D37:E37" si="4">SUM(D24:D36)</f>
        <v>2.7829727162775812</v>
      </c>
      <c r="E37" s="153">
        <f t="shared" si="4"/>
        <v>0.49887136554715211</v>
      </c>
      <c r="G37" s="126" t="s">
        <v>671</v>
      </c>
      <c r="H37" s="139">
        <f>SUM(H24:H36)</f>
        <v>3.0000000000000004</v>
      </c>
      <c r="I37" s="126"/>
      <c r="J37" s="126"/>
      <c r="K37" s="153">
        <f t="shared" ref="K37:L37" si="5">SUM(K24:K36)</f>
        <v>1.0271457902518595</v>
      </c>
      <c r="L37" s="153">
        <f t="shared" si="5"/>
        <v>0.7007965577083225</v>
      </c>
      <c r="N37" s="126" t="s">
        <v>671</v>
      </c>
      <c r="O37" s="139"/>
      <c r="P37" s="126"/>
      <c r="Q37" s="126"/>
      <c r="R37" s="153">
        <f t="shared" ref="R37:S37" si="6">SUM(R24:R36)</f>
        <v>1.1374386386974633</v>
      </c>
      <c r="S37" s="153">
        <f t="shared" si="6"/>
        <v>0.74415186694598456</v>
      </c>
      <c r="U37" s="126" t="s">
        <v>671</v>
      </c>
      <c r="V37" s="139">
        <f>SUM(V24:V36)</f>
        <v>3.4791666666666661</v>
      </c>
      <c r="W37" s="126"/>
      <c r="X37" s="126"/>
      <c r="Y37" s="153">
        <f t="shared" ref="Y37:Z37" si="7">SUM(Y24:Y36)</f>
        <v>1.0227413025154493</v>
      </c>
      <c r="Z37" s="153">
        <f t="shared" si="7"/>
        <v>0.68185067582126413</v>
      </c>
    </row>
    <row r="39" spans="1:26" ht="13">
      <c r="O39" s="1" t="s">
        <v>690</v>
      </c>
      <c r="W39" s="228"/>
      <c r="X39" s="227"/>
      <c r="Y39" s="227"/>
      <c r="Z39" s="227"/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 t="s">
        <v>16</v>
      </c>
      <c r="P40" s="1" t="s">
        <v>105</v>
      </c>
      <c r="Q40" s="1" t="s">
        <v>668</v>
      </c>
    </row>
    <row r="41" spans="1:26" ht="22.5" customHeight="1">
      <c r="A41" s="126" t="s">
        <v>667</v>
      </c>
      <c r="B41" s="139">
        <f>SUM(B15:B21)</f>
        <v>0</v>
      </c>
      <c r="E41" s="153">
        <f>C41/750</f>
        <v>0</v>
      </c>
      <c r="F41" s="153">
        <f>D41/200</f>
        <v>0</v>
      </c>
      <c r="H41" s="126" t="s">
        <v>667</v>
      </c>
      <c r="I41" s="139">
        <f t="shared" ref="I41:I54" si="8">SUM(H24,O24,V24,B41)</f>
        <v>0</v>
      </c>
      <c r="J41" s="126">
        <f t="shared" ref="J41:M41" si="9">SUM(B24,I24,P24,W24,C41)</f>
        <v>0</v>
      </c>
      <c r="K41" s="126">
        <f t="shared" si="9"/>
        <v>0</v>
      </c>
      <c r="L41" s="153">
        <f t="shared" si="9"/>
        <v>0</v>
      </c>
      <c r="M41" s="153">
        <f t="shared" si="9"/>
        <v>0</v>
      </c>
      <c r="O41" s="1" t="s">
        <v>667</v>
      </c>
      <c r="R41" s="47"/>
      <c r="S41" s="47"/>
    </row>
    <row r="42" spans="1:26" ht="22.5" customHeight="1">
      <c r="A42" s="126" t="s">
        <v>650</v>
      </c>
      <c r="B42" s="139">
        <f>SUM(C15:C21)</f>
        <v>7.8472222222222221E-2</v>
      </c>
      <c r="E42" s="153">
        <f>C42/720</f>
        <v>0</v>
      </c>
      <c r="F42" s="153">
        <f>D42/65</f>
        <v>0</v>
      </c>
      <c r="H42" s="126" t="s">
        <v>650</v>
      </c>
      <c r="I42" s="139">
        <f t="shared" si="8"/>
        <v>1.98125</v>
      </c>
      <c r="J42" s="126">
        <f t="shared" ref="J42:M42" si="10">SUM(B25,I25,P25,W25,C42)</f>
        <v>554</v>
      </c>
      <c r="K42" s="126">
        <f t="shared" si="10"/>
        <v>26</v>
      </c>
      <c r="L42" s="153">
        <f t="shared" si="10"/>
        <v>0.76944444444444438</v>
      </c>
      <c r="M42" s="153">
        <f t="shared" si="10"/>
        <v>0.4</v>
      </c>
      <c r="O42" s="1" t="s">
        <v>650</v>
      </c>
      <c r="R42" s="160"/>
      <c r="S42" s="47"/>
    </row>
    <row r="43" spans="1:26" ht="22.5" customHeight="1">
      <c r="A43" s="126" t="s">
        <v>651</v>
      </c>
      <c r="B43" s="139">
        <f>SUM(D15:D21)</f>
        <v>0</v>
      </c>
      <c r="E43" s="153">
        <f>C43/750</f>
        <v>0</v>
      </c>
      <c r="F43" s="153">
        <f>D43/185</f>
        <v>0</v>
      </c>
      <c r="H43" s="126" t="s">
        <v>651</v>
      </c>
      <c r="I43" s="139">
        <f t="shared" si="8"/>
        <v>1.0083333333333333</v>
      </c>
      <c r="J43" s="126">
        <f t="shared" ref="J43:M43" si="11">SUM(B26,I26,P26,W26,C43)</f>
        <v>389</v>
      </c>
      <c r="K43" s="126">
        <f t="shared" si="11"/>
        <v>23</v>
      </c>
      <c r="L43" s="153">
        <f t="shared" si="11"/>
        <v>0.51866666666666661</v>
      </c>
      <c r="M43" s="153">
        <f t="shared" si="11"/>
        <v>0.12432432432432433</v>
      </c>
      <c r="O43" s="1" t="s">
        <v>651</v>
      </c>
      <c r="R43" s="47"/>
      <c r="S43" s="47"/>
    </row>
    <row r="44" spans="1:26" ht="22.5" customHeight="1">
      <c r="A44" s="126" t="s">
        <v>652</v>
      </c>
      <c r="B44" s="139">
        <f>SUM(E15:E21)</f>
        <v>0</v>
      </c>
      <c r="E44" s="153">
        <f>C44/700</f>
        <v>0</v>
      </c>
      <c r="F44" s="153">
        <f>D44/220</f>
        <v>0</v>
      </c>
      <c r="H44" s="126" t="s">
        <v>652</v>
      </c>
      <c r="I44" s="139">
        <f t="shared" si="8"/>
        <v>0.29027777777777775</v>
      </c>
      <c r="J44" s="126">
        <f t="shared" ref="J44:M44" si="12">SUM(B27,I27,P27,W27,C44)</f>
        <v>235</v>
      </c>
      <c r="K44" s="126">
        <f t="shared" si="12"/>
        <v>26</v>
      </c>
      <c r="L44" s="153">
        <f t="shared" si="12"/>
        <v>0.33571428571428574</v>
      </c>
      <c r="M44" s="153">
        <f t="shared" si="12"/>
        <v>0.11818181818181819</v>
      </c>
      <c r="O44" s="1" t="s">
        <v>652</v>
      </c>
      <c r="R44" s="47"/>
      <c r="S44" s="47"/>
    </row>
    <row r="45" spans="1:26" ht="22.5" customHeight="1">
      <c r="A45" s="126" t="s">
        <v>655</v>
      </c>
      <c r="B45" s="139">
        <f>SUM(F15:F21)</f>
        <v>0</v>
      </c>
      <c r="E45" s="153">
        <f>C45/800</f>
        <v>0</v>
      </c>
      <c r="F45" s="153">
        <f>D46/220</f>
        <v>0</v>
      </c>
      <c r="H45" s="126" t="s">
        <v>655</v>
      </c>
      <c r="I45" s="139">
        <f t="shared" si="8"/>
        <v>0.15694444444444444</v>
      </c>
      <c r="J45" s="126">
        <f t="shared" ref="J45:J54" si="13">SUM(B28,I28,P28,W28,C45)</f>
        <v>205</v>
      </c>
      <c r="K45" s="126">
        <f t="shared" ref="K45:K52" si="14">SUM(C29,J28,Q28,X28,D46)</f>
        <v>5</v>
      </c>
      <c r="L45" s="153">
        <f t="shared" ref="L45:M45" si="15">SUM(D28,K28,R28,Y28,E45)</f>
        <v>0.25624999999999998</v>
      </c>
      <c r="M45" s="153">
        <f t="shared" si="15"/>
        <v>2.2727272727272728E-2</v>
      </c>
      <c r="O45" s="1" t="s">
        <v>655</v>
      </c>
      <c r="R45" s="47"/>
      <c r="S45" s="47"/>
    </row>
    <row r="46" spans="1:26" ht="22.5" customHeight="1">
      <c r="A46" s="126" t="s">
        <v>653</v>
      </c>
      <c r="B46" s="139">
        <f>SUM(G15:G21)</f>
        <v>7.8472222222222221E-2</v>
      </c>
      <c r="E46" s="153">
        <f t="shared" ref="E46:F46" si="16">C46/820</f>
        <v>0</v>
      </c>
      <c r="F46" s="153">
        <f t="shared" si="16"/>
        <v>0</v>
      </c>
      <c r="H46" s="126" t="s">
        <v>653</v>
      </c>
      <c r="I46" s="139">
        <f t="shared" si="8"/>
        <v>1.9076388888888889</v>
      </c>
      <c r="J46" s="126">
        <f t="shared" si="13"/>
        <v>568</v>
      </c>
      <c r="K46" s="126">
        <f t="shared" si="14"/>
        <v>55</v>
      </c>
      <c r="L46" s="153">
        <f t="shared" ref="L46:M46" si="17">SUM(D29,K29,R29,Y29,E46)</f>
        <v>0.69268292682926824</v>
      </c>
      <c r="M46" s="153">
        <f t="shared" si="17"/>
        <v>0.22916666666666666</v>
      </c>
      <c r="O46" s="1" t="s">
        <v>659</v>
      </c>
      <c r="R46" s="47"/>
      <c r="S46" s="47"/>
    </row>
    <row r="47" spans="1:26" ht="22.5" customHeight="1">
      <c r="A47" s="126" t="s">
        <v>654</v>
      </c>
      <c r="B47" s="139">
        <f>SUM(H15:H21)</f>
        <v>0</v>
      </c>
      <c r="E47" s="153">
        <f>C47/620</f>
        <v>0</v>
      </c>
      <c r="F47" s="153">
        <f>D47/820</f>
        <v>0</v>
      </c>
      <c r="H47" s="126" t="s">
        <v>654</v>
      </c>
      <c r="I47" s="139">
        <f t="shared" si="8"/>
        <v>0</v>
      </c>
      <c r="J47" s="126">
        <f t="shared" si="13"/>
        <v>152</v>
      </c>
      <c r="K47" s="126">
        <f t="shared" si="14"/>
        <v>7</v>
      </c>
      <c r="L47" s="153">
        <f t="shared" ref="L47:M47" si="18">SUM(D30,K30,R30,Y30,E47)</f>
        <v>0.24516129032258063</v>
      </c>
      <c r="M47" s="153">
        <f t="shared" si="18"/>
        <v>7.7777777777777779E-2</v>
      </c>
      <c r="O47" s="1" t="s">
        <v>691</v>
      </c>
      <c r="R47" s="47"/>
      <c r="S47" s="160"/>
    </row>
    <row r="48" spans="1:26" ht="22.5" customHeight="1">
      <c r="A48" s="126" t="s">
        <v>659</v>
      </c>
      <c r="B48" s="139">
        <f>SUM(I15:I21)</f>
        <v>7.8472222222222221E-2</v>
      </c>
      <c r="E48" s="153">
        <f t="shared" ref="E48:F48" si="19">C48/820</f>
        <v>0</v>
      </c>
      <c r="F48" s="153">
        <f t="shared" si="19"/>
        <v>0</v>
      </c>
      <c r="H48" s="126" t="s">
        <v>659</v>
      </c>
      <c r="I48" s="139">
        <f t="shared" si="8"/>
        <v>1.1777777777777778</v>
      </c>
      <c r="J48" s="126">
        <f t="shared" si="13"/>
        <v>478</v>
      </c>
      <c r="K48" s="126">
        <f t="shared" si="14"/>
        <v>63</v>
      </c>
      <c r="L48" s="153">
        <f t="shared" ref="L48:M48" si="20">SUM(D31,K31,R31,Y31,E48)</f>
        <v>0.58292682926829276</v>
      </c>
      <c r="M48" s="153">
        <f t="shared" si="20"/>
        <v>0.315</v>
      </c>
      <c r="O48" s="1" t="s">
        <v>661</v>
      </c>
      <c r="R48" s="160"/>
      <c r="S48" s="160"/>
    </row>
    <row r="49" spans="1:28" ht="22.5" customHeight="1">
      <c r="A49" s="126" t="s">
        <v>660</v>
      </c>
      <c r="B49" s="139">
        <f>SUM(J15:J21)</f>
        <v>0</v>
      </c>
      <c r="E49" s="153">
        <f>C49/505</f>
        <v>0</v>
      </c>
      <c r="F49" s="153">
        <f t="shared" ref="F49:F53" si="21">D49/820</f>
        <v>0</v>
      </c>
      <c r="H49" s="126" t="s">
        <v>660</v>
      </c>
      <c r="I49" s="139">
        <f t="shared" si="8"/>
        <v>0.60347222222222219</v>
      </c>
      <c r="J49" s="126">
        <f t="shared" si="13"/>
        <v>236</v>
      </c>
      <c r="K49" s="126">
        <f t="shared" si="14"/>
        <v>15</v>
      </c>
      <c r="L49" s="153">
        <f t="shared" ref="L49:M49" si="22">SUM(D32,K32,R32,Y32,E49)</f>
        <v>0.4673267326732673</v>
      </c>
      <c r="M49" s="153">
        <f t="shared" si="22"/>
        <v>0.3571428571428571</v>
      </c>
      <c r="O49" s="1" t="s">
        <v>662</v>
      </c>
      <c r="R49" s="160"/>
      <c r="S49" s="160"/>
    </row>
    <row r="50" spans="1:28" ht="22.5" customHeight="1">
      <c r="A50" s="126" t="s">
        <v>661</v>
      </c>
      <c r="B50" s="139">
        <f>SUM(K15:K21)</f>
        <v>0</v>
      </c>
      <c r="E50" s="153">
        <f>C50/740</f>
        <v>0</v>
      </c>
      <c r="F50" s="153">
        <f t="shared" si="21"/>
        <v>0</v>
      </c>
      <c r="H50" s="126" t="s">
        <v>661</v>
      </c>
      <c r="I50" s="139">
        <f t="shared" si="8"/>
        <v>0</v>
      </c>
      <c r="J50" s="126">
        <f t="shared" si="13"/>
        <v>202</v>
      </c>
      <c r="K50" s="126">
        <f t="shared" si="14"/>
        <v>4</v>
      </c>
      <c r="L50" s="153">
        <f t="shared" ref="L50:M50" si="23">SUM(D33,K33,R33,Y33,E50)</f>
        <v>0.27297297297297296</v>
      </c>
      <c r="M50" s="153">
        <f t="shared" si="23"/>
        <v>1.8604651162790697E-2</v>
      </c>
      <c r="O50" s="1" t="s">
        <v>663</v>
      </c>
      <c r="P50" s="1"/>
      <c r="Q50" s="1"/>
      <c r="R50" s="1"/>
      <c r="S50" s="1"/>
    </row>
    <row r="51" spans="1:28" ht="22.5" customHeight="1">
      <c r="A51" s="126" t="s">
        <v>662</v>
      </c>
      <c r="B51" s="139">
        <f>SUM(L15:L21)</f>
        <v>7.8472222222222221E-2</v>
      </c>
      <c r="E51" s="153">
        <f>C51/800</f>
        <v>0</v>
      </c>
      <c r="F51" s="153">
        <f t="shared" si="21"/>
        <v>0</v>
      </c>
      <c r="H51" s="126" t="s">
        <v>662</v>
      </c>
      <c r="I51" s="139">
        <f t="shared" si="8"/>
        <v>1.9166666666666667</v>
      </c>
      <c r="J51" s="126">
        <f t="shared" si="13"/>
        <v>587</v>
      </c>
      <c r="K51" s="126">
        <f t="shared" si="14"/>
        <v>73</v>
      </c>
      <c r="L51" s="153">
        <f t="shared" ref="L51:M51" si="24">SUM(D34,K34,R34,Y34,E51)</f>
        <v>0.73375000000000001</v>
      </c>
      <c r="M51" s="153">
        <f t="shared" si="24"/>
        <v>0.42941176470588238</v>
      </c>
      <c r="O51" s="1" t="s">
        <v>664</v>
      </c>
      <c r="P51" s="1"/>
      <c r="Q51" s="1"/>
      <c r="R51" s="1"/>
      <c r="S51" s="1"/>
    </row>
    <row r="52" spans="1:28" ht="22.5" customHeight="1">
      <c r="A52" s="126" t="s">
        <v>663</v>
      </c>
      <c r="B52" s="139">
        <f>SUM(M15:M21)</f>
        <v>7.8472222222222221E-2</v>
      </c>
      <c r="E52" s="153">
        <f>C52/580</f>
        <v>0</v>
      </c>
      <c r="F52" s="153">
        <f t="shared" si="21"/>
        <v>0</v>
      </c>
      <c r="H52" s="126" t="s">
        <v>663</v>
      </c>
      <c r="I52" s="139">
        <f t="shared" si="8"/>
        <v>1.5965277777777778</v>
      </c>
      <c r="J52" s="126">
        <f t="shared" si="13"/>
        <v>500</v>
      </c>
      <c r="K52" s="126">
        <f t="shared" si="14"/>
        <v>37</v>
      </c>
      <c r="L52" s="153">
        <f t="shared" ref="L52:M52" si="25">SUM(D35,K35,R35,Y35,E52)</f>
        <v>0.86206896551724144</v>
      </c>
      <c r="M52" s="153">
        <f t="shared" si="25"/>
        <v>0.49333333333333335</v>
      </c>
      <c r="O52" s="1"/>
      <c r="P52" s="1"/>
      <c r="Q52" s="1"/>
      <c r="R52" s="1"/>
      <c r="S52" s="1"/>
    </row>
    <row r="53" spans="1:28" ht="22.5" customHeight="1">
      <c r="A53" s="126" t="s">
        <v>664</v>
      </c>
      <c r="B53" s="139">
        <f>SUM(N15:N21)</f>
        <v>0</v>
      </c>
      <c r="E53" s="153">
        <f>C53/720</f>
        <v>0</v>
      </c>
      <c r="F53" s="153">
        <f t="shared" si="21"/>
        <v>0</v>
      </c>
      <c r="H53" s="126" t="s">
        <v>664</v>
      </c>
      <c r="I53" s="139">
        <f t="shared" si="8"/>
        <v>0</v>
      </c>
      <c r="J53" s="126">
        <f t="shared" si="13"/>
        <v>168</v>
      </c>
      <c r="K53" s="126">
        <f>SUM(D53,C36,J36,Q36,X36)</f>
        <v>4</v>
      </c>
      <c r="L53" s="153">
        <f t="shared" ref="L53:M53" si="26">SUM(D36,K36,R36,Y36,E53)</f>
        <v>0.23333333333333334</v>
      </c>
      <c r="M53" s="153">
        <f t="shared" si="26"/>
        <v>0.04</v>
      </c>
      <c r="O53" s="1"/>
      <c r="P53" s="1"/>
      <c r="Q53" s="1"/>
      <c r="R53" s="1"/>
      <c r="S53" s="1"/>
    </row>
    <row r="54" spans="1:28" ht="22.5" customHeight="1">
      <c r="A54" s="126" t="s">
        <v>671</v>
      </c>
      <c r="B54" s="139">
        <f>SUM(B41:B53)</f>
        <v>0.3923611111111111</v>
      </c>
      <c r="C54" s="126"/>
      <c r="D54" s="126"/>
      <c r="E54" s="153">
        <f t="shared" ref="E54:F54" si="27">SUM(E41:E53)</f>
        <v>0</v>
      </c>
      <c r="F54" s="153">
        <f t="shared" si="27"/>
        <v>0</v>
      </c>
      <c r="H54" s="126" t="s">
        <v>671</v>
      </c>
      <c r="I54" s="139">
        <f t="shared" si="8"/>
        <v>6.8715277777777768</v>
      </c>
      <c r="J54" s="126">
        <f t="shared" si="13"/>
        <v>163.83333333333334</v>
      </c>
      <c r="K54" s="126">
        <f t="shared" ref="K54:L54" si="28">SUM(C37,J37,Q37,X37,D54)</f>
        <v>3.4166666666666665</v>
      </c>
      <c r="L54" s="153">
        <f t="shared" si="28"/>
        <v>5.9702984477423531</v>
      </c>
      <c r="M54" s="153">
        <f>SUM(M41:M53)</f>
        <v>2.625670466022723</v>
      </c>
      <c r="O54" s="1"/>
      <c r="P54" s="1"/>
      <c r="Q54" s="1"/>
      <c r="R54" s="1"/>
      <c r="S54" s="1"/>
    </row>
    <row r="58" spans="1:28" ht="13">
      <c r="AA58" s="159"/>
      <c r="AB58" s="159"/>
    </row>
    <row r="59" spans="1:28" ht="13">
      <c r="AA59" s="159"/>
      <c r="AB59" s="159"/>
    </row>
    <row r="60" spans="1:28" ht="13">
      <c r="AA60" s="159"/>
      <c r="AB60" s="159"/>
    </row>
    <row r="61" spans="1:28" ht="13">
      <c r="AA61" s="159"/>
      <c r="AB61" s="159"/>
    </row>
    <row r="62" spans="1:28" ht="13">
      <c r="AA62" s="159"/>
      <c r="AB62" s="159"/>
    </row>
    <row r="63" spans="1:28" ht="13">
      <c r="AA63" s="159"/>
      <c r="AB63" s="159"/>
    </row>
    <row r="64" spans="1:28" ht="13">
      <c r="AA64" s="159"/>
      <c r="AB64" s="159"/>
    </row>
    <row r="65" spans="27:28" ht="13">
      <c r="AA65" s="159"/>
      <c r="AB65" s="159"/>
    </row>
    <row r="66" spans="27:28" ht="13">
      <c r="AA66" s="159"/>
      <c r="AB66" s="159"/>
    </row>
    <row r="67" spans="27:28" ht="13">
      <c r="AA67" s="159"/>
      <c r="AB67" s="159"/>
    </row>
    <row r="68" spans="27:28" ht="13">
      <c r="AA68" s="159"/>
      <c r="AB68" s="159"/>
    </row>
    <row r="69" spans="27:28" ht="13">
      <c r="AA69" s="159"/>
      <c r="AB69" s="159"/>
    </row>
    <row r="70" spans="27:28" ht="13">
      <c r="AA70" s="159"/>
      <c r="AB70" s="159"/>
    </row>
  </sheetData>
  <mergeCells count="5">
    <mergeCell ref="A3:A6"/>
    <mergeCell ref="A7:A10"/>
    <mergeCell ref="A11:A14"/>
    <mergeCell ref="A15:A21"/>
    <mergeCell ref="W39:Z39"/>
  </mergeCells>
  <conditionalFormatting sqref="L41:L54">
    <cfRule type="cellIs" dxfId="45" priority="1" operator="between">
      <formula>0.5</formula>
      <formula>0.75</formula>
    </cfRule>
    <cfRule type="cellIs" dxfId="44" priority="2" operator="between">
      <formula>0.25</formula>
      <formula>0.5</formula>
    </cfRule>
    <cfRule type="cellIs" dxfId="43" priority="3" operator="between">
      <formula>0</formula>
      <formula>0.25</formula>
    </cfRule>
    <cfRule type="cellIs" dxfId="42" priority="4" operator="greaterThan">
      <formula>0.75</formula>
    </cfRule>
  </conditionalFormatting>
  <conditionalFormatting sqref="M41:M54">
    <cfRule type="cellIs" dxfId="41" priority="5" operator="between">
      <formula>0.5</formula>
      <formula>0.75</formula>
    </cfRule>
    <cfRule type="cellIs" dxfId="40" priority="6" operator="between">
      <formula>0.25</formula>
      <formula>0.5</formula>
    </cfRule>
    <cfRule type="cellIs" dxfId="39" priority="7" operator="between">
      <formula>0</formula>
      <formula>0.25</formula>
    </cfRule>
    <cfRule type="cellIs" dxfId="38" priority="8" operator="greaterThan">
      <formula>0.75</formula>
    </cfRule>
  </conditionalFormatting>
  <dataValidations count="1">
    <dataValidation type="custom" allowBlank="1" showDropDown="1" sqref="D24:D37" xr:uid="{00000000-0002-0000-1F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FF00"/>
    <outlinePr summaryBelow="0" summaryRight="0"/>
  </sheetPr>
  <dimension ref="A1:AB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55" t="s">
        <v>667</v>
      </c>
      <c r="C1" s="155" t="s">
        <v>650</v>
      </c>
      <c r="D1" s="127" t="s">
        <v>651</v>
      </c>
      <c r="E1" s="127" t="s">
        <v>652</v>
      </c>
      <c r="F1" s="127" t="s">
        <v>655</v>
      </c>
      <c r="G1" s="155" t="s">
        <v>653</v>
      </c>
      <c r="H1" s="141" t="s">
        <v>654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4">
      <c r="A3" s="248">
        <v>1</v>
      </c>
      <c r="B3" s="161">
        <v>0.22430555555555556</v>
      </c>
      <c r="C3" s="161">
        <v>0.22430555555555556</v>
      </c>
      <c r="D3" s="161">
        <v>0.30138888888888887</v>
      </c>
      <c r="E3" s="161">
        <v>0.30138888888888887</v>
      </c>
      <c r="F3" s="144"/>
      <c r="G3" s="161">
        <v>0.22430555555555556</v>
      </c>
      <c r="H3" s="161">
        <v>0.30138888888888887</v>
      </c>
      <c r="I3" s="161">
        <v>0.24027777777777778</v>
      </c>
      <c r="J3" s="161">
        <v>0.30138888888888887</v>
      </c>
      <c r="K3" s="161">
        <v>7.2222222222222215E-2</v>
      </c>
      <c r="L3" s="161">
        <v>0.22430555555555556</v>
      </c>
      <c r="M3" s="161">
        <v>0.22430555555555556</v>
      </c>
      <c r="N3" s="146"/>
    </row>
    <row r="4" spans="1:14" ht="14">
      <c r="A4" s="249"/>
      <c r="B4" s="161">
        <v>0.10833333333333334</v>
      </c>
      <c r="C4" s="161">
        <v>0.10833333333333334</v>
      </c>
      <c r="D4" s="162">
        <v>6.2500000000000003E-3</v>
      </c>
      <c r="E4" s="162">
        <v>6.2500000000000003E-3</v>
      </c>
      <c r="F4" s="146"/>
      <c r="G4" s="161">
        <v>0.10833333333333334</v>
      </c>
      <c r="H4" s="162">
        <v>6.2500000000000003E-3</v>
      </c>
      <c r="I4" s="129"/>
      <c r="J4" s="161">
        <v>6.2500000000000003E-3</v>
      </c>
      <c r="K4" s="161">
        <v>6.2500000000000003E-3</v>
      </c>
      <c r="L4" s="161">
        <v>0.10833333333333334</v>
      </c>
      <c r="M4" s="161">
        <v>0.10833333333333334</v>
      </c>
      <c r="N4" s="146"/>
    </row>
    <row r="5" spans="1:14" ht="13">
      <c r="A5" s="249"/>
      <c r="B5" s="129"/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4">
      <c r="A7" s="248">
        <v>2</v>
      </c>
      <c r="B7" s="163">
        <v>0.15138888888888888</v>
      </c>
      <c r="C7" s="164">
        <v>0.31874999999999998</v>
      </c>
      <c r="D7" s="163">
        <v>0.12916666666666668</v>
      </c>
      <c r="E7" s="163">
        <v>4.9305555555555554E-2</v>
      </c>
      <c r="F7" s="164">
        <v>0.31874999999999998</v>
      </c>
      <c r="G7" s="164">
        <v>0.31874999999999998</v>
      </c>
      <c r="H7" s="163">
        <v>0.1388888888888889</v>
      </c>
      <c r="I7" s="163">
        <v>4.9305555555555554E-2</v>
      </c>
      <c r="J7" s="135"/>
      <c r="K7" s="163">
        <v>0.1673611111111111</v>
      </c>
      <c r="L7" s="164">
        <v>0.31874999999999998</v>
      </c>
      <c r="M7" s="164">
        <v>8.5416666666666669E-2</v>
      </c>
      <c r="N7" s="144"/>
    </row>
    <row r="8" spans="1:14" ht="14">
      <c r="A8" s="249"/>
      <c r="B8" s="129"/>
      <c r="C8" s="165">
        <v>0.12916666666666668</v>
      </c>
      <c r="D8" s="161">
        <v>0.25624999999999998</v>
      </c>
      <c r="E8" s="129"/>
      <c r="F8" s="165">
        <v>4.3055555555555555E-2</v>
      </c>
      <c r="G8" s="165">
        <v>0.12916666666666668</v>
      </c>
      <c r="H8" s="161">
        <v>3.6805555555555557E-2</v>
      </c>
      <c r="I8" s="129"/>
      <c r="J8" s="129"/>
      <c r="K8" s="129"/>
      <c r="L8" s="165">
        <v>0.12916666666666668</v>
      </c>
      <c r="M8" s="165">
        <v>0.25624999999999998</v>
      </c>
      <c r="N8" s="146"/>
    </row>
    <row r="9" spans="1:14" ht="14">
      <c r="A9" s="249"/>
      <c r="B9" s="129"/>
      <c r="C9" s="161">
        <v>0.25624999999999998</v>
      </c>
      <c r="D9" s="161">
        <v>3.6805555555555557E-2</v>
      </c>
      <c r="E9" s="129"/>
      <c r="F9" s="165">
        <v>8.611111111111111E-2</v>
      </c>
      <c r="G9" s="165">
        <v>0.25624999999999998</v>
      </c>
      <c r="H9" s="129"/>
      <c r="I9" s="129"/>
      <c r="J9" s="129"/>
      <c r="K9" s="129"/>
      <c r="L9" s="165">
        <v>0.11666666666666667</v>
      </c>
      <c r="M9" s="146"/>
      <c r="N9" s="146"/>
    </row>
    <row r="10" spans="1:14" ht="14">
      <c r="A10" s="250"/>
      <c r="B10" s="147"/>
      <c r="C10" s="166">
        <v>8.611111111111111E-2</v>
      </c>
      <c r="D10" s="147"/>
      <c r="E10" s="147"/>
      <c r="F10" s="148"/>
      <c r="G10" s="167">
        <v>3.6805555555555557E-2</v>
      </c>
      <c r="H10" s="147"/>
      <c r="I10" s="147"/>
      <c r="J10" s="147"/>
      <c r="K10" s="147"/>
      <c r="L10" s="167">
        <v>4.9305555555555554E-2</v>
      </c>
      <c r="M10" s="148"/>
      <c r="N10" s="148"/>
    </row>
    <row r="11" spans="1:14" ht="13">
      <c r="A11" s="248">
        <v>3</v>
      </c>
      <c r="C11" s="135">
        <v>0.29652777777777778</v>
      </c>
      <c r="D11" s="135">
        <v>0.29652777777777778</v>
      </c>
      <c r="E11" s="135">
        <v>4.5138888888888888E-2</v>
      </c>
      <c r="F11" s="144">
        <v>8.4027777777777785E-2</v>
      </c>
      <c r="G11" s="135">
        <v>0.29652777777777778</v>
      </c>
      <c r="H11" s="135">
        <v>9.930555555555555E-2</v>
      </c>
      <c r="I11" s="135">
        <v>8.4027777777777785E-2</v>
      </c>
      <c r="J11" s="135"/>
      <c r="K11" s="135"/>
      <c r="L11" s="144">
        <v>0.21249999999999999</v>
      </c>
      <c r="M11" s="144">
        <v>0.21249999999999999</v>
      </c>
      <c r="N11" s="144"/>
    </row>
    <row r="12" spans="1:14" ht="13">
      <c r="A12" s="249"/>
      <c r="B12" s="129"/>
      <c r="C12" s="129">
        <v>0.23680555555555555</v>
      </c>
      <c r="D12" s="129">
        <v>0.23680555555555555</v>
      </c>
      <c r="E12" s="129"/>
      <c r="F12" s="146">
        <v>0.23680555555555555</v>
      </c>
      <c r="G12" s="146">
        <v>0.23680555555555555</v>
      </c>
      <c r="H12" s="129"/>
      <c r="I12" s="129">
        <v>0.33680555555555558</v>
      </c>
      <c r="J12" s="129"/>
      <c r="K12" s="129"/>
      <c r="L12" s="129">
        <v>9.930555555555555E-2</v>
      </c>
      <c r="M12" s="129">
        <v>9.930555555555555E-2</v>
      </c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/>
      <c r="C15" s="133"/>
      <c r="D15" s="144"/>
      <c r="E15" s="135">
        <v>0.26250000000000001</v>
      </c>
      <c r="F15" s="135">
        <v>4.1666666666666664E-2</v>
      </c>
      <c r="G15" s="144"/>
      <c r="H15" s="135">
        <v>0.26250000000000001</v>
      </c>
      <c r="I15" s="135"/>
      <c r="J15" s="135"/>
      <c r="K15" s="135">
        <v>0.26250000000000001</v>
      </c>
      <c r="L15" s="135">
        <v>0.26250000000000001</v>
      </c>
      <c r="M15" s="135">
        <v>0.26250000000000001</v>
      </c>
      <c r="N15" s="144">
        <v>0.26250000000000001</v>
      </c>
    </row>
    <row r="16" spans="1:14" ht="13">
      <c r="A16" s="252"/>
      <c r="B16" s="146"/>
      <c r="C16" s="129"/>
      <c r="D16" s="129"/>
      <c r="E16" s="168">
        <v>4.1666666666666664E-2</v>
      </c>
      <c r="F16" s="130">
        <v>0.29375000000000001</v>
      </c>
      <c r="G16" s="146"/>
      <c r="H16" s="168">
        <v>4.1666666666666664E-2</v>
      </c>
      <c r="I16" s="129"/>
      <c r="J16" s="129"/>
      <c r="K16" s="168">
        <v>4.1666666666666664E-2</v>
      </c>
      <c r="L16" s="168">
        <v>4.1666666666666664E-2</v>
      </c>
      <c r="M16" s="146"/>
      <c r="N16" s="146"/>
    </row>
    <row r="17" spans="1:26" ht="13">
      <c r="A17" s="252"/>
      <c r="B17" s="146"/>
      <c r="C17" s="129"/>
      <c r="D17" s="146"/>
      <c r="E17" s="129">
        <v>0.29375000000000001</v>
      </c>
      <c r="F17" s="129"/>
      <c r="G17" s="146"/>
      <c r="H17" s="129">
        <v>0.29375000000000001</v>
      </c>
      <c r="I17" s="129"/>
      <c r="J17" s="129"/>
      <c r="K17" s="129">
        <v>0.29375000000000001</v>
      </c>
      <c r="L17" s="146">
        <v>3.125E-2</v>
      </c>
      <c r="M17" s="146"/>
      <c r="N17" s="146"/>
    </row>
    <row r="18" spans="1:26" ht="13">
      <c r="A18" s="252"/>
      <c r="B18" s="146"/>
      <c r="C18" s="129"/>
      <c r="D18" s="146"/>
      <c r="E18" s="129"/>
      <c r="F18" s="129"/>
      <c r="G18" s="146"/>
      <c r="H18" s="129"/>
      <c r="I18" s="129"/>
      <c r="J18" s="129"/>
      <c r="K18" s="129"/>
      <c r="L18" s="146"/>
      <c r="M18" s="146"/>
      <c r="N18" s="146"/>
    </row>
    <row r="19" spans="1:26" ht="13">
      <c r="A19" s="252"/>
      <c r="B19" s="146"/>
      <c r="C19" s="129"/>
      <c r="D19" s="157"/>
      <c r="E19" s="129"/>
      <c r="F19" s="129"/>
      <c r="G19" s="146"/>
      <c r="H19" s="129"/>
      <c r="I19" s="129"/>
      <c r="J19" s="129"/>
      <c r="K19" s="129"/>
      <c r="L19" s="146"/>
      <c r="M19" s="146"/>
      <c r="N19" s="146"/>
    </row>
    <row r="20" spans="1:26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667</v>
      </c>
      <c r="B24" s="169">
        <v>110</v>
      </c>
      <c r="C24" s="169">
        <v>5</v>
      </c>
      <c r="D24" s="153">
        <f>B24/750</f>
        <v>0.14666666666666667</v>
      </c>
      <c r="E24" s="153">
        <f>C24/200</f>
        <v>2.5000000000000001E-2</v>
      </c>
      <c r="G24" s="126" t="s">
        <v>667</v>
      </c>
      <c r="H24" s="139">
        <f>SUM(B3:B6)</f>
        <v>0.33263888888888893</v>
      </c>
      <c r="I24" s="169">
        <v>113</v>
      </c>
      <c r="J24" s="169">
        <v>41</v>
      </c>
      <c r="K24" s="153">
        <f>I24/750</f>
        <v>0.15066666666666667</v>
      </c>
      <c r="L24" s="153">
        <f>J24/200</f>
        <v>0.20499999999999999</v>
      </c>
      <c r="N24" s="126" t="s">
        <v>667</v>
      </c>
      <c r="O24" s="139">
        <f>SUM(B7:B10)</f>
        <v>0.15138888888888888</v>
      </c>
      <c r="P24" s="169">
        <v>39</v>
      </c>
      <c r="Q24" s="169">
        <v>17</v>
      </c>
      <c r="R24" s="153">
        <f>P24/750</f>
        <v>5.1999999999999998E-2</v>
      </c>
      <c r="S24" s="153">
        <f>Q24/200</f>
        <v>8.5000000000000006E-2</v>
      </c>
      <c r="U24" s="126" t="s">
        <v>667</v>
      </c>
      <c r="V24" s="139">
        <f>SUM(B11:B14)</f>
        <v>0</v>
      </c>
      <c r="Y24" s="153">
        <f>W24/750</f>
        <v>0</v>
      </c>
      <c r="Z24" s="153">
        <f>X24/200</f>
        <v>0</v>
      </c>
    </row>
    <row r="25" spans="1:26" ht="22.5" customHeight="1">
      <c r="A25" s="126" t="s">
        <v>650</v>
      </c>
      <c r="B25" s="169">
        <v>98</v>
      </c>
      <c r="C25" s="169">
        <v>1</v>
      </c>
      <c r="D25" s="153">
        <f>B25/720</f>
        <v>0.1361111111111111</v>
      </c>
      <c r="E25" s="153">
        <f>C25/65</f>
        <v>1.5384615384615385E-2</v>
      </c>
      <c r="G25" s="126" t="s">
        <v>650</v>
      </c>
      <c r="H25" s="139">
        <f>SUM(C3:C6)</f>
        <v>0.33263888888888893</v>
      </c>
      <c r="I25" s="169">
        <v>74</v>
      </c>
      <c r="J25" s="169">
        <v>5</v>
      </c>
      <c r="K25" s="153">
        <f>I25/720</f>
        <v>0.10277777777777777</v>
      </c>
      <c r="L25" s="153">
        <f>J25/65</f>
        <v>7.6923076923076927E-2</v>
      </c>
      <c r="N25" s="126" t="s">
        <v>650</v>
      </c>
      <c r="O25" s="139">
        <f>SUM(C7:C10)</f>
        <v>0.79027777777777775</v>
      </c>
      <c r="P25" s="169">
        <v>152</v>
      </c>
      <c r="Q25" s="169">
        <v>9</v>
      </c>
      <c r="R25" s="153">
        <f>P25/720</f>
        <v>0.21111111111111111</v>
      </c>
      <c r="S25" s="153">
        <f>Q25/65</f>
        <v>0.13846153846153847</v>
      </c>
      <c r="U25" s="126" t="s">
        <v>650</v>
      </c>
      <c r="V25" s="139">
        <f>SUM(C11:C14)</f>
        <v>0.53333333333333333</v>
      </c>
      <c r="W25" s="126">
        <v>124</v>
      </c>
      <c r="X25" s="126">
        <v>7</v>
      </c>
      <c r="Y25" s="153">
        <f>W25/720</f>
        <v>0.17222222222222222</v>
      </c>
      <c r="Z25" s="153">
        <f>X25/65</f>
        <v>0.1076923076923077</v>
      </c>
    </row>
    <row r="26" spans="1:26" ht="22.5" customHeight="1">
      <c r="A26" s="126" t="s">
        <v>651</v>
      </c>
      <c r="B26" s="169">
        <v>109</v>
      </c>
      <c r="C26" s="169">
        <v>2</v>
      </c>
      <c r="D26" s="153">
        <f>B26/750</f>
        <v>0.14533333333333334</v>
      </c>
      <c r="E26" s="153">
        <f>C26/185</f>
        <v>1.0810810810810811E-2</v>
      </c>
      <c r="G26" s="126" t="s">
        <v>651</v>
      </c>
      <c r="H26" s="139">
        <f>SUM($D3:$D6)</f>
        <v>0.30763888888888885</v>
      </c>
      <c r="I26" s="169">
        <v>63</v>
      </c>
      <c r="J26" s="169">
        <v>9</v>
      </c>
      <c r="K26" s="153">
        <f>I26/750</f>
        <v>8.4000000000000005E-2</v>
      </c>
      <c r="L26" s="153">
        <f>J26/185</f>
        <v>4.8648648648648651E-2</v>
      </c>
      <c r="N26" s="126" t="s">
        <v>651</v>
      </c>
      <c r="O26" s="139">
        <f>SUM(D7:D10)</f>
        <v>0.42222222222222217</v>
      </c>
      <c r="P26" s="169">
        <v>97</v>
      </c>
      <c r="Q26" s="169">
        <v>15</v>
      </c>
      <c r="R26" s="153">
        <f>P26/750</f>
        <v>0.12933333333333333</v>
      </c>
      <c r="S26" s="153">
        <f>Q26/185</f>
        <v>8.1081081081081086E-2</v>
      </c>
      <c r="U26" s="126" t="s">
        <v>651</v>
      </c>
      <c r="V26" s="139">
        <f>SUM(D11:D14)</f>
        <v>0.53333333333333333</v>
      </c>
      <c r="W26" s="126">
        <v>136</v>
      </c>
      <c r="X26" s="126">
        <v>17</v>
      </c>
      <c r="Y26" s="153">
        <f>W26/750</f>
        <v>0.18133333333333335</v>
      </c>
      <c r="Z26" s="153">
        <f>X26/185</f>
        <v>9.1891891891891897E-2</v>
      </c>
    </row>
    <row r="27" spans="1:26" ht="22.5" customHeight="1">
      <c r="A27" s="126" t="s">
        <v>652</v>
      </c>
      <c r="B27" s="169">
        <v>105</v>
      </c>
      <c r="C27" s="169">
        <v>2</v>
      </c>
      <c r="D27" s="153">
        <f>B27/700</f>
        <v>0.15</v>
      </c>
      <c r="E27" s="153">
        <f>C27/220</f>
        <v>9.0909090909090905E-3</v>
      </c>
      <c r="G27" s="126" t="s">
        <v>652</v>
      </c>
      <c r="H27" s="139">
        <f>SUM(E3:E6)</f>
        <v>0.30763888888888885</v>
      </c>
      <c r="I27" s="169">
        <v>91</v>
      </c>
      <c r="J27" s="169">
        <v>25</v>
      </c>
      <c r="K27" s="153">
        <f>I27/700</f>
        <v>0.13</v>
      </c>
      <c r="L27" s="153">
        <f t="shared" ref="L27:L28" si="0">J27/220</f>
        <v>0.11363636363636363</v>
      </c>
      <c r="N27" s="126" t="s">
        <v>652</v>
      </c>
      <c r="O27" s="139">
        <f>SUM(E7:E10)</f>
        <v>4.9305555555555554E-2</v>
      </c>
      <c r="P27" s="169">
        <v>14</v>
      </c>
      <c r="Q27" s="169">
        <v>4</v>
      </c>
      <c r="R27" s="153">
        <f>P27/700</f>
        <v>0.02</v>
      </c>
      <c r="S27" s="153">
        <f t="shared" ref="S27:S28" si="1">Q27/220</f>
        <v>1.8181818181818181E-2</v>
      </c>
      <c r="U27" s="126" t="s">
        <v>652</v>
      </c>
      <c r="V27" s="139">
        <f>SUM(E11:E14)</f>
        <v>4.5138888888888888E-2</v>
      </c>
      <c r="W27" s="126">
        <v>6</v>
      </c>
      <c r="X27" s="126">
        <v>0</v>
      </c>
      <c r="Y27" s="153">
        <f>W27/700</f>
        <v>8.5714285714285719E-3</v>
      </c>
      <c r="Z27" s="153">
        <f t="shared" ref="Z27:Z28" si="2">X27/220</f>
        <v>0</v>
      </c>
    </row>
    <row r="28" spans="1:26" ht="22.5" customHeight="1">
      <c r="A28" s="126" t="s">
        <v>655</v>
      </c>
      <c r="B28" s="169">
        <v>82</v>
      </c>
      <c r="C28" s="169">
        <v>1</v>
      </c>
      <c r="D28" s="153">
        <f>B28/800</f>
        <v>0.10249999999999999</v>
      </c>
      <c r="E28" s="153">
        <f>C29/220</f>
        <v>2.2727272727272728E-2</v>
      </c>
      <c r="G28" s="126" t="s">
        <v>655</v>
      </c>
      <c r="H28" s="139">
        <f>SUM(F3:F6)</f>
        <v>0</v>
      </c>
      <c r="K28" s="153">
        <f>I28/800</f>
        <v>0</v>
      </c>
      <c r="L28" s="153">
        <f t="shared" si="0"/>
        <v>0</v>
      </c>
      <c r="N28" s="126" t="s">
        <v>655</v>
      </c>
      <c r="O28" s="139">
        <f>SUM(F7:F10)</f>
        <v>0.44791666666666663</v>
      </c>
      <c r="P28" s="169">
        <v>96</v>
      </c>
      <c r="Q28" s="169">
        <v>15</v>
      </c>
      <c r="R28" s="153">
        <f>P28/800</f>
        <v>0.12</v>
      </c>
      <c r="S28" s="153">
        <f t="shared" si="1"/>
        <v>6.8181818181818177E-2</v>
      </c>
      <c r="U28" s="126" t="s">
        <v>655</v>
      </c>
      <c r="V28" s="139">
        <f>SUM(F11:F14)</f>
        <v>0.3208333333333333</v>
      </c>
      <c r="W28" s="126">
        <v>83</v>
      </c>
      <c r="X28" s="126">
        <v>9</v>
      </c>
      <c r="Y28" s="153">
        <f>W28/800</f>
        <v>0.10375</v>
      </c>
      <c r="Z28" s="153">
        <f t="shared" si="2"/>
        <v>4.0909090909090909E-2</v>
      </c>
    </row>
    <row r="29" spans="1:26" ht="22.5" customHeight="1">
      <c r="A29" s="126" t="s">
        <v>653</v>
      </c>
      <c r="B29" s="169">
        <v>106</v>
      </c>
      <c r="C29" s="169">
        <v>5</v>
      </c>
      <c r="D29" s="153">
        <f>B29/820</f>
        <v>0.12926829268292683</v>
      </c>
      <c r="E29" s="153">
        <f>C30/240</f>
        <v>1.2500000000000001E-2</v>
      </c>
      <c r="G29" s="126" t="s">
        <v>653</v>
      </c>
      <c r="H29" s="139">
        <f>SUM(G3:G6)</f>
        <v>0.33263888888888893</v>
      </c>
      <c r="I29" s="169">
        <v>91</v>
      </c>
      <c r="J29" s="169">
        <v>17</v>
      </c>
      <c r="K29" s="153">
        <f>I29/820</f>
        <v>0.11097560975609756</v>
      </c>
      <c r="L29" s="153">
        <f>J29/240</f>
        <v>7.0833333333333331E-2</v>
      </c>
      <c r="N29" s="126" t="s">
        <v>653</v>
      </c>
      <c r="O29" s="139">
        <f>SUM(G7:G10)</f>
        <v>0.74097222222222214</v>
      </c>
      <c r="P29" s="169">
        <v>152</v>
      </c>
      <c r="Q29" s="169">
        <v>28</v>
      </c>
      <c r="R29" s="153">
        <f>P29/820</f>
        <v>0.18536585365853658</v>
      </c>
      <c r="S29" s="153">
        <f>Q29/240</f>
        <v>0.11666666666666667</v>
      </c>
      <c r="U29" s="126" t="s">
        <v>653</v>
      </c>
      <c r="V29" s="139">
        <f>SUM(G11:G14)</f>
        <v>0.53333333333333333</v>
      </c>
      <c r="W29" s="126">
        <v>144</v>
      </c>
      <c r="X29" s="126">
        <v>22</v>
      </c>
      <c r="Y29" s="153">
        <f>W29/820</f>
        <v>0.17560975609756097</v>
      </c>
      <c r="Z29" s="153">
        <f>X29/240</f>
        <v>9.166666666666666E-2</v>
      </c>
    </row>
    <row r="30" spans="1:26" ht="22.5" customHeight="1">
      <c r="A30" s="126" t="s">
        <v>654</v>
      </c>
      <c r="B30" s="169">
        <v>100</v>
      </c>
      <c r="C30" s="169">
        <v>3</v>
      </c>
      <c r="D30" s="153">
        <f>B30/620</f>
        <v>0.16129032258064516</v>
      </c>
      <c r="E30" s="153">
        <f>C31/90</f>
        <v>5.5555555555555552E-2</v>
      </c>
      <c r="G30" s="126" t="s">
        <v>654</v>
      </c>
      <c r="H30" s="139">
        <f>SUM(H3:H6)</f>
        <v>0.30763888888888885</v>
      </c>
      <c r="I30" s="169">
        <v>76</v>
      </c>
      <c r="J30" s="169">
        <v>25</v>
      </c>
      <c r="K30" s="153">
        <f>I30/620</f>
        <v>0.12258064516129032</v>
      </c>
      <c r="L30" s="153">
        <f>J30/90</f>
        <v>0.27777777777777779</v>
      </c>
      <c r="N30" s="126" t="s">
        <v>654</v>
      </c>
      <c r="O30" s="139">
        <f>SUM(H7:H10)</f>
        <v>0.17569444444444446</v>
      </c>
      <c r="P30" s="169">
        <v>51</v>
      </c>
      <c r="Q30" s="169">
        <v>14</v>
      </c>
      <c r="R30" s="153">
        <f>P30/620</f>
        <v>8.2258064516129034E-2</v>
      </c>
      <c r="S30" s="153">
        <f>Q30/90</f>
        <v>0.15555555555555556</v>
      </c>
      <c r="U30" s="126" t="s">
        <v>654</v>
      </c>
      <c r="V30" s="139">
        <f>SUM(H11:H14)</f>
        <v>9.930555555555555E-2</v>
      </c>
      <c r="W30" s="126">
        <v>18</v>
      </c>
      <c r="X30" s="126">
        <v>2</v>
      </c>
      <c r="Y30" s="153">
        <f>W30/620</f>
        <v>2.903225806451613E-2</v>
      </c>
      <c r="Z30" s="153">
        <f>X30/90</f>
        <v>2.2222222222222223E-2</v>
      </c>
    </row>
    <row r="31" spans="1:26" ht="22.5" customHeight="1">
      <c r="A31" s="126" t="s">
        <v>659</v>
      </c>
      <c r="B31" s="169">
        <v>110</v>
      </c>
      <c r="C31" s="169">
        <v>5</v>
      </c>
      <c r="D31" s="153">
        <f>B31/820</f>
        <v>0.13414634146341464</v>
      </c>
      <c r="E31" s="153">
        <f>C32/200</f>
        <v>5.0000000000000001E-3</v>
      </c>
      <c r="G31" s="126" t="s">
        <v>659</v>
      </c>
      <c r="H31" s="139">
        <f>SUM(I3:I6)</f>
        <v>0.24027777777777778</v>
      </c>
      <c r="I31" s="169">
        <v>63</v>
      </c>
      <c r="J31" s="169">
        <v>63</v>
      </c>
      <c r="K31" s="153">
        <f>I31/820</f>
        <v>7.6829268292682926E-2</v>
      </c>
      <c r="L31" s="153">
        <f>J31/200</f>
        <v>0.315</v>
      </c>
      <c r="N31" s="126" t="s">
        <v>659</v>
      </c>
      <c r="O31" s="154">
        <f>SUM(I7:I10)</f>
        <v>4.9305555555555554E-2</v>
      </c>
      <c r="P31" s="169">
        <v>10</v>
      </c>
      <c r="Q31" s="169">
        <v>1</v>
      </c>
      <c r="R31" s="153">
        <f>P31/820</f>
        <v>1.2195121951219513E-2</v>
      </c>
      <c r="S31" s="153">
        <f>Q31/200</f>
        <v>5.0000000000000001E-3</v>
      </c>
      <c r="U31" s="126" t="s">
        <v>659</v>
      </c>
      <c r="V31" s="139">
        <f>SUM(I11:I14)</f>
        <v>0.42083333333333339</v>
      </c>
      <c r="W31" s="126">
        <v>114</v>
      </c>
      <c r="X31" s="126">
        <v>17</v>
      </c>
      <c r="Y31" s="153">
        <f>W31/820</f>
        <v>0.13902439024390245</v>
      </c>
      <c r="Z31" s="153">
        <f>X31/200</f>
        <v>8.5000000000000006E-2</v>
      </c>
    </row>
    <row r="32" spans="1:26" ht="22.5" customHeight="1">
      <c r="A32" s="126" t="s">
        <v>660</v>
      </c>
      <c r="B32" s="169">
        <v>71</v>
      </c>
      <c r="C32" s="169">
        <v>1</v>
      </c>
      <c r="D32" s="153">
        <f>B32/505</f>
        <v>0.14059405940594061</v>
      </c>
      <c r="E32" s="153">
        <f>C33/42</f>
        <v>0.33333333333333331</v>
      </c>
      <c r="G32" s="126" t="s">
        <v>660</v>
      </c>
      <c r="H32" s="139">
        <f>SUM(J3:J6)</f>
        <v>0.30763888888888885</v>
      </c>
      <c r="I32" s="169">
        <v>55</v>
      </c>
      <c r="J32" s="169">
        <v>1</v>
      </c>
      <c r="K32" s="153">
        <f>I32/505</f>
        <v>0.10891089108910891</v>
      </c>
      <c r="L32" s="153">
        <f>J32/42</f>
        <v>2.3809523809523808E-2</v>
      </c>
      <c r="N32" s="126" t="s">
        <v>660</v>
      </c>
      <c r="O32" s="139">
        <f>SUM(J7:J10)</f>
        <v>0</v>
      </c>
      <c r="P32" s="169"/>
      <c r="R32" s="153">
        <f>P32/505</f>
        <v>0</v>
      </c>
      <c r="S32" s="153">
        <f>Q32/42</f>
        <v>0</v>
      </c>
      <c r="U32" s="126" t="s">
        <v>660</v>
      </c>
      <c r="V32" s="139">
        <f>SUM(J11:J14)</f>
        <v>0</v>
      </c>
      <c r="Y32" s="153">
        <f>W32/505</f>
        <v>0</v>
      </c>
      <c r="Z32" s="153">
        <f>X32/42</f>
        <v>0</v>
      </c>
    </row>
    <row r="33" spans="1:26" ht="22.5" customHeight="1">
      <c r="A33" s="126" t="s">
        <v>661</v>
      </c>
      <c r="B33" s="169">
        <v>139</v>
      </c>
      <c r="C33" s="169">
        <v>14</v>
      </c>
      <c r="D33" s="153">
        <f>B33/740</f>
        <v>0.18783783783783783</v>
      </c>
      <c r="E33" s="153">
        <f>C34/215</f>
        <v>1.3953488372093023E-2</v>
      </c>
      <c r="G33" s="126" t="s">
        <v>661</v>
      </c>
      <c r="H33" s="139">
        <f>SUM(K3:K6)</f>
        <v>7.8472222222222221E-2</v>
      </c>
      <c r="I33" s="169">
        <v>17</v>
      </c>
      <c r="J33" s="169">
        <v>4</v>
      </c>
      <c r="K33" s="153">
        <f>I33/740</f>
        <v>2.2972972972972974E-2</v>
      </c>
      <c r="L33" s="153">
        <f>J33/215</f>
        <v>1.8604651162790697E-2</v>
      </c>
      <c r="N33" s="126" t="s">
        <v>661</v>
      </c>
      <c r="O33" s="139">
        <f>SUM(K7:K10)</f>
        <v>0.1673611111111111</v>
      </c>
      <c r="P33" s="169">
        <v>47</v>
      </c>
      <c r="Q33" s="169">
        <v>17</v>
      </c>
      <c r="R33" s="153">
        <f>P33/740</f>
        <v>6.3513513513513517E-2</v>
      </c>
      <c r="S33" s="153">
        <f>Q33/215</f>
        <v>7.9069767441860464E-2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</row>
    <row r="34" spans="1:26" ht="22.5" customHeight="1">
      <c r="A34" s="126" t="s">
        <v>662</v>
      </c>
      <c r="B34" s="169">
        <v>102</v>
      </c>
      <c r="C34" s="169">
        <v>3</v>
      </c>
      <c r="D34" s="153">
        <f>B34/800</f>
        <v>0.1275</v>
      </c>
      <c r="E34" s="153">
        <f>C35/170</f>
        <v>0</v>
      </c>
      <c r="G34" s="126" t="s">
        <v>662</v>
      </c>
      <c r="H34" s="139">
        <f>SUM(L3:L6)</f>
        <v>0.33263888888888893</v>
      </c>
      <c r="I34" s="169">
        <v>92</v>
      </c>
      <c r="J34" s="169">
        <v>16</v>
      </c>
      <c r="K34" s="153">
        <f>I34/800</f>
        <v>0.115</v>
      </c>
      <c r="L34" s="153">
        <f>J34/170</f>
        <v>9.4117647058823528E-2</v>
      </c>
      <c r="N34" s="126" t="s">
        <v>662</v>
      </c>
      <c r="O34" s="139">
        <f>SUM(L7:L10)</f>
        <v>0.61388888888888893</v>
      </c>
      <c r="P34" s="169">
        <v>125</v>
      </c>
      <c r="Q34" s="169">
        <v>15</v>
      </c>
      <c r="R34" s="153">
        <f>P34/800</f>
        <v>0.15625</v>
      </c>
      <c r="S34" s="153">
        <f>Q34/170</f>
        <v>8.8235294117647065E-2</v>
      </c>
      <c r="U34" s="126" t="s">
        <v>662</v>
      </c>
      <c r="V34" s="139">
        <f>SUM(L11:L14)</f>
        <v>0.31180555555555556</v>
      </c>
      <c r="W34" s="126">
        <v>76</v>
      </c>
      <c r="X34" s="126">
        <v>12</v>
      </c>
      <c r="Y34" s="153">
        <f>W34/800</f>
        <v>9.5000000000000001E-2</v>
      </c>
      <c r="Z34" s="153">
        <f>X34/170</f>
        <v>7.0588235294117646E-2</v>
      </c>
    </row>
    <row r="35" spans="1:26" ht="22.5" customHeight="1">
      <c r="A35" s="126" t="s">
        <v>663</v>
      </c>
      <c r="B35" s="169">
        <v>55</v>
      </c>
      <c r="C35" s="169">
        <v>0</v>
      </c>
      <c r="D35" s="153">
        <f>B35/580</f>
        <v>9.4827586206896547E-2</v>
      </c>
      <c r="E35" s="153">
        <f>C36/75</f>
        <v>5.3333333333333337E-2</v>
      </c>
      <c r="G35" s="126" t="s">
        <v>663</v>
      </c>
      <c r="H35" s="139">
        <f>SUM(M3:M6)</f>
        <v>0.33263888888888893</v>
      </c>
      <c r="I35" s="169">
        <v>73</v>
      </c>
      <c r="J35" s="169">
        <v>6</v>
      </c>
      <c r="K35" s="153">
        <f>I35/580</f>
        <v>0.12586206896551724</v>
      </c>
      <c r="L35" s="153">
        <f>J35/75</f>
        <v>0.08</v>
      </c>
      <c r="N35" s="126" t="s">
        <v>663</v>
      </c>
      <c r="O35" s="139">
        <f>SUM(M7:M10)</f>
        <v>0.34166666666666667</v>
      </c>
      <c r="P35" s="169">
        <v>72</v>
      </c>
      <c r="Q35" s="169">
        <v>12</v>
      </c>
      <c r="R35" s="153">
        <f>P35/580</f>
        <v>0.12413793103448276</v>
      </c>
      <c r="S35" s="153">
        <f>Q35/75</f>
        <v>0.16</v>
      </c>
      <c r="U35" s="126" t="s">
        <v>663</v>
      </c>
      <c r="V35" s="139">
        <f>SUM(M11:M14)</f>
        <v>0.31180555555555556</v>
      </c>
      <c r="W35" s="126">
        <v>64</v>
      </c>
      <c r="X35" s="126">
        <v>8</v>
      </c>
      <c r="Y35" s="153">
        <f>W35/580</f>
        <v>0.1103448275862069</v>
      </c>
      <c r="Z35" s="153">
        <f>X35/75</f>
        <v>0.10666666666666667</v>
      </c>
    </row>
    <row r="36" spans="1:26" ht="22.5" customHeight="1">
      <c r="A36" s="126" t="s">
        <v>664</v>
      </c>
      <c r="B36" s="169">
        <v>115</v>
      </c>
      <c r="C36" s="169">
        <v>4</v>
      </c>
      <c r="D36" s="153">
        <f>B36/720</f>
        <v>0.15972222222222221</v>
      </c>
      <c r="E36" s="153">
        <f>C36/100</f>
        <v>0.04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 t="shared" ref="B37:C37" si="3">AVERAGE(B24:B36)</f>
        <v>100.15384615384616</v>
      </c>
      <c r="C37" s="126">
        <f t="shared" si="3"/>
        <v>3.5384615384615383</v>
      </c>
      <c r="D37" s="153">
        <f t="shared" ref="D37:E37" si="4">SUM(D24:D36)</f>
        <v>1.8157977735109947</v>
      </c>
      <c r="E37" s="153">
        <f t="shared" si="4"/>
        <v>0.59668931860792329</v>
      </c>
      <c r="G37" s="126" t="s">
        <v>671</v>
      </c>
      <c r="H37" s="139">
        <f>SUM(H24:H36)</f>
        <v>3.2124999999999999</v>
      </c>
      <c r="I37" s="126"/>
      <c r="J37" s="126"/>
      <c r="K37" s="153">
        <f t="shared" ref="K37:L37" si="5">SUM(K24:K36)</f>
        <v>1.1505759006821143</v>
      </c>
      <c r="L37" s="153">
        <f t="shared" si="5"/>
        <v>1.3243510223503385</v>
      </c>
      <c r="N37" s="126" t="s">
        <v>671</v>
      </c>
      <c r="O37" s="139"/>
      <c r="P37" s="126"/>
      <c r="Q37" s="126"/>
      <c r="R37" s="153">
        <f t="shared" ref="R37:S37" si="6">SUM(R24:R36)</f>
        <v>1.156164929118326</v>
      </c>
      <c r="S37" s="153">
        <f t="shared" si="6"/>
        <v>0.99543353968798576</v>
      </c>
      <c r="U37" s="126" t="s">
        <v>671</v>
      </c>
      <c r="V37" s="139">
        <f>SUM(V24:V36)</f>
        <v>3.1097222222222221</v>
      </c>
      <c r="W37" s="126"/>
      <c r="X37" s="126"/>
      <c r="Y37" s="153">
        <f t="shared" ref="Y37:Z37" si="7">SUM(Y24:Y36)</f>
        <v>1.0148882161191706</v>
      </c>
      <c r="Z37" s="153">
        <f t="shared" si="7"/>
        <v>0.61663708134296369</v>
      </c>
    </row>
    <row r="39" spans="1:26" ht="13">
      <c r="O39" s="1" t="s">
        <v>690</v>
      </c>
      <c r="W39" s="228"/>
      <c r="X39" s="227"/>
      <c r="Y39" s="227"/>
      <c r="Z39" s="227"/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 t="s">
        <v>16</v>
      </c>
      <c r="P40" s="1" t="s">
        <v>105</v>
      </c>
      <c r="Q40" s="1" t="s">
        <v>668</v>
      </c>
    </row>
    <row r="41" spans="1:26" ht="22.5" customHeight="1">
      <c r="A41" s="126" t="s">
        <v>667</v>
      </c>
      <c r="B41" s="139">
        <f>SUM(B15:B21)</f>
        <v>0</v>
      </c>
      <c r="E41" s="153">
        <f>C41/750</f>
        <v>0</v>
      </c>
      <c r="F41" s="153">
        <f>D41/200</f>
        <v>0</v>
      </c>
      <c r="H41" s="126" t="s">
        <v>667</v>
      </c>
      <c r="I41" s="139">
        <f t="shared" ref="I41:I54" si="8">SUM(H24,O24,V24,B41)</f>
        <v>0.48402777777777783</v>
      </c>
      <c r="J41" s="126">
        <f t="shared" ref="J41:M41" si="9">SUM(B24,I24,P24,W24,C41)</f>
        <v>262</v>
      </c>
      <c r="K41" s="126">
        <f t="shared" si="9"/>
        <v>63</v>
      </c>
      <c r="L41" s="153">
        <f t="shared" si="9"/>
        <v>0.34933333333333333</v>
      </c>
      <c r="M41" s="153">
        <f t="shared" si="9"/>
        <v>0.315</v>
      </c>
      <c r="O41" s="1" t="s">
        <v>667</v>
      </c>
      <c r="R41" s="47"/>
      <c r="S41" s="47"/>
    </row>
    <row r="42" spans="1:26" ht="22.5" customHeight="1">
      <c r="A42" s="126" t="s">
        <v>650</v>
      </c>
      <c r="B42" s="139">
        <f>SUM(C15:C21)</f>
        <v>0</v>
      </c>
      <c r="E42" s="153">
        <f>C42/720</f>
        <v>0</v>
      </c>
      <c r="F42" s="153">
        <f>D42/65</f>
        <v>0</v>
      </c>
      <c r="H42" s="126" t="s">
        <v>650</v>
      </c>
      <c r="I42" s="139">
        <f t="shared" si="8"/>
        <v>1.65625</v>
      </c>
      <c r="J42" s="126">
        <f t="shared" ref="J42:M42" si="10">SUM(B25,I25,P25,W25,C42)</f>
        <v>448</v>
      </c>
      <c r="K42" s="126">
        <f t="shared" si="10"/>
        <v>22</v>
      </c>
      <c r="L42" s="153">
        <f t="shared" si="10"/>
        <v>0.62222222222222223</v>
      </c>
      <c r="M42" s="153">
        <f t="shared" si="10"/>
        <v>0.33846153846153848</v>
      </c>
      <c r="O42" s="1" t="s">
        <v>650</v>
      </c>
      <c r="R42" s="160"/>
      <c r="S42" s="47"/>
    </row>
    <row r="43" spans="1:26" ht="22.5" customHeight="1">
      <c r="A43" s="126" t="s">
        <v>651</v>
      </c>
      <c r="B43" s="139">
        <f>SUM(D15:D21)</f>
        <v>0</v>
      </c>
      <c r="E43" s="153">
        <f>C43/750</f>
        <v>0</v>
      </c>
      <c r="F43" s="153">
        <f>D43/185</f>
        <v>0</v>
      </c>
      <c r="H43" s="126" t="s">
        <v>651</v>
      </c>
      <c r="I43" s="139">
        <f t="shared" si="8"/>
        <v>1.2631944444444443</v>
      </c>
      <c r="J43" s="126">
        <f t="shared" ref="J43:M43" si="11">SUM(B26,I26,P26,W26,C43)</f>
        <v>405</v>
      </c>
      <c r="K43" s="126">
        <f t="shared" si="11"/>
        <v>43</v>
      </c>
      <c r="L43" s="153">
        <f t="shared" si="11"/>
        <v>0.54</v>
      </c>
      <c r="M43" s="153">
        <f t="shared" si="11"/>
        <v>0.23243243243243245</v>
      </c>
      <c r="O43" s="1" t="s">
        <v>651</v>
      </c>
      <c r="R43" s="47"/>
      <c r="S43" s="47"/>
    </row>
    <row r="44" spans="1:26" ht="22.5" customHeight="1">
      <c r="A44" s="126" t="s">
        <v>652</v>
      </c>
      <c r="B44" s="139">
        <f>SUM(E15:E21)</f>
        <v>0.59791666666666665</v>
      </c>
      <c r="C44" s="126">
        <v>160</v>
      </c>
      <c r="D44" s="126">
        <v>31</v>
      </c>
      <c r="E44" s="153">
        <f>C44/700</f>
        <v>0.22857142857142856</v>
      </c>
      <c r="F44" s="153">
        <f>D44/220</f>
        <v>0.1409090909090909</v>
      </c>
      <c r="H44" s="126" t="s">
        <v>652</v>
      </c>
      <c r="I44" s="139">
        <f t="shared" si="8"/>
        <v>1</v>
      </c>
      <c r="J44" s="126">
        <f t="shared" ref="J44:M44" si="12">SUM(B27,I27,P27,W27,C44)</f>
        <v>376</v>
      </c>
      <c r="K44" s="126">
        <f t="shared" si="12"/>
        <v>62</v>
      </c>
      <c r="L44" s="153">
        <f t="shared" si="12"/>
        <v>0.53714285714285714</v>
      </c>
      <c r="M44" s="153">
        <f t="shared" si="12"/>
        <v>0.2818181818181818</v>
      </c>
      <c r="O44" s="1" t="s">
        <v>652</v>
      </c>
      <c r="R44" s="47"/>
      <c r="S44" s="47"/>
    </row>
    <row r="45" spans="1:26" ht="22.5" customHeight="1">
      <c r="A45" s="126" t="s">
        <v>655</v>
      </c>
      <c r="B45" s="139">
        <f>SUM(F15:F21)</f>
        <v>0.3354166666666667</v>
      </c>
      <c r="C45" s="126">
        <v>69</v>
      </c>
      <c r="D45" s="126">
        <v>9</v>
      </c>
      <c r="E45" s="153">
        <f>C45/800</f>
        <v>8.6249999999999993E-2</v>
      </c>
      <c r="F45" s="153">
        <f>D46/220</f>
        <v>0</v>
      </c>
      <c r="H45" s="126" t="s">
        <v>655</v>
      </c>
      <c r="I45" s="139">
        <f t="shared" si="8"/>
        <v>1.1041666666666665</v>
      </c>
      <c r="J45" s="126">
        <f t="shared" ref="J45:J54" si="13">SUM(B28,I28,P28,W28,C45)</f>
        <v>330</v>
      </c>
      <c r="K45" s="126">
        <f t="shared" ref="K45:K52" si="14">SUM(C29,J28,Q28,X28,D46)</f>
        <v>29</v>
      </c>
      <c r="L45" s="153">
        <f t="shared" ref="L45:M45" si="15">SUM(D28,K28,R28,Y28,E45)</f>
        <v>0.41249999999999998</v>
      </c>
      <c r="M45" s="153">
        <f t="shared" si="15"/>
        <v>0.13181818181818183</v>
      </c>
      <c r="O45" s="1" t="s">
        <v>655</v>
      </c>
      <c r="R45" s="47"/>
      <c r="S45" s="47"/>
    </row>
    <row r="46" spans="1:26" ht="22.5" customHeight="1">
      <c r="A46" s="126" t="s">
        <v>653</v>
      </c>
      <c r="B46" s="139">
        <f>SUM(G15:G21)</f>
        <v>0</v>
      </c>
      <c r="E46" s="153">
        <f t="shared" ref="E46:F46" si="16">C46/820</f>
        <v>0</v>
      </c>
      <c r="F46" s="153">
        <f t="shared" si="16"/>
        <v>0</v>
      </c>
      <c r="H46" s="126" t="s">
        <v>653</v>
      </c>
      <c r="I46" s="139">
        <f t="shared" si="8"/>
        <v>1.6069444444444443</v>
      </c>
      <c r="J46" s="126">
        <f t="shared" si="13"/>
        <v>493</v>
      </c>
      <c r="K46" s="126">
        <f t="shared" si="14"/>
        <v>111</v>
      </c>
      <c r="L46" s="153">
        <f t="shared" ref="L46:M46" si="17">SUM(D29,K29,R29,Y29,E46)</f>
        <v>0.60121951219512193</v>
      </c>
      <c r="M46" s="153">
        <f t="shared" si="17"/>
        <v>0.29166666666666669</v>
      </c>
      <c r="O46" s="1" t="s">
        <v>659</v>
      </c>
      <c r="R46" s="47"/>
      <c r="S46" s="47"/>
    </row>
    <row r="47" spans="1:26" ht="22.5" customHeight="1">
      <c r="A47" s="126" t="s">
        <v>654</v>
      </c>
      <c r="B47" s="139">
        <f>SUM(H15:H21)</f>
        <v>0.59791666666666665</v>
      </c>
      <c r="C47" s="126">
        <v>160</v>
      </c>
      <c r="D47" s="126">
        <v>41</v>
      </c>
      <c r="E47" s="153">
        <f>C47/620</f>
        <v>0.25806451612903225</v>
      </c>
      <c r="F47" s="153">
        <f>D47/820</f>
        <v>0.05</v>
      </c>
      <c r="H47" s="126" t="s">
        <v>654</v>
      </c>
      <c r="I47" s="139">
        <f t="shared" si="8"/>
        <v>1.1805555555555554</v>
      </c>
      <c r="J47" s="126">
        <f t="shared" si="13"/>
        <v>405</v>
      </c>
      <c r="K47" s="126">
        <f t="shared" si="14"/>
        <v>46</v>
      </c>
      <c r="L47" s="153">
        <f t="shared" ref="L47:M47" si="18">SUM(D30,K30,R30,Y30,E47)</f>
        <v>0.65322580645161299</v>
      </c>
      <c r="M47" s="153">
        <f t="shared" si="18"/>
        <v>0.56111111111111123</v>
      </c>
      <c r="O47" s="1" t="s">
        <v>691</v>
      </c>
      <c r="R47" s="47"/>
      <c r="S47" s="160"/>
    </row>
    <row r="48" spans="1:26" ht="22.5" customHeight="1">
      <c r="A48" s="126" t="s">
        <v>659</v>
      </c>
      <c r="B48" s="139">
        <f>SUM(I15:I21)</f>
        <v>0</v>
      </c>
      <c r="E48" s="153">
        <f t="shared" ref="E48:F48" si="19">C48/820</f>
        <v>0</v>
      </c>
      <c r="F48" s="153">
        <f t="shared" si="19"/>
        <v>0</v>
      </c>
      <c r="H48" s="126" t="s">
        <v>659</v>
      </c>
      <c r="I48" s="139">
        <f t="shared" si="8"/>
        <v>0.7104166666666667</v>
      </c>
      <c r="J48" s="126">
        <f t="shared" si="13"/>
        <v>297</v>
      </c>
      <c r="K48" s="126">
        <f t="shared" si="14"/>
        <v>82</v>
      </c>
      <c r="L48" s="153">
        <f t="shared" ref="L48:M48" si="20">SUM(D31,K31,R31,Y31,E48)</f>
        <v>0.36219512195121956</v>
      </c>
      <c r="M48" s="153">
        <f t="shared" si="20"/>
        <v>0.41000000000000003</v>
      </c>
      <c r="O48" s="1" t="s">
        <v>661</v>
      </c>
      <c r="R48" s="160"/>
      <c r="S48" s="160"/>
    </row>
    <row r="49" spans="1:28" ht="22.5" customHeight="1">
      <c r="A49" s="126" t="s">
        <v>660</v>
      </c>
      <c r="B49" s="139">
        <f>SUM(J15:J21)</f>
        <v>0</v>
      </c>
      <c r="E49" s="153">
        <f>C49/505</f>
        <v>0</v>
      </c>
      <c r="F49" s="153">
        <f t="shared" ref="F49:F53" si="21">D49/820</f>
        <v>0</v>
      </c>
      <c r="H49" s="126" t="s">
        <v>660</v>
      </c>
      <c r="I49" s="139">
        <f t="shared" si="8"/>
        <v>0.30763888888888885</v>
      </c>
      <c r="J49" s="126">
        <f t="shared" si="13"/>
        <v>126</v>
      </c>
      <c r="K49" s="126">
        <f t="shared" si="14"/>
        <v>51</v>
      </c>
      <c r="L49" s="153">
        <f t="shared" ref="L49:M49" si="22">SUM(D32,K32,R32,Y32,E49)</f>
        <v>0.2495049504950495</v>
      </c>
      <c r="M49" s="153">
        <f t="shared" si="22"/>
        <v>0.3571428571428571</v>
      </c>
      <c r="O49" s="1" t="s">
        <v>662</v>
      </c>
      <c r="R49" s="160"/>
      <c r="S49" s="160"/>
    </row>
    <row r="50" spans="1:28" ht="22.5" customHeight="1">
      <c r="A50" s="126" t="s">
        <v>661</v>
      </c>
      <c r="B50" s="139">
        <f>SUM(K15:K21)</f>
        <v>0.59791666666666665</v>
      </c>
      <c r="C50" s="126">
        <v>181</v>
      </c>
      <c r="D50" s="126">
        <v>36</v>
      </c>
      <c r="E50" s="153">
        <f>C50/740</f>
        <v>0.24459459459459459</v>
      </c>
      <c r="F50" s="153">
        <f t="shared" si="21"/>
        <v>4.3902439024390241E-2</v>
      </c>
      <c r="H50" s="126" t="s">
        <v>661</v>
      </c>
      <c r="I50" s="139">
        <f t="shared" si="8"/>
        <v>0.84375</v>
      </c>
      <c r="J50" s="126">
        <f t="shared" si="13"/>
        <v>384</v>
      </c>
      <c r="K50" s="126">
        <f t="shared" si="14"/>
        <v>41</v>
      </c>
      <c r="L50" s="153">
        <f t="shared" ref="L50:M50" si="23">SUM(D33,K33,R33,Y33,E50)</f>
        <v>0.51891891891891895</v>
      </c>
      <c r="M50" s="153">
        <f t="shared" si="23"/>
        <v>0.15553034600113441</v>
      </c>
      <c r="O50" s="1" t="s">
        <v>663</v>
      </c>
      <c r="P50" s="1"/>
      <c r="Q50" s="1"/>
      <c r="R50" s="1"/>
      <c r="S50" s="1"/>
    </row>
    <row r="51" spans="1:28" ht="22.5" customHeight="1">
      <c r="A51" s="126" t="s">
        <v>662</v>
      </c>
      <c r="B51" s="139">
        <f>SUM(L15:L21)</f>
        <v>0.3354166666666667</v>
      </c>
      <c r="C51" s="126">
        <v>97</v>
      </c>
      <c r="D51" s="126">
        <v>17</v>
      </c>
      <c r="E51" s="153">
        <f>C51/800</f>
        <v>0.12125</v>
      </c>
      <c r="F51" s="153">
        <f t="shared" si="21"/>
        <v>2.0731707317073172E-2</v>
      </c>
      <c r="H51" s="126" t="s">
        <v>662</v>
      </c>
      <c r="I51" s="139">
        <f t="shared" si="8"/>
        <v>1.59375</v>
      </c>
      <c r="J51" s="126">
        <f t="shared" si="13"/>
        <v>492</v>
      </c>
      <c r="K51" s="126">
        <f t="shared" si="14"/>
        <v>52</v>
      </c>
      <c r="L51" s="153">
        <f t="shared" ref="L51:M51" si="24">SUM(D34,K34,R34,Y34,E51)</f>
        <v>0.61499999999999999</v>
      </c>
      <c r="M51" s="153">
        <f t="shared" si="24"/>
        <v>0.27367288378766141</v>
      </c>
      <c r="O51" s="1" t="s">
        <v>664</v>
      </c>
      <c r="P51" s="1"/>
      <c r="Q51" s="1"/>
      <c r="R51" s="1"/>
      <c r="S51" s="1"/>
    </row>
    <row r="52" spans="1:28" ht="22.5" customHeight="1">
      <c r="A52" s="126" t="s">
        <v>663</v>
      </c>
      <c r="B52" s="139">
        <f>SUM(M15:M21)</f>
        <v>0.26250000000000001</v>
      </c>
      <c r="C52" s="126">
        <v>60</v>
      </c>
      <c r="D52" s="126">
        <v>9</v>
      </c>
      <c r="E52" s="153">
        <f>C52/580</f>
        <v>0.10344827586206896</v>
      </c>
      <c r="F52" s="153">
        <f t="shared" si="21"/>
        <v>1.097560975609756E-2</v>
      </c>
      <c r="H52" s="126" t="s">
        <v>663</v>
      </c>
      <c r="I52" s="139">
        <f t="shared" si="8"/>
        <v>1.2486111111111111</v>
      </c>
      <c r="J52" s="126">
        <f t="shared" si="13"/>
        <v>324</v>
      </c>
      <c r="K52" s="126">
        <f t="shared" si="14"/>
        <v>37</v>
      </c>
      <c r="L52" s="153">
        <f t="shared" ref="L52:M52" si="25">SUM(D35,K35,R35,Y35,E52)</f>
        <v>0.55862068965517242</v>
      </c>
      <c r="M52" s="153">
        <f t="shared" si="25"/>
        <v>0.41097560975609759</v>
      </c>
      <c r="O52" s="1"/>
      <c r="P52" s="1"/>
      <c r="Q52" s="1"/>
      <c r="R52" s="1"/>
      <c r="S52" s="1"/>
    </row>
    <row r="53" spans="1:28" ht="22.5" customHeight="1">
      <c r="A53" s="126" t="s">
        <v>664</v>
      </c>
      <c r="B53" s="139">
        <f>SUM(N15:N21)</f>
        <v>0.26250000000000001</v>
      </c>
      <c r="C53" s="126">
        <v>58</v>
      </c>
      <c r="D53" s="126">
        <v>7</v>
      </c>
      <c r="E53" s="153">
        <f>C53/720</f>
        <v>8.0555555555555561E-2</v>
      </c>
      <c r="F53" s="153">
        <f t="shared" si="21"/>
        <v>8.5365853658536592E-3</v>
      </c>
      <c r="H53" s="126" t="s">
        <v>664</v>
      </c>
      <c r="I53" s="139">
        <f t="shared" si="8"/>
        <v>0.26250000000000001</v>
      </c>
      <c r="J53" s="126">
        <f t="shared" si="13"/>
        <v>173</v>
      </c>
      <c r="K53" s="126">
        <f>SUM(D53,C36,J36,Q36,X36)</f>
        <v>11</v>
      </c>
      <c r="L53" s="153">
        <f t="shared" ref="L53:M53" si="26">SUM(D36,K36,R36,Y36,E53)</f>
        <v>0.24027777777777776</v>
      </c>
      <c r="M53" s="153">
        <f t="shared" si="26"/>
        <v>4.853658536585366E-2</v>
      </c>
      <c r="O53" s="1"/>
      <c r="P53" s="1"/>
      <c r="Q53" s="1"/>
      <c r="R53" s="1"/>
      <c r="S53" s="1"/>
    </row>
    <row r="54" spans="1:28" ht="22.5" customHeight="1">
      <c r="A54" s="126" t="s">
        <v>671</v>
      </c>
      <c r="B54" s="139">
        <f>SUM(B41:B53)</f>
        <v>2.9895833333333335</v>
      </c>
      <c r="C54" s="126"/>
      <c r="D54" s="126"/>
      <c r="E54" s="153">
        <f t="shared" ref="E54:F54" si="27">SUM(E41:E53)</f>
        <v>1.12273437071268</v>
      </c>
      <c r="F54" s="153">
        <f t="shared" si="27"/>
        <v>0.27505543237250557</v>
      </c>
      <c r="H54" s="170" t="s">
        <v>671</v>
      </c>
      <c r="I54" s="171">
        <f t="shared" si="8"/>
        <v>9.311805555555555</v>
      </c>
      <c r="J54" s="170">
        <f t="shared" si="13"/>
        <v>100.15384615384616</v>
      </c>
      <c r="K54" s="170">
        <f>SUM(C37,J37,Q37,X37,D54)</f>
        <v>3.5384615384615383</v>
      </c>
      <c r="L54" s="172">
        <f t="shared" ref="L54:M54" si="28">AVERAGE(L41:L53)</f>
        <v>0.48155086078025278</v>
      </c>
      <c r="M54" s="172">
        <f t="shared" si="28"/>
        <v>0.29293587648936287</v>
      </c>
      <c r="O54" s="1"/>
      <c r="P54" s="1"/>
      <c r="Q54" s="1"/>
      <c r="R54" s="1"/>
      <c r="S54" s="1"/>
    </row>
    <row r="58" spans="1:28" ht="13">
      <c r="AA58" s="159"/>
      <c r="AB58" s="159"/>
    </row>
    <row r="59" spans="1:28" ht="13">
      <c r="AA59" s="159"/>
      <c r="AB59" s="159"/>
    </row>
    <row r="60" spans="1:28" ht="13">
      <c r="AA60" s="159"/>
      <c r="AB60" s="159"/>
    </row>
    <row r="61" spans="1:28" ht="13">
      <c r="AA61" s="159"/>
      <c r="AB61" s="159"/>
    </row>
    <row r="62" spans="1:28" ht="13">
      <c r="AA62" s="159"/>
      <c r="AB62" s="159"/>
    </row>
    <row r="63" spans="1:28" ht="13">
      <c r="AA63" s="159"/>
      <c r="AB63" s="159"/>
    </row>
    <row r="64" spans="1:28" ht="13">
      <c r="AA64" s="159"/>
      <c r="AB64" s="159"/>
    </row>
    <row r="65" spans="27:28" ht="13">
      <c r="AA65" s="159"/>
      <c r="AB65" s="159"/>
    </row>
    <row r="66" spans="27:28" ht="13">
      <c r="AA66" s="159"/>
      <c r="AB66" s="159"/>
    </row>
    <row r="67" spans="27:28" ht="13">
      <c r="AA67" s="159"/>
      <c r="AB67" s="159"/>
    </row>
    <row r="68" spans="27:28" ht="13">
      <c r="AA68" s="159"/>
      <c r="AB68" s="159"/>
    </row>
    <row r="69" spans="27:28" ht="13">
      <c r="AA69" s="159"/>
      <c r="AB69" s="159"/>
    </row>
    <row r="70" spans="27:28" ht="13">
      <c r="AA70" s="159"/>
      <c r="AB70" s="159"/>
    </row>
  </sheetData>
  <mergeCells count="5">
    <mergeCell ref="A3:A6"/>
    <mergeCell ref="A7:A10"/>
    <mergeCell ref="A11:A14"/>
    <mergeCell ref="A15:A21"/>
    <mergeCell ref="W39:Z39"/>
  </mergeCells>
  <conditionalFormatting sqref="L41:L54">
    <cfRule type="cellIs" dxfId="37" priority="1" operator="between">
      <formula>0.5</formula>
      <formula>0.75</formula>
    </cfRule>
    <cfRule type="cellIs" dxfId="36" priority="2" operator="between">
      <formula>0.25</formula>
      <formula>0.5</formula>
    </cfRule>
    <cfRule type="cellIs" dxfId="35" priority="3" operator="between">
      <formula>0</formula>
      <formula>0.25</formula>
    </cfRule>
    <cfRule type="cellIs" dxfId="34" priority="4" operator="greaterThan">
      <formula>0.75</formula>
    </cfRule>
  </conditionalFormatting>
  <conditionalFormatting sqref="M41:M54">
    <cfRule type="cellIs" dxfId="33" priority="5" operator="between">
      <formula>0.5</formula>
      <formula>0.75</formula>
    </cfRule>
    <cfRule type="cellIs" dxfId="32" priority="6" operator="between">
      <formula>0.25</formula>
      <formula>0.5</formula>
    </cfRule>
    <cfRule type="cellIs" dxfId="31" priority="7" operator="between">
      <formula>0</formula>
      <formula>0.25</formula>
    </cfRule>
    <cfRule type="cellIs" dxfId="30" priority="8" operator="greaterThan">
      <formula>0.75</formula>
    </cfRule>
  </conditionalFormatting>
  <dataValidations count="1">
    <dataValidation type="custom" allowBlank="1" showDropDown="1" sqref="D24:D37" xr:uid="{00000000-0002-0000-20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00"/>
    <outlinePr summaryBelow="0" summaryRight="0"/>
  </sheetPr>
  <dimension ref="A1:AB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55" t="s">
        <v>667</v>
      </c>
      <c r="C1" s="155" t="s">
        <v>650</v>
      </c>
      <c r="D1" s="127" t="s">
        <v>651</v>
      </c>
      <c r="E1" s="127" t="s">
        <v>652</v>
      </c>
      <c r="F1" s="127" t="s">
        <v>655</v>
      </c>
      <c r="G1" s="155" t="s">
        <v>653</v>
      </c>
      <c r="H1" s="141" t="s">
        <v>654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4">
      <c r="A3" s="248">
        <v>1</v>
      </c>
      <c r="B3" s="161">
        <v>0.16875000000000001</v>
      </c>
      <c r="C3" s="161">
        <v>0.16875000000000001</v>
      </c>
      <c r="D3" s="161">
        <v>0.13819444444444445</v>
      </c>
      <c r="E3" s="161"/>
      <c r="F3" s="144">
        <v>0.13819444444444445</v>
      </c>
      <c r="G3" s="161">
        <v>0.16875000000000001</v>
      </c>
      <c r="H3" s="161"/>
      <c r="I3" s="161">
        <v>0.13819444444444445</v>
      </c>
      <c r="J3" s="161"/>
      <c r="K3" s="161"/>
      <c r="L3" s="161">
        <v>0.16875000000000001</v>
      </c>
      <c r="M3" s="161">
        <v>0.16875000000000001</v>
      </c>
      <c r="N3" s="146"/>
    </row>
    <row r="4" spans="1:14" ht="14">
      <c r="A4" s="249"/>
      <c r="B4" s="161">
        <v>0.41666666666666669</v>
      </c>
      <c r="C4" s="161">
        <v>0.27847222222222223</v>
      </c>
      <c r="D4" s="162"/>
      <c r="E4" s="162"/>
      <c r="F4" s="146"/>
      <c r="G4" s="173">
        <v>10</v>
      </c>
      <c r="H4" s="162"/>
      <c r="I4" s="129"/>
      <c r="J4" s="161"/>
      <c r="K4" s="161"/>
      <c r="L4" s="161">
        <v>0.27847222222222223</v>
      </c>
      <c r="M4" s="161">
        <v>0.27847222222222223</v>
      </c>
      <c r="N4" s="146"/>
    </row>
    <row r="5" spans="1:14" ht="13">
      <c r="A5" s="249"/>
      <c r="B5" s="129"/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4">
      <c r="A7" s="248">
        <v>2</v>
      </c>
      <c r="B7" s="163">
        <v>0.10277777777777777</v>
      </c>
      <c r="C7" s="164">
        <v>0.3611111111111111</v>
      </c>
      <c r="D7" s="163">
        <v>0.46388888888888891</v>
      </c>
      <c r="E7" s="163"/>
      <c r="F7" s="164">
        <v>0.36805555555555558</v>
      </c>
      <c r="G7" s="164">
        <v>0.46388888888888891</v>
      </c>
      <c r="H7" s="163"/>
      <c r="I7" s="163">
        <v>0.46388888888888891</v>
      </c>
      <c r="J7" s="135"/>
      <c r="K7" s="163"/>
      <c r="L7" s="164">
        <v>4.3749999999999997E-2</v>
      </c>
      <c r="M7" s="164">
        <v>9.583333333333334E-2</v>
      </c>
      <c r="N7" s="144"/>
    </row>
    <row r="8" spans="1:14" ht="14">
      <c r="A8" s="249"/>
      <c r="B8" s="129">
        <v>0.17291666666666666</v>
      </c>
      <c r="C8" s="165"/>
      <c r="D8" s="161">
        <v>0.17291666666666666</v>
      </c>
      <c r="E8" s="129"/>
      <c r="F8" s="165"/>
      <c r="G8" s="165">
        <v>0.17291666666666666</v>
      </c>
      <c r="H8" s="161"/>
      <c r="I8" s="129">
        <v>0.17291666666666666</v>
      </c>
      <c r="J8" s="129"/>
      <c r="K8" s="129"/>
      <c r="L8" s="165"/>
      <c r="M8" s="165">
        <v>0.17291666666666666</v>
      </c>
      <c r="N8" s="146"/>
    </row>
    <row r="9" spans="1:14" ht="14">
      <c r="A9" s="249"/>
      <c r="B9" s="129">
        <v>4.3749999999999997E-2</v>
      </c>
      <c r="C9" s="161"/>
      <c r="D9" s="161">
        <v>4.3749999999999997E-2</v>
      </c>
      <c r="E9" s="129"/>
      <c r="F9" s="165"/>
      <c r="G9" s="165"/>
      <c r="H9" s="129"/>
      <c r="I9" s="129">
        <v>4.3749999999999997E-2</v>
      </c>
      <c r="J9" s="129"/>
      <c r="K9" s="129"/>
      <c r="L9" s="165"/>
      <c r="M9" s="146">
        <v>4.3749999999999997E-2</v>
      </c>
      <c r="N9" s="146"/>
    </row>
    <row r="10" spans="1:14" ht="14">
      <c r="A10" s="250"/>
      <c r="B10" s="147"/>
      <c r="C10" s="166"/>
      <c r="D10" s="147"/>
      <c r="E10" s="147"/>
      <c r="F10" s="148"/>
      <c r="G10" s="167"/>
      <c r="H10" s="147"/>
      <c r="I10" s="147"/>
      <c r="J10" s="147"/>
      <c r="K10" s="147"/>
      <c r="L10" s="167"/>
      <c r="M10" s="148"/>
      <c r="N10" s="148"/>
    </row>
    <row r="11" spans="1:14" ht="13">
      <c r="A11" s="248">
        <v>3</v>
      </c>
      <c r="C11" s="135">
        <v>0.27013888888888887</v>
      </c>
      <c r="D11" s="135"/>
      <c r="E11" s="135"/>
      <c r="F11" s="144"/>
      <c r="G11" s="135">
        <v>0.3611111111111111</v>
      </c>
      <c r="H11" s="135"/>
      <c r="I11" s="135"/>
      <c r="J11" s="135"/>
      <c r="K11" s="135"/>
      <c r="L11" s="144"/>
      <c r="M11" s="144"/>
      <c r="N11" s="144"/>
    </row>
    <row r="12" spans="1:14" ht="13">
      <c r="A12" s="249"/>
      <c r="B12" s="129"/>
      <c r="C12" s="129"/>
      <c r="D12" s="129"/>
      <c r="E12" s="129"/>
      <c r="F12" s="146"/>
      <c r="G12" s="146">
        <v>0.19513888888888889</v>
      </c>
      <c r="H12" s="129"/>
      <c r="I12" s="129"/>
      <c r="J12" s="129"/>
      <c r="K12" s="129"/>
      <c r="L12" s="129"/>
      <c r="M12" s="129"/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/>
      <c r="C15" s="133"/>
      <c r="D15" s="144"/>
      <c r="E15" s="135"/>
      <c r="F15" s="135"/>
      <c r="G15" s="144"/>
      <c r="H15" s="135"/>
      <c r="I15" s="135"/>
      <c r="J15" s="135"/>
      <c r="K15" s="135"/>
      <c r="L15" s="135"/>
      <c r="M15" s="135"/>
      <c r="N15" s="144"/>
    </row>
    <row r="16" spans="1:14" ht="13">
      <c r="A16" s="252"/>
      <c r="B16" s="146"/>
      <c r="C16" s="129"/>
      <c r="D16" s="129"/>
      <c r="E16" s="168"/>
      <c r="F16" s="130"/>
      <c r="G16" s="146"/>
      <c r="H16" s="168"/>
      <c r="I16" s="129"/>
      <c r="J16" s="129"/>
      <c r="K16" s="168"/>
      <c r="L16" s="168"/>
      <c r="M16" s="146"/>
      <c r="N16" s="146"/>
    </row>
    <row r="17" spans="1:26" ht="13">
      <c r="A17" s="252"/>
      <c r="B17" s="146"/>
      <c r="C17" s="129"/>
      <c r="D17" s="146"/>
      <c r="E17" s="129"/>
      <c r="F17" s="129"/>
      <c r="G17" s="146"/>
      <c r="H17" s="129"/>
      <c r="I17" s="129"/>
      <c r="J17" s="129"/>
      <c r="K17" s="129"/>
      <c r="L17" s="146"/>
      <c r="M17" s="146"/>
      <c r="N17" s="146"/>
    </row>
    <row r="18" spans="1:26" ht="13">
      <c r="A18" s="252"/>
      <c r="B18" s="146"/>
      <c r="C18" s="129"/>
      <c r="D18" s="146"/>
      <c r="E18" s="129"/>
      <c r="F18" s="129"/>
      <c r="G18" s="146"/>
      <c r="H18" s="129"/>
      <c r="I18" s="129"/>
      <c r="J18" s="129"/>
      <c r="K18" s="129"/>
      <c r="L18" s="146"/>
      <c r="M18" s="146"/>
      <c r="N18" s="146"/>
    </row>
    <row r="19" spans="1:26" ht="13">
      <c r="A19" s="252"/>
      <c r="B19" s="146"/>
      <c r="C19" s="129"/>
      <c r="D19" s="157"/>
      <c r="E19" s="129"/>
      <c r="F19" s="129"/>
      <c r="G19" s="146"/>
      <c r="H19" s="129"/>
      <c r="I19" s="129"/>
      <c r="J19" s="129"/>
      <c r="K19" s="129"/>
      <c r="L19" s="146"/>
      <c r="M19" s="146"/>
      <c r="N19" s="146"/>
    </row>
    <row r="20" spans="1:26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667</v>
      </c>
      <c r="B24" s="169">
        <v>42</v>
      </c>
      <c r="C24" s="169">
        <v>0</v>
      </c>
      <c r="D24" s="153">
        <f>B24/750</f>
        <v>5.6000000000000001E-2</v>
      </c>
      <c r="E24" s="153">
        <f>C24/200</f>
        <v>0</v>
      </c>
      <c r="G24" s="126" t="s">
        <v>667</v>
      </c>
      <c r="H24" s="139">
        <f>SUM(B3:B6)</f>
        <v>0.5854166666666667</v>
      </c>
      <c r="I24" s="169">
        <v>180</v>
      </c>
      <c r="J24" s="169">
        <v>55</v>
      </c>
      <c r="K24" s="153">
        <f>I24/750</f>
        <v>0.24</v>
      </c>
      <c r="L24" s="153">
        <f>J24/200</f>
        <v>0.27500000000000002</v>
      </c>
      <c r="N24" s="126" t="s">
        <v>667</v>
      </c>
      <c r="O24" s="139">
        <f>SUM(B7:B10)</f>
        <v>0.31944444444444448</v>
      </c>
      <c r="P24" s="169">
        <v>109</v>
      </c>
      <c r="Q24" s="169">
        <v>35</v>
      </c>
      <c r="R24" s="153">
        <f>P24/750</f>
        <v>0.14533333333333334</v>
      </c>
      <c r="S24" s="153">
        <f>Q24/200</f>
        <v>0.17499999999999999</v>
      </c>
      <c r="U24" s="126" t="s">
        <v>667</v>
      </c>
      <c r="V24" s="139">
        <f>SUM(B11:B14)</f>
        <v>0</v>
      </c>
      <c r="W24" s="126">
        <v>128</v>
      </c>
      <c r="X24" s="126">
        <v>33</v>
      </c>
      <c r="Y24" s="153">
        <f>W24/750</f>
        <v>0.17066666666666666</v>
      </c>
      <c r="Z24" s="153">
        <f>X24/200</f>
        <v>0.16500000000000001</v>
      </c>
    </row>
    <row r="25" spans="1:26" ht="22.5" customHeight="1">
      <c r="A25" s="126" t="s">
        <v>650</v>
      </c>
      <c r="B25" s="169">
        <v>26</v>
      </c>
      <c r="C25" s="169">
        <v>0</v>
      </c>
      <c r="D25" s="153">
        <f>B25/720</f>
        <v>3.6111111111111108E-2</v>
      </c>
      <c r="E25" s="153">
        <f>C25/65</f>
        <v>0</v>
      </c>
      <c r="G25" s="126" t="s">
        <v>650</v>
      </c>
      <c r="H25" s="139">
        <f>SUM(C3:C6)</f>
        <v>0.44722222222222224</v>
      </c>
      <c r="I25" s="169">
        <v>110</v>
      </c>
      <c r="J25" s="169">
        <v>8</v>
      </c>
      <c r="K25" s="153">
        <f>I25/720</f>
        <v>0.15277777777777779</v>
      </c>
      <c r="L25" s="153">
        <f>J25/65</f>
        <v>0.12307692307692308</v>
      </c>
      <c r="N25" s="126" t="s">
        <v>650</v>
      </c>
      <c r="O25" s="139">
        <f>SUM(C7:C10)</f>
        <v>0.3611111111111111</v>
      </c>
      <c r="P25" s="169">
        <v>66</v>
      </c>
      <c r="Q25" s="169">
        <v>6</v>
      </c>
      <c r="R25" s="153">
        <f>P25/720</f>
        <v>9.166666666666666E-2</v>
      </c>
      <c r="S25" s="153">
        <f>Q25/65</f>
        <v>9.2307692307692313E-2</v>
      </c>
      <c r="U25" s="126" t="s">
        <v>650</v>
      </c>
      <c r="V25" s="139">
        <f>SUM(C11:C14)</f>
        <v>0.27013888888888887</v>
      </c>
      <c r="W25" s="126">
        <v>62</v>
      </c>
      <c r="X25" s="126">
        <v>4</v>
      </c>
      <c r="Y25" s="153">
        <f>W25/720</f>
        <v>8.611111111111111E-2</v>
      </c>
      <c r="Z25" s="153">
        <f>X25/65</f>
        <v>6.1538461538461542E-2</v>
      </c>
    </row>
    <row r="26" spans="1:26" ht="22.5" customHeight="1">
      <c r="A26" s="126" t="s">
        <v>651</v>
      </c>
      <c r="B26" s="169">
        <v>86</v>
      </c>
      <c r="C26" s="169">
        <v>1</v>
      </c>
      <c r="D26" s="153">
        <f>B26/750</f>
        <v>0.11466666666666667</v>
      </c>
      <c r="E26" s="153">
        <f>C26/185</f>
        <v>5.4054054054054057E-3</v>
      </c>
      <c r="G26" s="126" t="s">
        <v>651</v>
      </c>
      <c r="H26" s="139">
        <f>SUM($D3:$D6)</f>
        <v>0.13819444444444445</v>
      </c>
      <c r="I26" s="169">
        <v>34</v>
      </c>
      <c r="J26" s="169">
        <v>4</v>
      </c>
      <c r="K26" s="153">
        <f>I26/750</f>
        <v>4.5333333333333337E-2</v>
      </c>
      <c r="L26" s="153">
        <f>J26/185</f>
        <v>2.1621621621621623E-2</v>
      </c>
      <c r="N26" s="126" t="s">
        <v>651</v>
      </c>
      <c r="O26" s="139">
        <f>SUM(D7:D10)</f>
        <v>0.68055555555555558</v>
      </c>
      <c r="P26" s="169">
        <v>173</v>
      </c>
      <c r="Q26" s="169">
        <v>22</v>
      </c>
      <c r="R26" s="153">
        <f>P26/750</f>
        <v>0.23066666666666666</v>
      </c>
      <c r="S26" s="153">
        <f>Q26/185</f>
        <v>0.11891891891891893</v>
      </c>
      <c r="U26" s="126" t="s">
        <v>651</v>
      </c>
      <c r="V26" s="139">
        <f>SUM(D11:D14)</f>
        <v>0</v>
      </c>
      <c r="W26" s="126">
        <v>57</v>
      </c>
      <c r="X26" s="126">
        <v>7</v>
      </c>
      <c r="Y26" s="153">
        <f>W26/750</f>
        <v>7.5999999999999998E-2</v>
      </c>
      <c r="Z26" s="153">
        <f>X26/185</f>
        <v>3.783783783783784E-2</v>
      </c>
    </row>
    <row r="27" spans="1:26" ht="22.5" customHeight="1">
      <c r="A27" s="126" t="s">
        <v>652</v>
      </c>
      <c r="B27" s="169">
        <v>86</v>
      </c>
      <c r="C27" s="169">
        <v>1</v>
      </c>
      <c r="D27" s="153">
        <f>B27/700</f>
        <v>0.12285714285714286</v>
      </c>
      <c r="E27" s="153">
        <f>C27/220</f>
        <v>4.5454545454545452E-3</v>
      </c>
      <c r="G27" s="126" t="s">
        <v>652</v>
      </c>
      <c r="H27" s="139">
        <f>SUM(E3:E6)</f>
        <v>0</v>
      </c>
      <c r="I27" s="169"/>
      <c r="J27" s="169"/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</v>
      </c>
      <c r="P27" s="169"/>
      <c r="Q27" s="169"/>
      <c r="R27" s="153">
        <f>P27/700</f>
        <v>0</v>
      </c>
      <c r="S27" s="153">
        <f t="shared" ref="S27:S28" si="1">Q27/220</f>
        <v>0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</row>
    <row r="28" spans="1:26" ht="22.5" customHeight="1">
      <c r="A28" s="126" t="s">
        <v>655</v>
      </c>
      <c r="B28" s="169">
        <v>62</v>
      </c>
      <c r="C28" s="169">
        <v>2</v>
      </c>
      <c r="D28" s="153">
        <f>B28/800</f>
        <v>7.7499999999999999E-2</v>
      </c>
      <c r="E28" s="153">
        <f>C29/220</f>
        <v>9.0909090909090905E-3</v>
      </c>
      <c r="G28" s="126" t="s">
        <v>655</v>
      </c>
      <c r="H28" s="139">
        <f>SUM(F3:F6)</f>
        <v>0.13819444444444445</v>
      </c>
      <c r="I28" s="126">
        <v>34</v>
      </c>
      <c r="J28" s="126">
        <v>8</v>
      </c>
      <c r="K28" s="153">
        <f>I28/800</f>
        <v>4.2500000000000003E-2</v>
      </c>
      <c r="L28" s="153">
        <f t="shared" si="0"/>
        <v>3.6363636363636362E-2</v>
      </c>
      <c r="N28" s="126" t="s">
        <v>655</v>
      </c>
      <c r="O28" s="139">
        <f>SUM(F7:F10)</f>
        <v>0.36805555555555558</v>
      </c>
      <c r="P28" s="169">
        <v>72</v>
      </c>
      <c r="Q28" s="169">
        <v>17</v>
      </c>
      <c r="R28" s="153">
        <f>P28/800</f>
        <v>0.09</v>
      </c>
      <c r="S28" s="153">
        <f t="shared" si="1"/>
        <v>7.7272727272727271E-2</v>
      </c>
      <c r="U28" s="126" t="s">
        <v>655</v>
      </c>
      <c r="V28" s="139">
        <f>SUM(F11:F14)</f>
        <v>0</v>
      </c>
      <c r="W28" s="126">
        <v>51</v>
      </c>
      <c r="X28" s="126">
        <v>5</v>
      </c>
      <c r="Y28" s="153">
        <f>W28/800</f>
        <v>6.3750000000000001E-2</v>
      </c>
      <c r="Z28" s="153">
        <f t="shared" si="2"/>
        <v>2.2727272727272728E-2</v>
      </c>
    </row>
    <row r="29" spans="1:26" ht="22.5" customHeight="1">
      <c r="A29" s="126" t="s">
        <v>653</v>
      </c>
      <c r="B29" s="169">
        <v>83</v>
      </c>
      <c r="C29" s="169">
        <v>2</v>
      </c>
      <c r="D29" s="153">
        <f>B29/820</f>
        <v>0.10121951219512196</v>
      </c>
      <c r="E29" s="153">
        <f>C30/240</f>
        <v>3.3333333333333333E-2</v>
      </c>
      <c r="G29" s="126" t="s">
        <v>653</v>
      </c>
      <c r="H29" s="139">
        <f>SUM(G3:G6)</f>
        <v>10.168749999999999</v>
      </c>
      <c r="I29" s="169">
        <v>147</v>
      </c>
      <c r="J29" s="169">
        <v>17</v>
      </c>
      <c r="K29" s="153">
        <f>I29/820</f>
        <v>0.17926829268292682</v>
      </c>
      <c r="L29" s="153">
        <f>J29/240</f>
        <v>7.0833333333333331E-2</v>
      </c>
      <c r="N29" s="126" t="s">
        <v>653</v>
      </c>
      <c r="O29" s="139">
        <f>SUM(G7:G10)</f>
        <v>0.63680555555555562</v>
      </c>
      <c r="P29" s="169">
        <v>138</v>
      </c>
      <c r="Q29" s="169">
        <v>20</v>
      </c>
      <c r="R29" s="153">
        <f>P29/820</f>
        <v>0.16829268292682928</v>
      </c>
      <c r="S29" s="153">
        <f>Q29/240</f>
        <v>8.3333333333333329E-2</v>
      </c>
      <c r="U29" s="126" t="s">
        <v>653</v>
      </c>
      <c r="V29" s="139">
        <f>SUM(G11:G14)</f>
        <v>0.55625000000000002</v>
      </c>
      <c r="W29" s="126">
        <v>159</v>
      </c>
      <c r="X29" s="126">
        <v>28</v>
      </c>
      <c r="Y29" s="153">
        <f>W29/820</f>
        <v>0.19390243902439025</v>
      </c>
      <c r="Z29" s="153">
        <f>X29/240</f>
        <v>0.11666666666666667</v>
      </c>
    </row>
    <row r="30" spans="1:26" ht="22.5" customHeight="1">
      <c r="A30" s="126" t="s">
        <v>654</v>
      </c>
      <c r="B30" s="169">
        <v>95</v>
      </c>
      <c r="C30" s="169">
        <v>8</v>
      </c>
      <c r="D30" s="153">
        <f>B30/620</f>
        <v>0.15322580645161291</v>
      </c>
      <c r="E30" s="153">
        <f>C31/90</f>
        <v>1.1111111111111112E-2</v>
      </c>
      <c r="G30" s="126" t="s">
        <v>654</v>
      </c>
      <c r="H30" s="139">
        <f>SUM(H3:H6)</f>
        <v>0</v>
      </c>
      <c r="I30" s="169"/>
      <c r="J30" s="169"/>
      <c r="K30" s="153">
        <f>I30/620</f>
        <v>0</v>
      </c>
      <c r="L30" s="153">
        <f>J30/90</f>
        <v>0</v>
      </c>
      <c r="N30" s="126" t="s">
        <v>654</v>
      </c>
      <c r="O30" s="139">
        <f>SUM(H7:H10)</f>
        <v>0</v>
      </c>
      <c r="P30" s="169"/>
      <c r="Q30" s="169"/>
      <c r="R30" s="153">
        <f>P30/620</f>
        <v>0</v>
      </c>
      <c r="S30" s="153">
        <f>Q30/90</f>
        <v>0</v>
      </c>
      <c r="U30" s="126" t="s">
        <v>654</v>
      </c>
      <c r="V30" s="139">
        <f>SUM(H11:H14)</f>
        <v>0</v>
      </c>
      <c r="Y30" s="153">
        <f>W30/620</f>
        <v>0</v>
      </c>
      <c r="Z30" s="153">
        <f>X30/90</f>
        <v>0</v>
      </c>
    </row>
    <row r="31" spans="1:26" ht="22.5" customHeight="1">
      <c r="A31" s="126" t="s">
        <v>659</v>
      </c>
      <c r="B31" s="169">
        <v>86</v>
      </c>
      <c r="C31" s="169">
        <v>1</v>
      </c>
      <c r="D31" s="153">
        <f>B31/820</f>
        <v>0.1048780487804878</v>
      </c>
      <c r="E31" s="153">
        <f>C32/200</f>
        <v>0.02</v>
      </c>
      <c r="G31" s="126" t="s">
        <v>659</v>
      </c>
      <c r="H31" s="139">
        <f>SUM(I3:I6)</f>
        <v>0.13819444444444445</v>
      </c>
      <c r="I31" s="169">
        <v>43</v>
      </c>
      <c r="J31" s="169">
        <v>43</v>
      </c>
      <c r="K31" s="153">
        <f>I31/820</f>
        <v>5.24390243902439E-2</v>
      </c>
      <c r="L31" s="153">
        <f>J31/200</f>
        <v>0.215</v>
      </c>
      <c r="N31" s="126" t="s">
        <v>659</v>
      </c>
      <c r="O31" s="154">
        <f>SUM(I7:I10)</f>
        <v>0.68055555555555558</v>
      </c>
      <c r="P31" s="169">
        <v>185</v>
      </c>
      <c r="Q31" s="169">
        <v>45</v>
      </c>
      <c r="R31" s="153">
        <f>P31/820</f>
        <v>0.22560975609756098</v>
      </c>
      <c r="S31" s="153">
        <f>Q31/200</f>
        <v>0.22500000000000001</v>
      </c>
      <c r="U31" s="126" t="s">
        <v>659</v>
      </c>
      <c r="V31" s="139">
        <f>SUM(I11:I14)</f>
        <v>0</v>
      </c>
      <c r="W31" s="126">
        <v>117</v>
      </c>
      <c r="X31" s="126">
        <v>25</v>
      </c>
      <c r="Y31" s="153">
        <f>W31/820</f>
        <v>0.14268292682926828</v>
      </c>
      <c r="Z31" s="153">
        <f>X31/200</f>
        <v>0.125</v>
      </c>
    </row>
    <row r="32" spans="1:26" ht="22.5" customHeight="1">
      <c r="A32" s="126" t="s">
        <v>660</v>
      </c>
      <c r="B32" s="169">
        <v>72</v>
      </c>
      <c r="C32" s="169">
        <v>4</v>
      </c>
      <c r="D32" s="153">
        <f>B32/505</f>
        <v>0.14257425742574256</v>
      </c>
      <c r="E32" s="153">
        <f>C33/42</f>
        <v>4.7619047619047616E-2</v>
      </c>
      <c r="G32" s="126" t="s">
        <v>660</v>
      </c>
      <c r="H32" s="139">
        <f>SUM(J3:J6)</f>
        <v>0</v>
      </c>
      <c r="I32" s="169"/>
      <c r="J32" s="169"/>
      <c r="K32" s="153">
        <f>I32/505</f>
        <v>0</v>
      </c>
      <c r="L32" s="153">
        <f>J32/42</f>
        <v>0</v>
      </c>
      <c r="N32" s="126" t="s">
        <v>660</v>
      </c>
      <c r="O32" s="139">
        <f>SUM(J7:J10)</f>
        <v>0</v>
      </c>
      <c r="P32" s="169"/>
      <c r="R32" s="153">
        <f>P32/505</f>
        <v>0</v>
      </c>
      <c r="S32" s="153">
        <f>Q32/42</f>
        <v>0</v>
      </c>
      <c r="U32" s="126" t="s">
        <v>660</v>
      </c>
      <c r="V32" s="139">
        <f>SUM(J11:J14)</f>
        <v>0</v>
      </c>
      <c r="Y32" s="153">
        <f>W32/505</f>
        <v>0</v>
      </c>
      <c r="Z32" s="153">
        <f>X32/42</f>
        <v>0</v>
      </c>
    </row>
    <row r="33" spans="1:26" ht="22.5" customHeight="1">
      <c r="A33" s="126" t="s">
        <v>661</v>
      </c>
      <c r="B33" s="169">
        <v>107</v>
      </c>
      <c r="C33" s="169">
        <v>2</v>
      </c>
      <c r="D33" s="153">
        <f>B33/740</f>
        <v>0.14459459459459459</v>
      </c>
      <c r="E33" s="153">
        <f>C34/215</f>
        <v>0</v>
      </c>
      <c r="G33" s="126" t="s">
        <v>661</v>
      </c>
      <c r="H33" s="139">
        <f>SUM(K3:K6)</f>
        <v>0</v>
      </c>
      <c r="I33" s="169"/>
      <c r="J33" s="169"/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P33" s="169"/>
      <c r="Q33" s="169"/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</row>
    <row r="34" spans="1:26" ht="22.5" customHeight="1">
      <c r="A34" s="126" t="s">
        <v>662</v>
      </c>
      <c r="B34" s="169">
        <v>89</v>
      </c>
      <c r="C34" s="169">
        <v>0</v>
      </c>
      <c r="D34" s="153">
        <f>B34/800</f>
        <v>0.11125</v>
      </c>
      <c r="E34" s="153">
        <f>C35/170</f>
        <v>1.1764705882352941E-2</v>
      </c>
      <c r="G34" s="126" t="s">
        <v>662</v>
      </c>
      <c r="H34" s="139">
        <f>SUM(L3:L6)</f>
        <v>0.44722222222222224</v>
      </c>
      <c r="I34" s="169">
        <v>132</v>
      </c>
      <c r="J34" s="169">
        <v>18</v>
      </c>
      <c r="K34" s="153">
        <f>I34/800</f>
        <v>0.16500000000000001</v>
      </c>
      <c r="L34" s="153">
        <f>J34/170</f>
        <v>0.10588235294117647</v>
      </c>
      <c r="N34" s="126" t="s">
        <v>662</v>
      </c>
      <c r="O34" s="139">
        <f>SUM(L7:L10)</f>
        <v>4.3749999999999997E-2</v>
      </c>
      <c r="P34" s="169">
        <v>14</v>
      </c>
      <c r="Q34" s="169">
        <v>3</v>
      </c>
      <c r="R34" s="153">
        <f>P34/800</f>
        <v>1.7500000000000002E-2</v>
      </c>
      <c r="S34" s="153">
        <f>Q34/170</f>
        <v>1.7647058823529412E-2</v>
      </c>
      <c r="U34" s="126" t="s">
        <v>662</v>
      </c>
      <c r="V34" s="139">
        <f>SUM(L11:L14)</f>
        <v>0</v>
      </c>
      <c r="W34" s="126">
        <v>179</v>
      </c>
      <c r="X34" s="126">
        <v>32</v>
      </c>
      <c r="Y34" s="153">
        <f>W34/800</f>
        <v>0.22375</v>
      </c>
      <c r="Z34" s="153">
        <f>X34/170</f>
        <v>0.18823529411764706</v>
      </c>
    </row>
    <row r="35" spans="1:26" ht="22.5" customHeight="1">
      <c r="A35" s="126" t="s">
        <v>663</v>
      </c>
      <c r="B35" s="169">
        <v>90</v>
      </c>
      <c r="C35" s="169">
        <v>2</v>
      </c>
      <c r="D35" s="153">
        <f>B35/580</f>
        <v>0.15517241379310345</v>
      </c>
      <c r="E35" s="153">
        <f>C36/75</f>
        <v>0</v>
      </c>
      <c r="G35" s="126" t="s">
        <v>663</v>
      </c>
      <c r="H35" s="139">
        <f>SUM(M3:M6)</f>
        <v>0.44722222222222224</v>
      </c>
      <c r="I35" s="169">
        <v>118</v>
      </c>
      <c r="J35" s="169">
        <v>12</v>
      </c>
      <c r="K35" s="153">
        <f>I35/580</f>
        <v>0.20344827586206896</v>
      </c>
      <c r="L35" s="153">
        <f>J35/75</f>
        <v>0.16</v>
      </c>
      <c r="N35" s="126" t="s">
        <v>663</v>
      </c>
      <c r="O35" s="139">
        <f>SUM(M7:M10)</f>
        <v>0.3125</v>
      </c>
      <c r="P35" s="169">
        <v>80</v>
      </c>
      <c r="Q35" s="169">
        <v>6</v>
      </c>
      <c r="R35" s="153">
        <f>P35/580</f>
        <v>0.13793103448275862</v>
      </c>
      <c r="S35" s="153">
        <f>Q35/75</f>
        <v>0.08</v>
      </c>
      <c r="U35" s="126" t="s">
        <v>663</v>
      </c>
      <c r="V35" s="139">
        <f>SUM(M11:M14)</f>
        <v>0</v>
      </c>
      <c r="W35" s="126">
        <v>98</v>
      </c>
      <c r="X35" s="126">
        <v>13</v>
      </c>
      <c r="Y35" s="153">
        <f>W35/580</f>
        <v>0.16896551724137931</v>
      </c>
      <c r="Z35" s="153">
        <f>X35/75</f>
        <v>0.17333333333333334</v>
      </c>
    </row>
    <row r="36" spans="1:26" ht="22.5" customHeight="1">
      <c r="A36" s="126" t="s">
        <v>664</v>
      </c>
      <c r="B36" s="169">
        <v>79</v>
      </c>
      <c r="C36" s="169"/>
      <c r="D36" s="153">
        <f>B36/720</f>
        <v>0.10972222222222222</v>
      </c>
      <c r="E36" s="153">
        <f>C36/100</f>
        <v>0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 t="shared" ref="B37:C37" si="3">AVERAGE(B24:B36)</f>
        <v>77.15384615384616</v>
      </c>
      <c r="C37" s="126">
        <f t="shared" si="3"/>
        <v>1.9166666666666667</v>
      </c>
      <c r="D37" s="153">
        <f t="shared" ref="D37:E37" si="4">SUM(D24:D36)</f>
        <v>1.4297717760978061</v>
      </c>
      <c r="E37" s="153">
        <f t="shared" si="4"/>
        <v>0.14286996698761406</v>
      </c>
      <c r="G37" s="126" t="s">
        <v>671</v>
      </c>
      <c r="H37" s="139">
        <f>SUM(H24:H36)</f>
        <v>12.510416666666668</v>
      </c>
      <c r="I37" s="126"/>
      <c r="J37" s="126"/>
      <c r="K37" s="153">
        <f t="shared" ref="K37:L37" si="5">SUM(K24:K36)</f>
        <v>1.0807667040463509</v>
      </c>
      <c r="L37" s="153">
        <f t="shared" si="5"/>
        <v>1.0077778673366908</v>
      </c>
      <c r="N37" s="126" t="s">
        <v>671</v>
      </c>
      <c r="O37" s="139"/>
      <c r="P37" s="126"/>
      <c r="Q37" s="126"/>
      <c r="R37" s="153">
        <f t="shared" ref="R37:S37" si="6">SUM(R24:R36)</f>
        <v>1.1070001401738154</v>
      </c>
      <c r="S37" s="153">
        <f t="shared" si="6"/>
        <v>0.86947973065620121</v>
      </c>
      <c r="U37" s="126" t="s">
        <v>671</v>
      </c>
      <c r="V37" s="139">
        <f>SUM(V24:V36)</f>
        <v>0.82638888888888884</v>
      </c>
      <c r="W37" s="126"/>
      <c r="X37" s="126"/>
      <c r="Y37" s="153">
        <f t="shared" ref="Y37:Z37" si="7">SUM(Y24:Y36)</f>
        <v>1.1258286608728156</v>
      </c>
      <c r="Z37" s="153">
        <f t="shared" si="7"/>
        <v>0.89033886622121916</v>
      </c>
    </row>
    <row r="39" spans="1:26" ht="13">
      <c r="O39" s="1" t="s">
        <v>690</v>
      </c>
      <c r="W39" s="228"/>
      <c r="X39" s="227"/>
      <c r="Y39" s="227"/>
      <c r="Z39" s="227"/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 t="s">
        <v>16</v>
      </c>
      <c r="P40" s="1" t="s">
        <v>105</v>
      </c>
      <c r="Q40" s="1" t="s">
        <v>668</v>
      </c>
    </row>
    <row r="41" spans="1:26" ht="22.5" customHeight="1">
      <c r="A41" s="126" t="s">
        <v>667</v>
      </c>
      <c r="B41" s="139">
        <f>SUM(B15:B21)</f>
        <v>0</v>
      </c>
      <c r="E41" s="153">
        <f>C41/750</f>
        <v>0</v>
      </c>
      <c r="F41" s="153">
        <f>D41/200</f>
        <v>0</v>
      </c>
      <c r="H41" s="126" t="s">
        <v>667</v>
      </c>
      <c r="I41" s="139">
        <f t="shared" ref="I41:I54" si="8">SUM(H24,O24,V24,B41)</f>
        <v>0.90486111111111112</v>
      </c>
      <c r="J41" s="126">
        <f t="shared" ref="J41:M41" si="9">SUM(B24,I24,P24,W24,C41)</f>
        <v>459</v>
      </c>
      <c r="K41" s="126">
        <f t="shared" si="9"/>
        <v>123</v>
      </c>
      <c r="L41" s="153">
        <f t="shared" si="9"/>
        <v>0.61199999999999999</v>
      </c>
      <c r="M41" s="153">
        <f t="shared" si="9"/>
        <v>0.61499999999999999</v>
      </c>
      <c r="O41" s="1" t="s">
        <v>667</v>
      </c>
      <c r="R41" s="47"/>
      <c r="S41" s="47"/>
    </row>
    <row r="42" spans="1:26" ht="22.5" customHeight="1">
      <c r="A42" s="126" t="s">
        <v>650</v>
      </c>
      <c r="B42" s="139">
        <f>SUM(C15:C21)</f>
        <v>0</v>
      </c>
      <c r="E42" s="153">
        <f>C42/720</f>
        <v>0</v>
      </c>
      <c r="F42" s="153">
        <f>D42/65</f>
        <v>0</v>
      </c>
      <c r="H42" s="126" t="s">
        <v>650</v>
      </c>
      <c r="I42" s="139">
        <f t="shared" si="8"/>
        <v>1.0784722222222223</v>
      </c>
      <c r="J42" s="126">
        <f t="shared" ref="J42:M42" si="10">SUM(B25,I25,P25,W25,C42)</f>
        <v>264</v>
      </c>
      <c r="K42" s="126">
        <f t="shared" si="10"/>
        <v>18</v>
      </c>
      <c r="L42" s="153">
        <f t="shared" si="10"/>
        <v>0.3666666666666667</v>
      </c>
      <c r="M42" s="153">
        <f t="shared" si="10"/>
        <v>0.27692307692307694</v>
      </c>
      <c r="O42" s="1" t="s">
        <v>650</v>
      </c>
      <c r="R42" s="160"/>
      <c r="S42" s="47"/>
    </row>
    <row r="43" spans="1:26" ht="22.5" customHeight="1">
      <c r="A43" s="126" t="s">
        <v>651</v>
      </c>
      <c r="B43" s="139">
        <f>SUM(D15:D21)</f>
        <v>0</v>
      </c>
      <c r="E43" s="153">
        <f>C43/750</f>
        <v>0</v>
      </c>
      <c r="F43" s="153">
        <f>D43/185</f>
        <v>0</v>
      </c>
      <c r="H43" s="126" t="s">
        <v>651</v>
      </c>
      <c r="I43" s="139">
        <f t="shared" si="8"/>
        <v>0.81875000000000009</v>
      </c>
      <c r="J43" s="126">
        <f t="shared" ref="J43:M43" si="11">SUM(B26,I26,P26,W26,C43)</f>
        <v>350</v>
      </c>
      <c r="K43" s="126">
        <f t="shared" si="11"/>
        <v>34</v>
      </c>
      <c r="L43" s="153">
        <f t="shared" si="11"/>
        <v>0.46666666666666667</v>
      </c>
      <c r="M43" s="153">
        <f t="shared" si="11"/>
        <v>0.18378378378378379</v>
      </c>
      <c r="O43" s="1" t="s">
        <v>651</v>
      </c>
      <c r="R43" s="47"/>
      <c r="S43" s="47"/>
    </row>
    <row r="44" spans="1:26" ht="22.5" customHeight="1">
      <c r="A44" s="126" t="s">
        <v>652</v>
      </c>
      <c r="B44" s="139">
        <f>SUM(E15:E21)</f>
        <v>0</v>
      </c>
      <c r="E44" s="153">
        <f>C44/700</f>
        <v>0</v>
      </c>
      <c r="F44" s="153">
        <f>D44/220</f>
        <v>0</v>
      </c>
      <c r="H44" s="126" t="s">
        <v>652</v>
      </c>
      <c r="I44" s="139">
        <f t="shared" si="8"/>
        <v>0</v>
      </c>
      <c r="J44" s="126">
        <f t="shared" ref="J44:M44" si="12">SUM(B27,I27,P27,W27,C44)</f>
        <v>86</v>
      </c>
      <c r="K44" s="126">
        <f t="shared" si="12"/>
        <v>1</v>
      </c>
      <c r="L44" s="153">
        <f t="shared" si="12"/>
        <v>0.12285714285714286</v>
      </c>
      <c r="M44" s="153">
        <f t="shared" si="12"/>
        <v>4.5454545454545452E-3</v>
      </c>
      <c r="O44" s="1" t="s">
        <v>652</v>
      </c>
      <c r="R44" s="47"/>
      <c r="S44" s="47"/>
    </row>
    <row r="45" spans="1:26" ht="22.5" customHeight="1">
      <c r="A45" s="126" t="s">
        <v>655</v>
      </c>
      <c r="B45" s="139">
        <f>SUM(F15:F21)</f>
        <v>0</v>
      </c>
      <c r="E45" s="153">
        <f>C45/800</f>
        <v>0</v>
      </c>
      <c r="F45" s="153">
        <f>D46/220</f>
        <v>0</v>
      </c>
      <c r="H45" s="126" t="s">
        <v>655</v>
      </c>
      <c r="I45" s="139">
        <f t="shared" si="8"/>
        <v>0.50625000000000009</v>
      </c>
      <c r="J45" s="126">
        <f t="shared" ref="J45:J54" si="13">SUM(B28,I28,P28,W28,C45)</f>
        <v>219</v>
      </c>
      <c r="K45" s="126">
        <f t="shared" ref="K45:K52" si="14">SUM(C29,J28,Q28,X28,D46)</f>
        <v>32</v>
      </c>
      <c r="L45" s="153">
        <f t="shared" ref="L45:M45" si="15">SUM(D28,K28,R28,Y28,E45)</f>
        <v>0.27374999999999999</v>
      </c>
      <c r="M45" s="153">
        <f t="shared" si="15"/>
        <v>0.14545454545454545</v>
      </c>
      <c r="O45" s="1" t="s">
        <v>655</v>
      </c>
      <c r="R45" s="47"/>
      <c r="S45" s="47"/>
    </row>
    <row r="46" spans="1:26" ht="22.5" customHeight="1">
      <c r="A46" s="126" t="s">
        <v>653</v>
      </c>
      <c r="B46" s="139">
        <f>SUM(G15:G21)</f>
        <v>0</v>
      </c>
      <c r="E46" s="153">
        <f t="shared" ref="E46:F46" si="16">C46/820</f>
        <v>0</v>
      </c>
      <c r="F46" s="153">
        <f t="shared" si="16"/>
        <v>0</v>
      </c>
      <c r="H46" s="126" t="s">
        <v>653</v>
      </c>
      <c r="I46" s="139">
        <f t="shared" si="8"/>
        <v>11.361805555555556</v>
      </c>
      <c r="J46" s="126">
        <f t="shared" si="13"/>
        <v>527</v>
      </c>
      <c r="K46" s="126">
        <f t="shared" si="14"/>
        <v>73</v>
      </c>
      <c r="L46" s="153">
        <f t="shared" ref="L46:M46" si="17">SUM(D29,K29,R29,Y29,E46)</f>
        <v>0.64268292682926842</v>
      </c>
      <c r="M46" s="153">
        <f t="shared" si="17"/>
        <v>0.3041666666666667</v>
      </c>
      <c r="O46" s="1" t="s">
        <v>659</v>
      </c>
      <c r="R46" s="47"/>
      <c r="S46" s="47"/>
    </row>
    <row r="47" spans="1:26" ht="22.5" customHeight="1">
      <c r="A47" s="126" t="s">
        <v>654</v>
      </c>
      <c r="B47" s="139">
        <f>SUM(H15:H21)</f>
        <v>0</v>
      </c>
      <c r="E47" s="153">
        <f>C47/620</f>
        <v>0</v>
      </c>
      <c r="F47" s="153">
        <f>D47/820</f>
        <v>0</v>
      </c>
      <c r="H47" s="126" t="s">
        <v>654</v>
      </c>
      <c r="I47" s="139">
        <f t="shared" si="8"/>
        <v>0</v>
      </c>
      <c r="J47" s="126">
        <f t="shared" si="13"/>
        <v>95</v>
      </c>
      <c r="K47" s="126">
        <f t="shared" si="14"/>
        <v>1</v>
      </c>
      <c r="L47" s="153">
        <f t="shared" ref="L47:M47" si="18">SUM(D30,K30,R30,Y30,E47)</f>
        <v>0.15322580645161291</v>
      </c>
      <c r="M47" s="153">
        <f t="shared" si="18"/>
        <v>1.1111111111111112E-2</v>
      </c>
      <c r="O47" s="1" t="s">
        <v>691</v>
      </c>
      <c r="R47" s="47"/>
      <c r="S47" s="160"/>
    </row>
    <row r="48" spans="1:26" ht="22.5" customHeight="1">
      <c r="A48" s="126" t="s">
        <v>659</v>
      </c>
      <c r="B48" s="139">
        <f>SUM(I15:I21)</f>
        <v>0</v>
      </c>
      <c r="E48" s="153">
        <f t="shared" ref="E48:F48" si="19">C48/820</f>
        <v>0</v>
      </c>
      <c r="F48" s="153">
        <f t="shared" si="19"/>
        <v>0</v>
      </c>
      <c r="H48" s="126" t="s">
        <v>659</v>
      </c>
      <c r="I48" s="139">
        <f t="shared" si="8"/>
        <v>0.81875000000000009</v>
      </c>
      <c r="J48" s="126">
        <f t="shared" si="13"/>
        <v>431</v>
      </c>
      <c r="K48" s="126">
        <f t="shared" si="14"/>
        <v>117</v>
      </c>
      <c r="L48" s="153">
        <f t="shared" ref="L48:M48" si="20">SUM(D31,K31,R31,Y31,E48)</f>
        <v>0.525609756097561</v>
      </c>
      <c r="M48" s="153">
        <f t="shared" si="20"/>
        <v>0.58499999999999996</v>
      </c>
      <c r="O48" s="1" t="s">
        <v>661</v>
      </c>
      <c r="R48" s="160"/>
      <c r="S48" s="160"/>
    </row>
    <row r="49" spans="1:28" ht="22.5" customHeight="1">
      <c r="A49" s="126" t="s">
        <v>660</v>
      </c>
      <c r="B49" s="139">
        <f>SUM(J15:J21)</f>
        <v>0</v>
      </c>
      <c r="E49" s="153">
        <f>C49/505</f>
        <v>0</v>
      </c>
      <c r="F49" s="153">
        <f t="shared" ref="F49:F53" si="21">D49/820</f>
        <v>0</v>
      </c>
      <c r="H49" s="126" t="s">
        <v>660</v>
      </c>
      <c r="I49" s="139">
        <f t="shared" si="8"/>
        <v>0</v>
      </c>
      <c r="J49" s="126">
        <f t="shared" si="13"/>
        <v>72</v>
      </c>
      <c r="K49" s="126">
        <f t="shared" si="14"/>
        <v>2</v>
      </c>
      <c r="L49" s="153">
        <f t="shared" ref="L49:M49" si="22">SUM(D32,K32,R32,Y32,E49)</f>
        <v>0.14257425742574256</v>
      </c>
      <c r="M49" s="153">
        <f t="shared" si="22"/>
        <v>4.7619047619047616E-2</v>
      </c>
      <c r="O49" s="1" t="s">
        <v>662</v>
      </c>
      <c r="R49" s="160"/>
      <c r="S49" s="160"/>
    </row>
    <row r="50" spans="1:28" ht="22.5" customHeight="1">
      <c r="A50" s="126" t="s">
        <v>661</v>
      </c>
      <c r="B50" s="139">
        <f>SUM(K15:K21)</f>
        <v>0</v>
      </c>
      <c r="E50" s="153">
        <f>C50/740</f>
        <v>0</v>
      </c>
      <c r="F50" s="153">
        <f t="shared" si="21"/>
        <v>0</v>
      </c>
      <c r="H50" s="126" t="s">
        <v>661</v>
      </c>
      <c r="I50" s="139">
        <f t="shared" si="8"/>
        <v>0</v>
      </c>
      <c r="J50" s="126">
        <f t="shared" si="13"/>
        <v>107</v>
      </c>
      <c r="K50" s="126">
        <f t="shared" si="14"/>
        <v>0</v>
      </c>
      <c r="L50" s="153">
        <f t="shared" ref="L50:M50" si="23">SUM(D33,K33,R33,Y33,E50)</f>
        <v>0.14459459459459459</v>
      </c>
      <c r="M50" s="153">
        <f t="shared" si="23"/>
        <v>0</v>
      </c>
      <c r="O50" s="1" t="s">
        <v>663</v>
      </c>
      <c r="P50" s="1"/>
      <c r="Q50" s="1"/>
      <c r="R50" s="1"/>
      <c r="S50" s="1"/>
    </row>
    <row r="51" spans="1:28" ht="22.5" customHeight="1">
      <c r="A51" s="126" t="s">
        <v>662</v>
      </c>
      <c r="B51" s="139">
        <f>SUM(L15:L21)</f>
        <v>0</v>
      </c>
      <c r="E51" s="153">
        <f>C51/800</f>
        <v>0</v>
      </c>
      <c r="F51" s="153">
        <f t="shared" si="21"/>
        <v>0</v>
      </c>
      <c r="H51" s="126" t="s">
        <v>662</v>
      </c>
      <c r="I51" s="139">
        <f t="shared" si="8"/>
        <v>0.49097222222222225</v>
      </c>
      <c r="J51" s="126">
        <f t="shared" si="13"/>
        <v>414</v>
      </c>
      <c r="K51" s="126">
        <f t="shared" si="14"/>
        <v>55</v>
      </c>
      <c r="L51" s="153">
        <f t="shared" ref="L51:M51" si="24">SUM(D34,K34,R34,Y34,E51)</f>
        <v>0.51750000000000007</v>
      </c>
      <c r="M51" s="153">
        <f t="shared" si="24"/>
        <v>0.32352941176470584</v>
      </c>
      <c r="O51" s="1" t="s">
        <v>664</v>
      </c>
      <c r="P51" s="1"/>
      <c r="Q51" s="1"/>
      <c r="R51" s="1"/>
      <c r="S51" s="1"/>
    </row>
    <row r="52" spans="1:28" ht="22.5" customHeight="1">
      <c r="A52" s="126" t="s">
        <v>663</v>
      </c>
      <c r="B52" s="139">
        <f>SUM(M15:M21)</f>
        <v>0</v>
      </c>
      <c r="E52" s="153">
        <f>C52/580</f>
        <v>0</v>
      </c>
      <c r="F52" s="153">
        <f t="shared" si="21"/>
        <v>0</v>
      </c>
      <c r="H52" s="126" t="s">
        <v>663</v>
      </c>
      <c r="I52" s="139">
        <f t="shared" si="8"/>
        <v>0.75972222222222219</v>
      </c>
      <c r="J52" s="126">
        <f t="shared" si="13"/>
        <v>386</v>
      </c>
      <c r="K52" s="126">
        <f t="shared" si="14"/>
        <v>31</v>
      </c>
      <c r="L52" s="153">
        <f t="shared" ref="L52:M52" si="25">SUM(D35,K35,R35,Y35,E52)</f>
        <v>0.66551724137931034</v>
      </c>
      <c r="M52" s="153">
        <f t="shared" si="25"/>
        <v>0.41333333333333333</v>
      </c>
      <c r="O52" s="1"/>
      <c r="P52" s="1"/>
      <c r="Q52" s="1"/>
      <c r="R52" s="1"/>
      <c r="S52" s="1"/>
    </row>
    <row r="53" spans="1:28" ht="22.5" customHeight="1">
      <c r="A53" s="126" t="s">
        <v>664</v>
      </c>
      <c r="B53" s="139">
        <f>SUM(N15:N21)</f>
        <v>0</v>
      </c>
      <c r="E53" s="153">
        <f>C53/720</f>
        <v>0</v>
      </c>
      <c r="F53" s="153">
        <f t="shared" si="21"/>
        <v>0</v>
      </c>
      <c r="H53" s="126" t="s">
        <v>664</v>
      </c>
      <c r="I53" s="139">
        <f t="shared" si="8"/>
        <v>0</v>
      </c>
      <c r="J53" s="126">
        <f t="shared" si="13"/>
        <v>79</v>
      </c>
      <c r="K53" s="126">
        <f>SUM(D53,C36,J36,Q36,X36)</f>
        <v>0</v>
      </c>
      <c r="L53" s="153">
        <f t="shared" ref="L53:M53" si="26">SUM(D36,K36,R36,Y36,E53)</f>
        <v>0.10972222222222222</v>
      </c>
      <c r="M53" s="153">
        <f t="shared" si="26"/>
        <v>0</v>
      </c>
      <c r="O53" s="1"/>
      <c r="P53" s="1"/>
      <c r="Q53" s="1"/>
      <c r="R53" s="1"/>
      <c r="S53" s="1"/>
    </row>
    <row r="54" spans="1:28" ht="22.5" customHeight="1">
      <c r="A54" s="126" t="s">
        <v>671</v>
      </c>
      <c r="B54" s="139">
        <f>SUM(B41:B53)</f>
        <v>0</v>
      </c>
      <c r="C54" s="126"/>
      <c r="D54" s="126"/>
      <c r="E54" s="153">
        <f t="shared" ref="E54:F54" si="27">SUM(E41:E53)</f>
        <v>0</v>
      </c>
      <c r="F54" s="153">
        <f t="shared" si="27"/>
        <v>0</v>
      </c>
      <c r="H54" s="170" t="s">
        <v>671</v>
      </c>
      <c r="I54" s="171">
        <f t="shared" si="8"/>
        <v>13.336805555555557</v>
      </c>
      <c r="J54" s="170">
        <f t="shared" si="13"/>
        <v>77.15384615384616</v>
      </c>
      <c r="K54" s="170">
        <f>SUM(C37,J37,Q37,X37,D54)</f>
        <v>1.9166666666666667</v>
      </c>
      <c r="L54" s="172">
        <f t="shared" ref="L54:M54" si="28">AVERAGE(L41:L53)</f>
        <v>0.36487440624544532</v>
      </c>
      <c r="M54" s="172">
        <f t="shared" si="28"/>
        <v>0.22388203316936342</v>
      </c>
      <c r="O54" s="1"/>
      <c r="P54" s="1"/>
      <c r="Q54" s="1"/>
      <c r="R54" s="1"/>
      <c r="S54" s="1"/>
    </row>
    <row r="58" spans="1:28" ht="13">
      <c r="AA58" s="159"/>
      <c r="AB58" s="159"/>
    </row>
    <row r="59" spans="1:28" ht="13">
      <c r="AA59" s="159"/>
      <c r="AB59" s="159"/>
    </row>
    <row r="60" spans="1:28" ht="13">
      <c r="AA60" s="159"/>
      <c r="AB60" s="159"/>
    </row>
    <row r="61" spans="1:28" ht="13">
      <c r="AA61" s="159"/>
      <c r="AB61" s="159"/>
    </row>
    <row r="62" spans="1:28" ht="13">
      <c r="AA62" s="159"/>
      <c r="AB62" s="159"/>
    </row>
    <row r="63" spans="1:28" ht="13">
      <c r="AA63" s="159"/>
      <c r="AB63" s="159"/>
    </row>
    <row r="64" spans="1:28" ht="13">
      <c r="AA64" s="159"/>
      <c r="AB64" s="159"/>
    </row>
    <row r="65" spans="27:28" ht="13">
      <c r="AA65" s="159"/>
      <c r="AB65" s="159"/>
    </row>
    <row r="66" spans="27:28" ht="13">
      <c r="AA66" s="159"/>
      <c r="AB66" s="159"/>
    </row>
    <row r="67" spans="27:28" ht="13">
      <c r="AA67" s="159"/>
      <c r="AB67" s="159"/>
    </row>
    <row r="68" spans="27:28" ht="13">
      <c r="AA68" s="159"/>
      <c r="AB68" s="159"/>
    </row>
    <row r="69" spans="27:28" ht="13">
      <c r="AA69" s="159"/>
      <c r="AB69" s="159"/>
    </row>
    <row r="70" spans="27:28" ht="13">
      <c r="AA70" s="159"/>
      <c r="AB70" s="159"/>
    </row>
  </sheetData>
  <mergeCells count="5">
    <mergeCell ref="A3:A6"/>
    <mergeCell ref="A7:A10"/>
    <mergeCell ref="A11:A14"/>
    <mergeCell ref="A15:A21"/>
    <mergeCell ref="W39:Z39"/>
  </mergeCells>
  <conditionalFormatting sqref="L41:L54">
    <cfRule type="cellIs" dxfId="29" priority="1" operator="between">
      <formula>0.5</formula>
      <formula>0.75</formula>
    </cfRule>
    <cfRule type="cellIs" dxfId="28" priority="2" operator="between">
      <formula>0.25</formula>
      <formula>0.5</formula>
    </cfRule>
    <cfRule type="cellIs" dxfId="27" priority="3" operator="between">
      <formula>0</formula>
      <formula>0.25</formula>
    </cfRule>
    <cfRule type="cellIs" dxfId="26" priority="4" operator="greaterThan">
      <formula>0.75</formula>
    </cfRule>
  </conditionalFormatting>
  <conditionalFormatting sqref="M41:M54">
    <cfRule type="cellIs" dxfId="25" priority="5" operator="between">
      <formula>0.5</formula>
      <formula>0.75</formula>
    </cfRule>
    <cfRule type="cellIs" dxfId="24" priority="6" operator="between">
      <formula>0.25</formula>
      <formula>0.5</formula>
    </cfRule>
    <cfRule type="cellIs" dxfId="23" priority="7" operator="between">
      <formula>0</formula>
      <formula>0.25</formula>
    </cfRule>
    <cfRule type="cellIs" dxfId="22" priority="8" operator="greaterThan">
      <formula>0.75</formula>
    </cfRule>
  </conditionalFormatting>
  <dataValidations count="1">
    <dataValidation type="custom" allowBlank="1" showDropDown="1" sqref="D24:D37" xr:uid="{00000000-0002-0000-21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FF00"/>
    <outlinePr summaryBelow="0" summaryRight="0"/>
  </sheetPr>
  <dimension ref="A1:AB7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2" max="2" width="13.33203125" customWidth="1"/>
    <col min="4" max="4" width="13.1640625" customWidth="1"/>
    <col min="7" max="7" width="12.6640625" customWidth="1"/>
    <col min="12" max="12" width="16.6640625" customWidth="1"/>
    <col min="13" max="13" width="16.33203125" customWidth="1"/>
  </cols>
  <sheetData>
    <row r="1" spans="1:14" ht="16">
      <c r="B1" s="155" t="s">
        <v>667</v>
      </c>
      <c r="C1" s="155" t="s">
        <v>650</v>
      </c>
      <c r="D1" s="127" t="s">
        <v>651</v>
      </c>
      <c r="E1" s="127" t="s">
        <v>652</v>
      </c>
      <c r="F1" s="127" t="s">
        <v>655</v>
      </c>
      <c r="G1" s="155" t="s">
        <v>653</v>
      </c>
      <c r="H1" s="141" t="s">
        <v>654</v>
      </c>
      <c r="I1" s="127" t="s">
        <v>659</v>
      </c>
      <c r="J1" s="127" t="s">
        <v>660</v>
      </c>
      <c r="K1" s="127" t="s">
        <v>661</v>
      </c>
      <c r="L1" s="155" t="s">
        <v>662</v>
      </c>
      <c r="M1" s="156" t="s">
        <v>663</v>
      </c>
      <c r="N1" s="142" t="s">
        <v>664</v>
      </c>
    </row>
    <row r="2" spans="1:14" ht="14">
      <c r="A2" s="143" t="s">
        <v>672</v>
      </c>
      <c r="B2" s="86" t="s">
        <v>656</v>
      </c>
      <c r="C2" s="86" t="s">
        <v>656</v>
      </c>
      <c r="D2" s="86" t="s">
        <v>656</v>
      </c>
      <c r="E2" s="86" t="s">
        <v>656</v>
      </c>
      <c r="F2" s="86" t="s">
        <v>656</v>
      </c>
      <c r="G2" s="85" t="s">
        <v>656</v>
      </c>
      <c r="H2" s="86" t="s">
        <v>656</v>
      </c>
      <c r="I2" s="86" t="s">
        <v>656</v>
      </c>
      <c r="J2" s="86" t="s">
        <v>656</v>
      </c>
      <c r="K2" s="86" t="s">
        <v>656</v>
      </c>
      <c r="L2" s="86" t="s">
        <v>656</v>
      </c>
      <c r="M2" s="86" t="s">
        <v>656</v>
      </c>
      <c r="N2" s="86" t="s">
        <v>656</v>
      </c>
    </row>
    <row r="3" spans="1:14" ht="14">
      <c r="A3" s="248">
        <v>1</v>
      </c>
      <c r="B3" s="161">
        <v>0.3215277777777778</v>
      </c>
      <c r="C3" s="161">
        <v>0.3215277777777778</v>
      </c>
      <c r="D3" s="161">
        <v>0.19166666666666668</v>
      </c>
      <c r="E3" s="161"/>
      <c r="F3" s="144">
        <v>2.9861111111111113E-2</v>
      </c>
      <c r="G3" s="161">
        <v>0.3215277777777778</v>
      </c>
      <c r="H3" s="161"/>
      <c r="I3" s="161">
        <v>0.3527777777777778</v>
      </c>
      <c r="J3" s="161"/>
      <c r="K3" s="161"/>
      <c r="L3" s="161">
        <v>0.3215277777777778</v>
      </c>
      <c r="M3" s="161">
        <v>0.29166666666666669</v>
      </c>
      <c r="N3" s="146"/>
    </row>
    <row r="4" spans="1:14" ht="14">
      <c r="A4" s="249"/>
      <c r="B4" s="161">
        <v>0.23680555555555555</v>
      </c>
      <c r="C4" s="161">
        <v>0.31736111111111109</v>
      </c>
      <c r="D4" s="162"/>
      <c r="E4" s="162"/>
      <c r="F4" s="146">
        <v>0.26527777777777778</v>
      </c>
      <c r="G4" s="174">
        <v>0.16111111111111112</v>
      </c>
      <c r="H4" s="162"/>
      <c r="I4" s="129"/>
      <c r="J4" s="161"/>
      <c r="K4" s="161"/>
      <c r="L4" s="161">
        <v>0.11597222222222223</v>
      </c>
      <c r="M4" s="161">
        <v>8.7499999999999994E-2</v>
      </c>
      <c r="N4" s="146"/>
    </row>
    <row r="5" spans="1:14" ht="13">
      <c r="A5" s="249"/>
      <c r="B5" s="129">
        <v>3.5416666666666666E-2</v>
      </c>
      <c r="C5" s="129"/>
      <c r="D5" s="129"/>
      <c r="E5" s="129"/>
      <c r="F5" s="146"/>
      <c r="G5" s="146"/>
      <c r="H5" s="131"/>
      <c r="I5" s="129"/>
      <c r="J5" s="129"/>
      <c r="K5" s="129"/>
      <c r="L5" s="146"/>
      <c r="M5" s="146"/>
      <c r="N5" s="146"/>
    </row>
    <row r="6" spans="1:14" ht="13">
      <c r="A6" s="250"/>
      <c r="B6" s="129"/>
      <c r="C6" s="129"/>
      <c r="D6" s="129"/>
      <c r="E6" s="129"/>
      <c r="F6" s="146"/>
      <c r="G6" s="146"/>
      <c r="H6" s="129"/>
      <c r="I6" s="129"/>
      <c r="J6" s="129"/>
      <c r="K6" s="129"/>
      <c r="L6" s="146"/>
      <c r="M6" s="146"/>
      <c r="N6" s="146"/>
    </row>
    <row r="7" spans="1:14" ht="14">
      <c r="A7" s="248">
        <v>2</v>
      </c>
      <c r="B7" s="163">
        <v>0.36041666666666666</v>
      </c>
      <c r="C7" s="164">
        <v>0.21319444444444444</v>
      </c>
      <c r="D7" s="163">
        <v>0.21319444444444444</v>
      </c>
      <c r="E7" s="163"/>
      <c r="F7" s="164">
        <v>0.28888888888888886</v>
      </c>
      <c r="G7" s="164">
        <v>9.7916666666666666E-2</v>
      </c>
      <c r="H7" s="163"/>
      <c r="I7" s="163">
        <v>0.21319444444444444</v>
      </c>
      <c r="J7" s="135"/>
      <c r="K7" s="163"/>
      <c r="L7" s="164">
        <v>0.21319444444444444</v>
      </c>
      <c r="M7" s="164">
        <v>0.21319444444444444</v>
      </c>
      <c r="N7" s="144"/>
    </row>
    <row r="8" spans="1:14" ht="14">
      <c r="A8" s="249"/>
      <c r="B8" s="129"/>
      <c r="C8" s="165">
        <v>0.36041666666666666</v>
      </c>
      <c r="D8" s="161">
        <v>9.3055555555555558E-2</v>
      </c>
      <c r="E8" s="129"/>
      <c r="F8" s="165"/>
      <c r="G8" s="165"/>
      <c r="H8" s="161"/>
      <c r="I8" s="129">
        <v>0.16944444444444445</v>
      </c>
      <c r="J8" s="129"/>
      <c r="K8" s="129"/>
      <c r="L8" s="165">
        <v>0.36041666666666666</v>
      </c>
      <c r="M8" s="165">
        <v>7.1527777777777773E-2</v>
      </c>
      <c r="N8" s="146"/>
    </row>
    <row r="9" spans="1:14" ht="14">
      <c r="A9" s="249"/>
      <c r="B9" s="129"/>
      <c r="C9" s="161"/>
      <c r="D9" s="161"/>
      <c r="E9" s="129"/>
      <c r="F9" s="165"/>
      <c r="G9" s="165"/>
      <c r="H9" s="129"/>
      <c r="I9" s="129"/>
      <c r="J9" s="129"/>
      <c r="K9" s="129"/>
      <c r="L9" s="165"/>
      <c r="M9" s="146"/>
      <c r="N9" s="146"/>
    </row>
    <row r="10" spans="1:14" ht="14">
      <c r="A10" s="250"/>
      <c r="B10" s="147"/>
      <c r="C10" s="166"/>
      <c r="D10" s="147"/>
      <c r="E10" s="147"/>
      <c r="F10" s="148"/>
      <c r="G10" s="167"/>
      <c r="H10" s="147"/>
      <c r="I10" s="147"/>
      <c r="J10" s="147"/>
      <c r="K10" s="147"/>
      <c r="L10" s="167"/>
      <c r="M10" s="148"/>
      <c r="N10" s="148"/>
    </row>
    <row r="11" spans="1:14" ht="13">
      <c r="A11" s="248">
        <v>3</v>
      </c>
      <c r="B11" s="131">
        <v>0.35</v>
      </c>
      <c r="C11" s="135">
        <v>0.35</v>
      </c>
      <c r="D11" s="135"/>
      <c r="E11" s="135"/>
      <c r="F11" s="144">
        <v>0.15902777777777777</v>
      </c>
      <c r="G11" s="135">
        <v>0.31527777777777777</v>
      </c>
      <c r="H11" s="135"/>
      <c r="I11" s="135">
        <v>3.4027777777777775E-2</v>
      </c>
      <c r="J11" s="135"/>
      <c r="K11" s="135"/>
      <c r="L11" s="144">
        <v>0.35</v>
      </c>
      <c r="M11" s="144">
        <v>0.35</v>
      </c>
      <c r="N11" s="144"/>
    </row>
    <row r="12" spans="1:14" ht="13">
      <c r="A12" s="249"/>
      <c r="B12" s="129">
        <v>0.33263888888888887</v>
      </c>
      <c r="C12" s="129">
        <v>0.33263888888888887</v>
      </c>
      <c r="D12" s="129"/>
      <c r="E12" s="129"/>
      <c r="F12" s="146"/>
      <c r="G12" s="146"/>
      <c r="H12" s="129"/>
      <c r="I12" s="129">
        <v>0.33263888888888887</v>
      </c>
      <c r="J12" s="129"/>
      <c r="K12" s="129"/>
      <c r="L12" s="129">
        <v>0.33263888888888887</v>
      </c>
      <c r="M12" s="129">
        <v>0.17291666666666666</v>
      </c>
      <c r="N12" s="146"/>
    </row>
    <row r="13" spans="1:14" ht="13">
      <c r="A13" s="249"/>
      <c r="B13" s="129"/>
      <c r="C13" s="129"/>
      <c r="D13" s="129"/>
      <c r="E13" s="129"/>
      <c r="F13" s="146"/>
      <c r="G13" s="146"/>
      <c r="H13" s="129"/>
      <c r="I13" s="129"/>
      <c r="J13" s="129"/>
      <c r="K13" s="129"/>
      <c r="L13" s="146"/>
      <c r="M13" s="146"/>
      <c r="N13" s="146"/>
    </row>
    <row r="14" spans="1:14" ht="13">
      <c r="A14" s="250"/>
      <c r="B14" s="129"/>
      <c r="C14" s="129"/>
      <c r="D14" s="129"/>
      <c r="E14" s="129"/>
      <c r="F14" s="146"/>
      <c r="G14" s="146"/>
      <c r="H14" s="129"/>
      <c r="I14" s="129"/>
      <c r="J14" s="129"/>
      <c r="K14" s="129"/>
      <c r="L14" s="146"/>
      <c r="M14" s="146"/>
      <c r="N14" s="146"/>
    </row>
    <row r="15" spans="1:14" ht="13">
      <c r="A15" s="251">
        <v>4</v>
      </c>
      <c r="B15" s="144">
        <v>7.9861111111111105E-2</v>
      </c>
      <c r="C15" s="133">
        <v>0.31805555555555554</v>
      </c>
      <c r="D15" s="144">
        <v>0.11874999999999999</v>
      </c>
      <c r="E15" s="135"/>
      <c r="F15" s="135">
        <v>0.21180555555555555</v>
      </c>
      <c r="G15" s="144">
        <v>0.23749999999999999</v>
      </c>
      <c r="H15" s="135"/>
      <c r="I15" s="135">
        <v>0.31736111111111109</v>
      </c>
      <c r="J15" s="135"/>
      <c r="K15" s="135"/>
      <c r="L15" s="135">
        <v>0.31736111111111109</v>
      </c>
      <c r="M15" s="135">
        <v>0.10347222222222222</v>
      </c>
      <c r="N15" s="144"/>
    </row>
    <row r="16" spans="1:14" ht="13">
      <c r="A16" s="252"/>
      <c r="B16" s="146">
        <v>0.13125000000000001</v>
      </c>
      <c r="C16" s="129">
        <v>0.13125000000000001</v>
      </c>
      <c r="D16" s="129">
        <v>1.1111111111111112E-2</v>
      </c>
      <c r="E16" s="168"/>
      <c r="F16" s="130">
        <v>4.9305555555555554E-2</v>
      </c>
      <c r="G16" s="146">
        <v>8.4027777777777785E-2</v>
      </c>
      <c r="H16" s="168"/>
      <c r="I16" s="129">
        <v>0.13125000000000001</v>
      </c>
      <c r="J16" s="129"/>
      <c r="K16" s="168"/>
      <c r="L16" s="168">
        <v>0.13125000000000001</v>
      </c>
      <c r="M16" s="146">
        <v>8.1250000000000003E-2</v>
      </c>
      <c r="N16" s="146"/>
    </row>
    <row r="17" spans="1:26" ht="13">
      <c r="A17" s="252"/>
      <c r="B17" s="146">
        <v>0.22500000000000001</v>
      </c>
      <c r="C17" s="129">
        <v>0.14097222222222222</v>
      </c>
      <c r="D17" s="146">
        <v>3.2638888888888891E-2</v>
      </c>
      <c r="E17" s="129"/>
      <c r="F17" s="129"/>
      <c r="G17" s="146"/>
      <c r="H17" s="129"/>
      <c r="I17" s="129">
        <v>0.34444444444444444</v>
      </c>
      <c r="J17" s="129"/>
      <c r="K17" s="129"/>
      <c r="L17" s="146">
        <v>0.34444444444444444</v>
      </c>
      <c r="M17" s="146">
        <v>0.34444444444444444</v>
      </c>
      <c r="N17" s="146"/>
    </row>
    <row r="18" spans="1:26" ht="13">
      <c r="A18" s="252"/>
      <c r="B18" s="146"/>
      <c r="C18" s="129">
        <v>8.4722222222222227E-2</v>
      </c>
      <c r="D18" s="146"/>
      <c r="E18" s="129"/>
      <c r="F18" s="129"/>
      <c r="G18" s="146"/>
      <c r="H18" s="129"/>
      <c r="I18" s="129">
        <v>1.1111111111111112E-2</v>
      </c>
      <c r="J18" s="129"/>
      <c r="K18" s="129"/>
      <c r="L18" s="146">
        <v>1.1111111111111112E-2</v>
      </c>
      <c r="M18" s="146">
        <v>1.1111111111111112E-2</v>
      </c>
      <c r="N18" s="146"/>
    </row>
    <row r="19" spans="1:26" ht="13">
      <c r="A19" s="252"/>
      <c r="B19" s="146"/>
      <c r="C19" s="129">
        <v>1.1111111111111112E-2</v>
      </c>
      <c r="D19" s="157"/>
      <c r="E19" s="129"/>
      <c r="F19" s="129"/>
      <c r="G19" s="146"/>
      <c r="H19" s="129"/>
      <c r="I19" s="129">
        <v>3.2638888888888891E-2</v>
      </c>
      <c r="J19" s="129"/>
      <c r="K19" s="129"/>
      <c r="L19" s="146">
        <v>3.2638888888888891E-2</v>
      </c>
      <c r="M19" s="146">
        <v>3.2638888888888891E-2</v>
      </c>
      <c r="N19" s="146"/>
    </row>
    <row r="20" spans="1:26" ht="13">
      <c r="A20" s="252"/>
      <c r="B20" s="146"/>
      <c r="C20" s="129"/>
      <c r="D20" s="157"/>
      <c r="E20" s="129"/>
      <c r="F20" s="129"/>
      <c r="G20" s="146"/>
      <c r="H20" s="129"/>
      <c r="I20" s="129"/>
      <c r="J20" s="129"/>
      <c r="K20" s="129"/>
      <c r="L20" s="146"/>
      <c r="M20" s="146"/>
      <c r="N20" s="146"/>
    </row>
    <row r="21" spans="1:26" ht="13">
      <c r="A21" s="253"/>
      <c r="B21" s="148"/>
      <c r="C21" s="147"/>
      <c r="D21" s="158"/>
      <c r="E21" s="147"/>
      <c r="F21" s="148"/>
      <c r="G21" s="148"/>
      <c r="H21" s="147"/>
      <c r="I21" s="147"/>
      <c r="J21" s="147"/>
      <c r="K21" s="147"/>
      <c r="L21" s="148"/>
      <c r="M21" s="148"/>
      <c r="N21" s="148"/>
    </row>
    <row r="23" spans="1:26" ht="22.5" customHeight="1">
      <c r="A23" s="125" t="s">
        <v>16</v>
      </c>
      <c r="B23" s="125" t="s">
        <v>105</v>
      </c>
      <c r="C23" s="125" t="s">
        <v>668</v>
      </c>
      <c r="D23" s="151" t="s">
        <v>673</v>
      </c>
      <c r="E23" s="125" t="s">
        <v>674</v>
      </c>
      <c r="G23" s="125" t="s">
        <v>16</v>
      </c>
      <c r="H23" s="152" t="s">
        <v>608</v>
      </c>
      <c r="I23" s="125" t="s">
        <v>105</v>
      </c>
      <c r="J23" s="125" t="s">
        <v>668</v>
      </c>
      <c r="K23" s="151" t="s">
        <v>673</v>
      </c>
      <c r="L23" s="125" t="s">
        <v>674</v>
      </c>
      <c r="N23" s="125" t="s">
        <v>16</v>
      </c>
      <c r="O23" s="152" t="s">
        <v>608</v>
      </c>
      <c r="P23" s="125" t="s">
        <v>105</v>
      </c>
      <c r="Q23" s="125" t="s">
        <v>668</v>
      </c>
      <c r="R23" s="151" t="s">
        <v>673</v>
      </c>
      <c r="S23" s="125" t="s">
        <v>674</v>
      </c>
      <c r="U23" s="125" t="s">
        <v>16</v>
      </c>
      <c r="V23" s="152" t="s">
        <v>608</v>
      </c>
      <c r="W23" s="125" t="s">
        <v>105</v>
      </c>
      <c r="X23" s="125" t="s">
        <v>668</v>
      </c>
      <c r="Y23" s="151" t="s">
        <v>673</v>
      </c>
      <c r="Z23" s="125" t="s">
        <v>674</v>
      </c>
    </row>
    <row r="24" spans="1:26" ht="22.5" customHeight="1">
      <c r="A24" s="126" t="s">
        <v>667</v>
      </c>
      <c r="B24" s="169">
        <v>171</v>
      </c>
      <c r="C24" s="169">
        <v>3</v>
      </c>
      <c r="D24" s="153">
        <f>B24/750</f>
        <v>0.22800000000000001</v>
      </c>
      <c r="E24" s="153">
        <f>C24/200</f>
        <v>1.4999999999999999E-2</v>
      </c>
      <c r="G24" s="126" t="s">
        <v>667</v>
      </c>
      <c r="H24" s="139">
        <f>SUM(B3:B6)</f>
        <v>0.59375</v>
      </c>
      <c r="I24" s="169">
        <v>172</v>
      </c>
      <c r="J24" s="169">
        <v>58</v>
      </c>
      <c r="K24" s="153">
        <f>I24/750</f>
        <v>0.22933333333333333</v>
      </c>
      <c r="L24" s="153">
        <f>J24/200</f>
        <v>0.28999999999999998</v>
      </c>
      <c r="N24" s="126" t="s">
        <v>667</v>
      </c>
      <c r="O24" s="139">
        <f>SUM(B7:B10)</f>
        <v>0.36041666666666666</v>
      </c>
      <c r="P24" s="169">
        <v>103</v>
      </c>
      <c r="Q24" s="169">
        <v>36</v>
      </c>
      <c r="R24" s="153">
        <f>P24/750</f>
        <v>0.13733333333333334</v>
      </c>
      <c r="S24" s="153">
        <f>Q24/200</f>
        <v>0.18</v>
      </c>
      <c r="U24" s="126" t="s">
        <v>667</v>
      </c>
      <c r="V24" s="139">
        <f>SUM(B11:B14)</f>
        <v>0.6826388888888888</v>
      </c>
      <c r="W24" s="126">
        <v>151</v>
      </c>
      <c r="X24" s="126">
        <v>35</v>
      </c>
      <c r="Y24" s="153">
        <f>W24/750</f>
        <v>0.20133333333333334</v>
      </c>
      <c r="Z24" s="153">
        <f>X24/200</f>
        <v>0.17499999999999999</v>
      </c>
    </row>
    <row r="25" spans="1:26" ht="22.5" customHeight="1">
      <c r="A25" s="126" t="s">
        <v>650</v>
      </c>
      <c r="B25" s="169">
        <v>163</v>
      </c>
      <c r="C25" s="169">
        <v>0</v>
      </c>
      <c r="D25" s="153">
        <f>B25/720</f>
        <v>0.22638888888888889</v>
      </c>
      <c r="E25" s="153">
        <f>C25/65</f>
        <v>0</v>
      </c>
      <c r="G25" s="126" t="s">
        <v>650</v>
      </c>
      <c r="H25" s="139">
        <f>SUM(C3:C6)</f>
        <v>0.63888888888888884</v>
      </c>
      <c r="I25" s="169">
        <v>141</v>
      </c>
      <c r="J25" s="169">
        <v>13</v>
      </c>
      <c r="K25" s="153">
        <f>I25/720</f>
        <v>0.19583333333333333</v>
      </c>
      <c r="L25" s="153">
        <f>J25/65</f>
        <v>0.2</v>
      </c>
      <c r="N25" s="126" t="s">
        <v>650</v>
      </c>
      <c r="O25" s="139">
        <f>SUM(C7:C10)</f>
        <v>0.57361111111111107</v>
      </c>
      <c r="P25" s="169">
        <v>133</v>
      </c>
      <c r="Q25" s="169">
        <v>11</v>
      </c>
      <c r="R25" s="153">
        <f>P25/720</f>
        <v>0.18472222222222223</v>
      </c>
      <c r="S25" s="153">
        <f>Q25/65</f>
        <v>0.16923076923076924</v>
      </c>
      <c r="U25" s="126" t="s">
        <v>650</v>
      </c>
      <c r="V25" s="139">
        <f>SUM(C11:C14)</f>
        <v>0.6826388888888888</v>
      </c>
      <c r="W25" s="126">
        <v>148</v>
      </c>
      <c r="X25" s="126">
        <v>8</v>
      </c>
      <c r="Y25" s="153">
        <f>W25/720</f>
        <v>0.20555555555555555</v>
      </c>
      <c r="Z25" s="153">
        <f>X25/65</f>
        <v>0.12307692307692308</v>
      </c>
    </row>
    <row r="26" spans="1:26" ht="22.5" customHeight="1">
      <c r="A26" s="126" t="s">
        <v>651</v>
      </c>
      <c r="B26" s="169">
        <v>167</v>
      </c>
      <c r="C26" s="169">
        <v>1</v>
      </c>
      <c r="D26" s="153">
        <f>B26/750</f>
        <v>0.22266666666666668</v>
      </c>
      <c r="E26" s="153">
        <f>C26/185</f>
        <v>5.4054054054054057E-3</v>
      </c>
      <c r="G26" s="126" t="s">
        <v>651</v>
      </c>
      <c r="H26" s="139">
        <f>SUM($D3:$D6)</f>
        <v>0.19166666666666668</v>
      </c>
      <c r="I26" s="169">
        <v>45</v>
      </c>
      <c r="J26" s="169">
        <v>6</v>
      </c>
      <c r="K26" s="153">
        <f>I26/750</f>
        <v>0.06</v>
      </c>
      <c r="L26" s="153">
        <f>J26/185</f>
        <v>3.2432432432432434E-2</v>
      </c>
      <c r="N26" s="126" t="s">
        <v>651</v>
      </c>
      <c r="O26" s="139">
        <f>SUM(D7:D10)</f>
        <v>0.30625000000000002</v>
      </c>
      <c r="P26" s="169">
        <v>88</v>
      </c>
      <c r="Q26" s="169">
        <v>15</v>
      </c>
      <c r="R26" s="153">
        <f>P26/750</f>
        <v>0.11733333333333333</v>
      </c>
      <c r="S26" s="153">
        <f>Q26/185</f>
        <v>8.1081081081081086E-2</v>
      </c>
      <c r="U26" s="126" t="s">
        <v>651</v>
      </c>
      <c r="V26" s="139">
        <f>SUM(D11:D14)</f>
        <v>0</v>
      </c>
      <c r="Y26" s="153">
        <f>W26/750</f>
        <v>0</v>
      </c>
      <c r="Z26" s="153">
        <f>X26/185</f>
        <v>0</v>
      </c>
    </row>
    <row r="27" spans="1:26" ht="22.5" customHeight="1">
      <c r="A27" s="126" t="s">
        <v>652</v>
      </c>
      <c r="B27" s="169">
        <v>153</v>
      </c>
      <c r="C27" s="169">
        <v>1</v>
      </c>
      <c r="D27" s="153">
        <f>B27/700</f>
        <v>0.21857142857142858</v>
      </c>
      <c r="E27" s="153">
        <f>C27/220</f>
        <v>4.5454545454545452E-3</v>
      </c>
      <c r="G27" s="126" t="s">
        <v>652</v>
      </c>
      <c r="H27" s="139">
        <f>SUM(E3:E6)</f>
        <v>0</v>
      </c>
      <c r="I27" s="169"/>
      <c r="J27" s="169"/>
      <c r="K27" s="153">
        <f>I27/700</f>
        <v>0</v>
      </c>
      <c r="L27" s="153">
        <f t="shared" ref="L27:L28" si="0">J27/220</f>
        <v>0</v>
      </c>
      <c r="N27" s="126" t="s">
        <v>652</v>
      </c>
      <c r="O27" s="139">
        <f>SUM(E7:E10)</f>
        <v>0</v>
      </c>
      <c r="P27" s="169"/>
      <c r="Q27" s="169"/>
      <c r="R27" s="153">
        <f>P27/700</f>
        <v>0</v>
      </c>
      <c r="S27" s="153">
        <f t="shared" ref="S27:S28" si="1">Q27/220</f>
        <v>0</v>
      </c>
      <c r="U27" s="126" t="s">
        <v>652</v>
      </c>
      <c r="V27" s="139">
        <f>SUM(E11:E14)</f>
        <v>0</v>
      </c>
      <c r="Y27" s="153">
        <f>W27/700</f>
        <v>0</v>
      </c>
      <c r="Z27" s="153">
        <f t="shared" ref="Z27:Z28" si="2">X27/220</f>
        <v>0</v>
      </c>
    </row>
    <row r="28" spans="1:26" ht="22.5" customHeight="1">
      <c r="A28" s="126" t="s">
        <v>655</v>
      </c>
      <c r="B28" s="169">
        <v>170</v>
      </c>
      <c r="C28" s="169">
        <v>0</v>
      </c>
      <c r="D28" s="153">
        <f>B28/800</f>
        <v>0.21249999999999999</v>
      </c>
      <c r="E28" s="153">
        <f>C29/220</f>
        <v>2.2727272727272728E-2</v>
      </c>
      <c r="G28" s="126" t="s">
        <v>655</v>
      </c>
      <c r="H28" s="139">
        <f>SUM(F3:F6)</f>
        <v>0.2951388888888889</v>
      </c>
      <c r="I28" s="126">
        <v>65</v>
      </c>
      <c r="J28" s="126">
        <v>11</v>
      </c>
      <c r="K28" s="153">
        <f>I28/800</f>
        <v>8.1250000000000003E-2</v>
      </c>
      <c r="L28" s="153">
        <f t="shared" si="0"/>
        <v>0.05</v>
      </c>
      <c r="N28" s="126" t="s">
        <v>655</v>
      </c>
      <c r="O28" s="139">
        <f>SUM(F7:F10)</f>
        <v>0.28888888888888886</v>
      </c>
      <c r="P28" s="169">
        <v>71</v>
      </c>
      <c r="Q28" s="169">
        <v>11</v>
      </c>
      <c r="R28" s="153">
        <f>P28/800</f>
        <v>8.8749999999999996E-2</v>
      </c>
      <c r="S28" s="153">
        <f t="shared" si="1"/>
        <v>0.05</v>
      </c>
      <c r="U28" s="126" t="s">
        <v>655</v>
      </c>
      <c r="V28" s="139">
        <f>SUM(F11:F14)</f>
        <v>0.15902777777777777</v>
      </c>
      <c r="W28" s="126">
        <v>36</v>
      </c>
      <c r="X28" s="126">
        <v>5</v>
      </c>
      <c r="Y28" s="153">
        <f>W28/800</f>
        <v>4.4999999999999998E-2</v>
      </c>
      <c r="Z28" s="153">
        <f t="shared" si="2"/>
        <v>2.2727272727272728E-2</v>
      </c>
    </row>
    <row r="29" spans="1:26" ht="22.5" customHeight="1">
      <c r="A29" s="126" t="s">
        <v>653</v>
      </c>
      <c r="B29" s="169">
        <v>156</v>
      </c>
      <c r="C29" s="169">
        <v>5</v>
      </c>
      <c r="D29" s="153">
        <f>B29/820</f>
        <v>0.19024390243902439</v>
      </c>
      <c r="E29" s="153">
        <f>C30/240</f>
        <v>2.0833333333333332E-2</v>
      </c>
      <c r="G29" s="126" t="s">
        <v>653</v>
      </c>
      <c r="H29" s="139">
        <f>SUM(G3:G6)</f>
        <v>0.48263888888888895</v>
      </c>
      <c r="I29" s="169">
        <v>110</v>
      </c>
      <c r="J29" s="169">
        <v>16</v>
      </c>
      <c r="K29" s="153">
        <f>I29/820</f>
        <v>0.13414634146341464</v>
      </c>
      <c r="L29" s="153">
        <f>J29/240</f>
        <v>6.6666666666666666E-2</v>
      </c>
      <c r="N29" s="126" t="s">
        <v>653</v>
      </c>
      <c r="O29" s="139">
        <f>SUM(G7:G10)</f>
        <v>9.7916666666666666E-2</v>
      </c>
      <c r="P29" s="169">
        <v>21</v>
      </c>
      <c r="Q29" s="169">
        <v>5</v>
      </c>
      <c r="R29" s="153">
        <f>P29/820</f>
        <v>2.5609756097560974E-2</v>
      </c>
      <c r="S29" s="153">
        <f>Q29/240</f>
        <v>2.0833333333333332E-2</v>
      </c>
      <c r="U29" s="126" t="s">
        <v>653</v>
      </c>
      <c r="V29" s="139">
        <f>SUM(G11:G14)</f>
        <v>0.31527777777777777</v>
      </c>
      <c r="W29" s="126">
        <v>90</v>
      </c>
      <c r="X29" s="126">
        <v>15</v>
      </c>
      <c r="Y29" s="153">
        <f>W29/820</f>
        <v>0.10975609756097561</v>
      </c>
      <c r="Z29" s="153">
        <f>X29/240</f>
        <v>6.25E-2</v>
      </c>
    </row>
    <row r="30" spans="1:26" ht="22.5" customHeight="1">
      <c r="A30" s="126" t="s">
        <v>654</v>
      </c>
      <c r="B30" s="169">
        <v>180</v>
      </c>
      <c r="C30" s="169">
        <v>5</v>
      </c>
      <c r="D30" s="153">
        <f>B30/620</f>
        <v>0.29032258064516131</v>
      </c>
      <c r="E30" s="153">
        <f>C31/90</f>
        <v>8.8888888888888892E-2</v>
      </c>
      <c r="G30" s="126" t="s">
        <v>654</v>
      </c>
      <c r="H30" s="139">
        <f>SUM(H3:H6)</f>
        <v>0</v>
      </c>
      <c r="I30" s="169"/>
      <c r="J30" s="169"/>
      <c r="K30" s="153">
        <f>I30/620</f>
        <v>0</v>
      </c>
      <c r="L30" s="153">
        <f>J30/90</f>
        <v>0</v>
      </c>
      <c r="N30" s="126" t="s">
        <v>654</v>
      </c>
      <c r="O30" s="139">
        <f>SUM(H7:H10)</f>
        <v>0</v>
      </c>
      <c r="P30" s="169"/>
      <c r="Q30" s="169"/>
      <c r="R30" s="153">
        <f>P30/620</f>
        <v>0</v>
      </c>
      <c r="S30" s="153">
        <f>Q30/90</f>
        <v>0</v>
      </c>
      <c r="U30" s="126" t="s">
        <v>654</v>
      </c>
      <c r="V30" s="139">
        <f>SUM(H11:H14)</f>
        <v>0</v>
      </c>
      <c r="Y30" s="153">
        <f>W30/620</f>
        <v>0</v>
      </c>
      <c r="Z30" s="153">
        <f>X30/90</f>
        <v>0</v>
      </c>
    </row>
    <row r="31" spans="1:26" ht="22.5" customHeight="1">
      <c r="A31" s="126" t="s">
        <v>659</v>
      </c>
      <c r="B31" s="169">
        <v>225</v>
      </c>
      <c r="C31" s="169">
        <v>8</v>
      </c>
      <c r="D31" s="153">
        <f>B31/820</f>
        <v>0.27439024390243905</v>
      </c>
      <c r="E31" s="153">
        <f>C32/200</f>
        <v>0</v>
      </c>
      <c r="G31" s="126" t="s">
        <v>659</v>
      </c>
      <c r="H31" s="139">
        <f>SUM(I3:I6)</f>
        <v>0.3527777777777778</v>
      </c>
      <c r="I31" s="169">
        <v>89</v>
      </c>
      <c r="J31" s="169">
        <v>17</v>
      </c>
      <c r="K31" s="153">
        <f>I31/820</f>
        <v>0.10853658536585366</v>
      </c>
      <c r="L31" s="153">
        <f>J31/200</f>
        <v>8.5000000000000006E-2</v>
      </c>
      <c r="N31" s="126" t="s">
        <v>659</v>
      </c>
      <c r="O31" s="154">
        <f>SUM(I7:I10)</f>
        <v>0.38263888888888886</v>
      </c>
      <c r="P31" s="169">
        <v>98</v>
      </c>
      <c r="Q31" s="169">
        <v>14</v>
      </c>
      <c r="R31" s="153">
        <f>P31/820</f>
        <v>0.11951219512195121</v>
      </c>
      <c r="S31" s="153">
        <f>Q31/200</f>
        <v>7.0000000000000007E-2</v>
      </c>
      <c r="U31" s="126" t="s">
        <v>659</v>
      </c>
      <c r="V31" s="139">
        <f>SUM(I11:I14)</f>
        <v>0.36666666666666664</v>
      </c>
      <c r="W31" s="126">
        <v>89</v>
      </c>
      <c r="X31" s="126">
        <v>16</v>
      </c>
      <c r="Y31" s="153">
        <f>W31/820</f>
        <v>0.10853658536585366</v>
      </c>
      <c r="Z31" s="153">
        <f>X31/200</f>
        <v>0.08</v>
      </c>
    </row>
    <row r="32" spans="1:26" ht="22.5" customHeight="1">
      <c r="A32" s="126" t="s">
        <v>660</v>
      </c>
      <c r="B32" s="169">
        <v>123</v>
      </c>
      <c r="C32" s="169">
        <v>0</v>
      </c>
      <c r="D32" s="153">
        <f>B32/505</f>
        <v>0.24356435643564356</v>
      </c>
      <c r="E32" s="153">
        <f>C33/42</f>
        <v>0.16666666666666666</v>
      </c>
      <c r="G32" s="126" t="s">
        <v>660</v>
      </c>
      <c r="H32" s="139">
        <f>SUM(J3:J6)</f>
        <v>0</v>
      </c>
      <c r="I32" s="169"/>
      <c r="J32" s="169"/>
      <c r="K32" s="153">
        <f>I32/505</f>
        <v>0</v>
      </c>
      <c r="L32" s="153">
        <f>J32/42</f>
        <v>0</v>
      </c>
      <c r="N32" s="126" t="s">
        <v>660</v>
      </c>
      <c r="O32" s="139">
        <f>SUM(J7:J10)</f>
        <v>0</v>
      </c>
      <c r="P32" s="169"/>
      <c r="R32" s="153">
        <f>P32/505</f>
        <v>0</v>
      </c>
      <c r="S32" s="153">
        <f>Q32/42</f>
        <v>0</v>
      </c>
      <c r="U32" s="126" t="s">
        <v>660</v>
      </c>
      <c r="V32" s="139">
        <f>SUM(J11:J14)</f>
        <v>0</v>
      </c>
      <c r="Y32" s="153">
        <f>W32/505</f>
        <v>0</v>
      </c>
      <c r="Z32" s="153">
        <f>X32/42</f>
        <v>0</v>
      </c>
    </row>
    <row r="33" spans="1:26" ht="22.5" customHeight="1">
      <c r="A33" s="126" t="s">
        <v>661</v>
      </c>
      <c r="B33" s="169">
        <v>219</v>
      </c>
      <c r="C33" s="169">
        <v>7</v>
      </c>
      <c r="D33" s="153">
        <f>B33/740</f>
        <v>0.29594594594594592</v>
      </c>
      <c r="E33" s="153">
        <f>C34/215</f>
        <v>1.3953488372093023E-2</v>
      </c>
      <c r="G33" s="126" t="s">
        <v>661</v>
      </c>
      <c r="H33" s="139">
        <f>SUM(K3:K6)</f>
        <v>0</v>
      </c>
      <c r="I33" s="169"/>
      <c r="J33" s="169"/>
      <c r="K33" s="153">
        <f>I33/740</f>
        <v>0</v>
      </c>
      <c r="L33" s="153">
        <f>J33/215</f>
        <v>0</v>
      </c>
      <c r="N33" s="126" t="s">
        <v>661</v>
      </c>
      <c r="O33" s="139">
        <f>SUM(K7:K10)</f>
        <v>0</v>
      </c>
      <c r="P33" s="169"/>
      <c r="Q33" s="169"/>
      <c r="R33" s="153">
        <f>P33/740</f>
        <v>0</v>
      </c>
      <c r="S33" s="153">
        <f>Q33/215</f>
        <v>0</v>
      </c>
      <c r="U33" s="126" t="s">
        <v>661</v>
      </c>
      <c r="V33" s="139">
        <f>SUM(K11:K14)</f>
        <v>0</v>
      </c>
      <c r="Y33" s="153">
        <f>W33/740</f>
        <v>0</v>
      </c>
      <c r="Z33" s="153">
        <f>X33/215</f>
        <v>0</v>
      </c>
    </row>
    <row r="34" spans="1:26" ht="22.5" customHeight="1">
      <c r="A34" s="126" t="s">
        <v>662</v>
      </c>
      <c r="B34" s="169">
        <v>189</v>
      </c>
      <c r="C34" s="169">
        <v>3</v>
      </c>
      <c r="D34" s="153">
        <f>B34/800</f>
        <v>0.23624999999999999</v>
      </c>
      <c r="E34" s="153">
        <f>C35/170</f>
        <v>0</v>
      </c>
      <c r="G34" s="126" t="s">
        <v>662</v>
      </c>
      <c r="H34" s="139">
        <f>SUM(L3:L6)</f>
        <v>0.4375</v>
      </c>
      <c r="I34" s="169">
        <v>123</v>
      </c>
      <c r="J34" s="169">
        <v>21</v>
      </c>
      <c r="K34" s="153">
        <f>I34/800</f>
        <v>0.15375</v>
      </c>
      <c r="L34" s="153">
        <f>J34/170</f>
        <v>0.12352941176470589</v>
      </c>
      <c r="N34" s="126" t="s">
        <v>662</v>
      </c>
      <c r="O34" s="139">
        <f>SUM(L7:L10)</f>
        <v>0.57361111111111107</v>
      </c>
      <c r="P34" s="169">
        <v>155</v>
      </c>
      <c r="Q34" s="169">
        <v>29</v>
      </c>
      <c r="R34" s="153">
        <f>P34/800</f>
        <v>0.19375000000000001</v>
      </c>
      <c r="S34" s="153">
        <f>Q34/170</f>
        <v>0.17058823529411765</v>
      </c>
      <c r="U34" s="126" t="s">
        <v>662</v>
      </c>
      <c r="V34" s="139">
        <f>SUM(L11:L14)</f>
        <v>0.6826388888888888</v>
      </c>
      <c r="W34" s="126">
        <v>159</v>
      </c>
      <c r="X34" s="126">
        <v>27</v>
      </c>
      <c r="Y34" s="153">
        <f>W34/800</f>
        <v>0.19875000000000001</v>
      </c>
      <c r="Z34" s="153">
        <f>X34/170</f>
        <v>0.1588235294117647</v>
      </c>
    </row>
    <row r="35" spans="1:26" ht="22.5" customHeight="1">
      <c r="A35" s="126" t="s">
        <v>663</v>
      </c>
      <c r="B35" s="169">
        <v>134</v>
      </c>
      <c r="C35" s="169">
        <v>0</v>
      </c>
      <c r="D35" s="153">
        <f>B35/580</f>
        <v>0.23103448275862068</v>
      </c>
      <c r="E35" s="153">
        <f>C36/75</f>
        <v>5.3333333333333337E-2</v>
      </c>
      <c r="G35" s="126" t="s">
        <v>663</v>
      </c>
      <c r="H35" s="139">
        <f>SUM(M3:M6)</f>
        <v>0.37916666666666665</v>
      </c>
      <c r="I35" s="169">
        <v>92</v>
      </c>
      <c r="J35" s="169">
        <v>11</v>
      </c>
      <c r="K35" s="153">
        <f>I35/580</f>
        <v>0.15862068965517243</v>
      </c>
      <c r="L35" s="153">
        <f>J35/75</f>
        <v>0.14666666666666667</v>
      </c>
      <c r="N35" s="126" t="s">
        <v>663</v>
      </c>
      <c r="O35" s="139">
        <f>SUM(M7:M10)</f>
        <v>0.28472222222222221</v>
      </c>
      <c r="P35" s="169">
        <v>69</v>
      </c>
      <c r="Q35" s="169">
        <v>9</v>
      </c>
      <c r="R35" s="153">
        <f>P35/580</f>
        <v>0.11896551724137931</v>
      </c>
      <c r="S35" s="153">
        <f>Q35/75</f>
        <v>0.12</v>
      </c>
      <c r="U35" s="126" t="s">
        <v>663</v>
      </c>
      <c r="V35" s="139">
        <f>SUM(M11:M14)</f>
        <v>0.5229166666666667</v>
      </c>
      <c r="W35" s="126">
        <v>115</v>
      </c>
      <c r="X35" s="126">
        <v>9</v>
      </c>
      <c r="Y35" s="153">
        <f>W35/580</f>
        <v>0.19827586206896552</v>
      </c>
      <c r="Z35" s="153">
        <f>X35/75</f>
        <v>0.12</v>
      </c>
    </row>
    <row r="36" spans="1:26" ht="22.5" customHeight="1">
      <c r="A36" s="126" t="s">
        <v>664</v>
      </c>
      <c r="B36" s="169">
        <v>180</v>
      </c>
      <c r="C36" s="169">
        <v>4</v>
      </c>
      <c r="D36" s="153">
        <f>B36/720</f>
        <v>0.25</v>
      </c>
      <c r="E36" s="153">
        <f>C36/100</f>
        <v>0.04</v>
      </c>
      <c r="G36" s="126" t="s">
        <v>664</v>
      </c>
      <c r="H36" s="139">
        <f>SUM(N3:N6)</f>
        <v>0</v>
      </c>
      <c r="K36" s="153">
        <f>I36/720</f>
        <v>0</v>
      </c>
      <c r="L36" s="153">
        <f>J36/100</f>
        <v>0</v>
      </c>
      <c r="N36" s="126" t="s">
        <v>664</v>
      </c>
      <c r="O36" s="139">
        <f>SUM(N7:N10)</f>
        <v>0</v>
      </c>
      <c r="R36" s="153">
        <f>P36/720</f>
        <v>0</v>
      </c>
      <c r="S36" s="153">
        <f>Q36/100</f>
        <v>0</v>
      </c>
      <c r="U36" s="126" t="s">
        <v>664</v>
      </c>
      <c r="V36" s="139">
        <f>SUM(N11:N14)</f>
        <v>0</v>
      </c>
      <c r="Y36" s="153">
        <f>W36/720</f>
        <v>0</v>
      </c>
      <c r="Z36" s="153">
        <f>X36/100</f>
        <v>0</v>
      </c>
    </row>
    <row r="37" spans="1:26" ht="22.5" customHeight="1">
      <c r="A37" s="126" t="s">
        <v>671</v>
      </c>
      <c r="B37" s="126">
        <f>AVERAGE(B24:B36)</f>
        <v>171.53846153846155</v>
      </c>
      <c r="C37" s="126"/>
      <c r="D37" s="153">
        <f t="shared" ref="D37:E37" si="3">SUM(D24:D36)</f>
        <v>3.1198784962538193</v>
      </c>
      <c r="E37" s="153">
        <f t="shared" si="3"/>
        <v>0.43135384327244797</v>
      </c>
      <c r="G37" s="126" t="s">
        <v>671</v>
      </c>
      <c r="H37" s="139">
        <f>SUM(H24:H36)</f>
        <v>3.3715277777777777</v>
      </c>
      <c r="I37" s="126"/>
      <c r="J37" s="126"/>
      <c r="K37" s="153">
        <f t="shared" ref="K37:L37" si="4">SUM(K24:K36)</f>
        <v>1.1214702831511074</v>
      </c>
      <c r="L37" s="153">
        <f t="shared" si="4"/>
        <v>0.99429517753047159</v>
      </c>
      <c r="N37" s="126" t="s">
        <v>671</v>
      </c>
      <c r="O37" s="139"/>
      <c r="P37" s="126"/>
      <c r="Q37" s="126"/>
      <c r="R37" s="153">
        <f t="shared" ref="R37:S37" si="5">SUM(R24:R36)</f>
        <v>0.9859763573497804</v>
      </c>
      <c r="S37" s="153">
        <f t="shared" si="5"/>
        <v>0.86173341893930144</v>
      </c>
      <c r="U37" s="126" t="s">
        <v>671</v>
      </c>
      <c r="V37" s="139">
        <f>SUM(V24:V36)</f>
        <v>3.4118055555555551</v>
      </c>
      <c r="W37" s="126"/>
      <c r="X37" s="126"/>
      <c r="Y37" s="153">
        <f t="shared" ref="Y37:Z37" si="6">SUM(Y24:Y36)</f>
        <v>1.0672074338846835</v>
      </c>
      <c r="Z37" s="153">
        <f t="shared" si="6"/>
        <v>0.74212772521596049</v>
      </c>
    </row>
    <row r="39" spans="1:26" ht="13">
      <c r="O39" s="1" t="s">
        <v>690</v>
      </c>
      <c r="W39" s="228"/>
      <c r="X39" s="227"/>
      <c r="Y39" s="227"/>
      <c r="Z39" s="227"/>
    </row>
    <row r="40" spans="1:26" ht="22.5" customHeight="1">
      <c r="A40" s="125" t="s">
        <v>16</v>
      </c>
      <c r="B40" s="152" t="s">
        <v>608</v>
      </c>
      <c r="C40" s="125" t="s">
        <v>105</v>
      </c>
      <c r="D40" s="125" t="s">
        <v>668</v>
      </c>
      <c r="E40" s="151" t="s">
        <v>673</v>
      </c>
      <c r="F40" s="125" t="s">
        <v>674</v>
      </c>
      <c r="H40" s="125" t="s">
        <v>16</v>
      </c>
      <c r="I40" s="152" t="s">
        <v>608</v>
      </c>
      <c r="J40" s="125" t="s">
        <v>105</v>
      </c>
      <c r="K40" s="125" t="s">
        <v>668</v>
      </c>
      <c r="L40" s="151" t="s">
        <v>675</v>
      </c>
      <c r="M40" s="125" t="s">
        <v>676</v>
      </c>
      <c r="O40" s="1" t="s">
        <v>16</v>
      </c>
      <c r="P40" s="1" t="s">
        <v>105</v>
      </c>
      <c r="Q40" s="1" t="s">
        <v>668</v>
      </c>
    </row>
    <row r="41" spans="1:26" ht="22.5" customHeight="1">
      <c r="A41" s="126" t="s">
        <v>667</v>
      </c>
      <c r="B41" s="139">
        <f>SUM(B15:B21)</f>
        <v>0.43611111111111112</v>
      </c>
      <c r="C41" s="126">
        <v>105</v>
      </c>
      <c r="D41" s="126">
        <v>35</v>
      </c>
      <c r="E41" s="153">
        <f>C41/750</f>
        <v>0.14000000000000001</v>
      </c>
      <c r="F41" s="153">
        <f>D41/200</f>
        <v>0.17499999999999999</v>
      </c>
      <c r="H41" s="126" t="s">
        <v>667</v>
      </c>
      <c r="I41" s="139">
        <f t="shared" ref="I41:I54" si="7">SUM(H24,O24,V24,B41)</f>
        <v>2.0729166666666665</v>
      </c>
      <c r="J41" s="126">
        <f t="shared" ref="J41:M41" si="8">SUM(B24,I24,P24,W24,C41)</f>
        <v>702</v>
      </c>
      <c r="K41" s="126">
        <f t="shared" si="8"/>
        <v>167</v>
      </c>
      <c r="L41" s="153">
        <f t="shared" si="8"/>
        <v>0.93600000000000005</v>
      </c>
      <c r="M41" s="153">
        <f t="shared" si="8"/>
        <v>0.83499999999999996</v>
      </c>
      <c r="O41" s="1" t="s">
        <v>667</v>
      </c>
      <c r="P41" s="1">
        <v>616</v>
      </c>
      <c r="Q41" s="1">
        <v>121</v>
      </c>
      <c r="R41" s="47"/>
      <c r="S41" s="47"/>
    </row>
    <row r="42" spans="1:26" ht="22.5" customHeight="1">
      <c r="A42" s="126" t="s">
        <v>650</v>
      </c>
      <c r="B42" s="139">
        <f>SUM(C15:C21)</f>
        <v>0.68611111111111101</v>
      </c>
      <c r="C42" s="126">
        <v>139</v>
      </c>
      <c r="D42" s="126">
        <v>8</v>
      </c>
      <c r="E42" s="153">
        <f>C42/720</f>
        <v>0.19305555555555556</v>
      </c>
      <c r="F42" s="153">
        <f>D42/65</f>
        <v>0.12307692307692308</v>
      </c>
      <c r="H42" s="126" t="s">
        <v>650</v>
      </c>
      <c r="I42" s="139">
        <f t="shared" si="7"/>
        <v>2.5812499999999998</v>
      </c>
      <c r="J42" s="126">
        <f t="shared" ref="J42:M42" si="9">SUM(B25,I25,P25,W25,C42)</f>
        <v>724</v>
      </c>
      <c r="K42" s="126">
        <f t="shared" si="9"/>
        <v>40</v>
      </c>
      <c r="L42" s="153">
        <f t="shared" si="9"/>
        <v>1.0055555555555555</v>
      </c>
      <c r="M42" s="153">
        <f t="shared" si="9"/>
        <v>0.61538461538461542</v>
      </c>
      <c r="O42" s="1" t="s">
        <v>650</v>
      </c>
      <c r="P42" s="1">
        <v>618</v>
      </c>
      <c r="Q42" s="1">
        <v>32</v>
      </c>
      <c r="R42" s="47"/>
      <c r="S42" s="47"/>
    </row>
    <row r="43" spans="1:26" ht="22.5" customHeight="1">
      <c r="A43" s="126" t="s">
        <v>651</v>
      </c>
      <c r="B43" s="139">
        <f>SUM(D15:D21)</f>
        <v>0.16249999999999998</v>
      </c>
      <c r="C43" s="126">
        <v>32</v>
      </c>
      <c r="D43" s="126">
        <v>5</v>
      </c>
      <c r="E43" s="153">
        <f>C43/750</f>
        <v>4.2666666666666665E-2</v>
      </c>
      <c r="F43" s="153">
        <f>D43/185</f>
        <v>2.7027027027027029E-2</v>
      </c>
      <c r="H43" s="126" t="s">
        <v>651</v>
      </c>
      <c r="I43" s="139">
        <f t="shared" si="7"/>
        <v>0.66041666666666665</v>
      </c>
      <c r="J43" s="126">
        <f t="shared" ref="J43:M43" si="10">SUM(B26,I26,P26,W26,C43)</f>
        <v>332</v>
      </c>
      <c r="K43" s="126">
        <f t="shared" si="10"/>
        <v>27</v>
      </c>
      <c r="L43" s="153">
        <f t="shared" si="10"/>
        <v>0.44266666666666671</v>
      </c>
      <c r="M43" s="153">
        <f t="shared" si="10"/>
        <v>0.14594594594594595</v>
      </c>
      <c r="O43" s="1" t="s">
        <v>651</v>
      </c>
      <c r="P43" s="1">
        <v>475</v>
      </c>
      <c r="Q43" s="1">
        <v>47</v>
      </c>
      <c r="R43" s="47"/>
      <c r="S43" s="47"/>
    </row>
    <row r="44" spans="1:26" ht="22.5" customHeight="1">
      <c r="A44" s="126" t="s">
        <v>652</v>
      </c>
      <c r="B44" s="139">
        <f>SUM(E15:E21)</f>
        <v>0</v>
      </c>
      <c r="E44" s="153">
        <f>C44/700</f>
        <v>0</v>
      </c>
      <c r="F44" s="153">
        <f>D44/220</f>
        <v>0</v>
      </c>
      <c r="H44" s="175" t="s">
        <v>652</v>
      </c>
      <c r="I44" s="176">
        <f t="shared" si="7"/>
        <v>0</v>
      </c>
      <c r="J44" s="175">
        <f t="shared" ref="J44:M44" si="11">SUM(B27,I27,P27,W27,C44)</f>
        <v>153</v>
      </c>
      <c r="K44" s="175">
        <f t="shared" si="11"/>
        <v>1</v>
      </c>
      <c r="L44" s="153">
        <f t="shared" si="11"/>
        <v>0.21857142857142858</v>
      </c>
      <c r="M44" s="153">
        <f t="shared" si="11"/>
        <v>4.5454545454545452E-3</v>
      </c>
      <c r="O44" s="177" t="s">
        <v>652</v>
      </c>
      <c r="P44" s="177">
        <v>234</v>
      </c>
      <c r="Q44" s="177">
        <v>23</v>
      </c>
      <c r="R44" s="47"/>
      <c r="S44" s="47"/>
    </row>
    <row r="45" spans="1:26" ht="22.5" customHeight="1">
      <c r="A45" s="126" t="s">
        <v>655</v>
      </c>
      <c r="B45" s="139">
        <f>SUM(F15:F21)</f>
        <v>0.26111111111111113</v>
      </c>
      <c r="C45" s="126">
        <v>60</v>
      </c>
      <c r="D45" s="126">
        <v>12</v>
      </c>
      <c r="E45" s="153">
        <f>C45/800</f>
        <v>7.4999999999999997E-2</v>
      </c>
      <c r="F45" s="153">
        <f>D46/220</f>
        <v>6.363636363636363E-2</v>
      </c>
      <c r="H45" s="126" t="s">
        <v>655</v>
      </c>
      <c r="I45" s="139">
        <f t="shared" si="7"/>
        <v>1.0041666666666667</v>
      </c>
      <c r="J45" s="126">
        <f t="shared" ref="J45:J54" si="12">SUM(B28,I28,P28,W28,C45)</f>
        <v>402</v>
      </c>
      <c r="K45" s="126">
        <f t="shared" ref="K45:K52" si="13">SUM(C29,J28,Q28,X28,D46)</f>
        <v>46</v>
      </c>
      <c r="L45" s="153">
        <f t="shared" ref="L45:M45" si="14">SUM(D28,K28,R28,Y28,E45)</f>
        <v>0.50249999999999995</v>
      </c>
      <c r="M45" s="153">
        <f t="shared" si="14"/>
        <v>0.20909090909090908</v>
      </c>
      <c r="O45" s="1" t="s">
        <v>655</v>
      </c>
      <c r="P45" s="1">
        <v>282</v>
      </c>
      <c r="Q45" s="1">
        <v>24</v>
      </c>
      <c r="R45" s="47"/>
    </row>
    <row r="46" spans="1:26" ht="22.5" customHeight="1">
      <c r="A46" s="126" t="s">
        <v>653</v>
      </c>
      <c r="B46" s="139">
        <f>SUM(G15:G21)</f>
        <v>0.32152777777777775</v>
      </c>
      <c r="C46" s="126">
        <v>69</v>
      </c>
      <c r="D46" s="126">
        <v>14</v>
      </c>
      <c r="E46" s="153">
        <f t="shared" ref="E46:F46" si="15">C46/820</f>
        <v>8.4146341463414639E-2</v>
      </c>
      <c r="F46" s="153">
        <f t="shared" si="15"/>
        <v>1.7073170731707318E-2</v>
      </c>
      <c r="H46" s="126" t="s">
        <v>653</v>
      </c>
      <c r="I46" s="139">
        <f t="shared" si="7"/>
        <v>1.2173611111111111</v>
      </c>
      <c r="J46" s="126">
        <f t="shared" si="12"/>
        <v>446</v>
      </c>
      <c r="K46" s="126">
        <f t="shared" si="13"/>
        <v>43</v>
      </c>
      <c r="L46" s="153">
        <f t="shared" ref="L46:M46" si="16">SUM(D29,K29,R29,Y29,E46)</f>
        <v>0.54390243902439028</v>
      </c>
      <c r="M46" s="153">
        <f t="shared" si="16"/>
        <v>0.18790650406504067</v>
      </c>
      <c r="O46" s="177" t="s">
        <v>654</v>
      </c>
      <c r="P46" s="177">
        <v>229</v>
      </c>
      <c r="Q46" s="177">
        <v>22</v>
      </c>
      <c r="R46" s="47"/>
    </row>
    <row r="47" spans="1:26" ht="22.5" customHeight="1">
      <c r="A47" s="126" t="s">
        <v>654</v>
      </c>
      <c r="B47" s="139">
        <f>SUM(H15:H21)</f>
        <v>0</v>
      </c>
      <c r="C47" s="126">
        <v>7</v>
      </c>
      <c r="D47" s="126">
        <v>2</v>
      </c>
      <c r="E47" s="153">
        <f>C47/620</f>
        <v>1.1290322580645161E-2</v>
      </c>
      <c r="F47" s="153">
        <f>D47/820</f>
        <v>2.4390243902439024E-3</v>
      </c>
      <c r="H47" s="175" t="s">
        <v>654</v>
      </c>
      <c r="I47" s="176">
        <f t="shared" si="7"/>
        <v>0</v>
      </c>
      <c r="J47" s="175">
        <f t="shared" si="12"/>
        <v>187</v>
      </c>
      <c r="K47" s="175">
        <f t="shared" si="13"/>
        <v>44</v>
      </c>
      <c r="L47" s="153">
        <f t="shared" ref="L47:M47" si="17">SUM(D30,K30,R30,Y30,E47)</f>
        <v>0.30161290322580647</v>
      </c>
      <c r="M47" s="153">
        <f t="shared" si="17"/>
        <v>9.1327913279132797E-2</v>
      </c>
      <c r="O47" s="1" t="s">
        <v>653</v>
      </c>
      <c r="P47" s="1">
        <v>675</v>
      </c>
      <c r="Q47" s="1">
        <v>86</v>
      </c>
      <c r="R47" s="47"/>
      <c r="S47" s="47"/>
    </row>
    <row r="48" spans="1:26" ht="22.5" customHeight="1">
      <c r="A48" s="126" t="s">
        <v>659</v>
      </c>
      <c r="B48" s="139">
        <f>SUM(I15:I21)</f>
        <v>0.83680555555555547</v>
      </c>
      <c r="C48" s="126">
        <v>192</v>
      </c>
      <c r="D48" s="126">
        <v>36</v>
      </c>
      <c r="E48" s="153">
        <f t="shared" ref="E48:F48" si="18">C48/820</f>
        <v>0.23414634146341465</v>
      </c>
      <c r="F48" s="153">
        <f t="shared" si="18"/>
        <v>4.3902439024390241E-2</v>
      </c>
      <c r="H48" s="126" t="s">
        <v>659</v>
      </c>
      <c r="I48" s="139">
        <f t="shared" si="7"/>
        <v>1.9388888888888887</v>
      </c>
      <c r="J48" s="126">
        <f t="shared" si="12"/>
        <v>693</v>
      </c>
      <c r="K48" s="126">
        <f t="shared" si="13"/>
        <v>47</v>
      </c>
      <c r="L48" s="153">
        <f t="shared" ref="L48:M48" si="19">SUM(D31,K31,R31,Y31,E48)</f>
        <v>0.84512195121951217</v>
      </c>
      <c r="M48" s="153">
        <f t="shared" si="19"/>
        <v>0.27890243902439027</v>
      </c>
      <c r="O48" s="1" t="s">
        <v>659</v>
      </c>
      <c r="P48" s="1">
        <v>531</v>
      </c>
      <c r="Q48" s="1">
        <v>79</v>
      </c>
      <c r="R48" s="47"/>
      <c r="S48" s="47"/>
    </row>
    <row r="49" spans="1:28" ht="22.5" customHeight="1">
      <c r="A49" s="126" t="s">
        <v>660</v>
      </c>
      <c r="B49" s="139">
        <f>SUM(J15:J21)</f>
        <v>0</v>
      </c>
      <c r="E49" s="153">
        <f>C49/505</f>
        <v>0</v>
      </c>
      <c r="F49" s="153">
        <f t="shared" ref="F49:F53" si="20">D49/820</f>
        <v>0</v>
      </c>
      <c r="H49" s="175" t="s">
        <v>660</v>
      </c>
      <c r="I49" s="176">
        <f t="shared" si="7"/>
        <v>0</v>
      </c>
      <c r="J49" s="175">
        <f t="shared" si="12"/>
        <v>123</v>
      </c>
      <c r="K49" s="175">
        <f t="shared" si="13"/>
        <v>7</v>
      </c>
      <c r="L49" s="153">
        <f t="shared" ref="L49:M49" si="21">SUM(D32,K32,R32,Y32,E49)</f>
        <v>0.24356435643564356</v>
      </c>
      <c r="M49" s="153">
        <f t="shared" si="21"/>
        <v>0.16666666666666666</v>
      </c>
      <c r="O49" s="1" t="s">
        <v>660</v>
      </c>
      <c r="P49" s="1">
        <v>213</v>
      </c>
      <c r="Q49" s="1">
        <v>7</v>
      </c>
      <c r="R49" s="47"/>
      <c r="S49" s="47"/>
    </row>
    <row r="50" spans="1:28" ht="22.5" customHeight="1">
      <c r="A50" s="126" t="s">
        <v>661</v>
      </c>
      <c r="B50" s="139">
        <f>SUM(K15:K21)</f>
        <v>0</v>
      </c>
      <c r="E50" s="153">
        <f>C50/740</f>
        <v>0</v>
      </c>
      <c r="F50" s="153">
        <f t="shared" si="20"/>
        <v>0</v>
      </c>
      <c r="H50" s="175" t="s">
        <v>661</v>
      </c>
      <c r="I50" s="176">
        <f t="shared" si="7"/>
        <v>0</v>
      </c>
      <c r="J50" s="175">
        <f t="shared" si="12"/>
        <v>219</v>
      </c>
      <c r="K50" s="175">
        <f t="shared" si="13"/>
        <v>43</v>
      </c>
      <c r="L50" s="153">
        <f t="shared" ref="L50:M50" si="22">SUM(D33,K33,R33,Y33,E50)</f>
        <v>0.29594594594594592</v>
      </c>
      <c r="M50" s="153">
        <f t="shared" si="22"/>
        <v>1.3953488372093023E-2</v>
      </c>
      <c r="O50" s="177" t="s">
        <v>661</v>
      </c>
      <c r="P50" s="177">
        <v>245</v>
      </c>
      <c r="Q50" s="177">
        <v>30</v>
      </c>
      <c r="R50" s="1"/>
      <c r="S50" s="1"/>
    </row>
    <row r="51" spans="1:28" ht="22.5" customHeight="1">
      <c r="A51" s="126" t="s">
        <v>662</v>
      </c>
      <c r="B51" s="139">
        <f>SUM(L15:L21)</f>
        <v>0.83680555555555547</v>
      </c>
      <c r="C51" s="126">
        <v>196</v>
      </c>
      <c r="D51" s="126">
        <v>40</v>
      </c>
      <c r="E51" s="153">
        <f>C51/800</f>
        <v>0.245</v>
      </c>
      <c r="F51" s="153">
        <f t="shared" si="20"/>
        <v>4.878048780487805E-2</v>
      </c>
      <c r="H51" s="126" t="s">
        <v>662</v>
      </c>
      <c r="I51" s="139">
        <f t="shared" si="7"/>
        <v>2.5305555555555554</v>
      </c>
      <c r="J51" s="126">
        <f t="shared" si="12"/>
        <v>822</v>
      </c>
      <c r="K51" s="126">
        <f t="shared" si="13"/>
        <v>89</v>
      </c>
      <c r="L51" s="153">
        <f t="shared" ref="L51:M51" si="23">SUM(D34,K34,R34,Y34,E51)</f>
        <v>1.0274999999999999</v>
      </c>
      <c r="M51" s="153">
        <f t="shared" si="23"/>
        <v>0.50172166427546627</v>
      </c>
      <c r="O51" s="1" t="s">
        <v>662</v>
      </c>
      <c r="P51" s="1">
        <v>597</v>
      </c>
      <c r="Q51" s="1">
        <v>85</v>
      </c>
      <c r="R51" s="1"/>
      <c r="S51" s="1"/>
    </row>
    <row r="52" spans="1:28" ht="22.5" customHeight="1">
      <c r="A52" s="126" t="s">
        <v>663</v>
      </c>
      <c r="B52" s="139">
        <f>SUM(M15:M21)</f>
        <v>0.57291666666666663</v>
      </c>
      <c r="C52" s="126">
        <v>106</v>
      </c>
      <c r="D52" s="126">
        <v>12</v>
      </c>
      <c r="E52" s="153">
        <f>C52/580</f>
        <v>0.18275862068965518</v>
      </c>
      <c r="F52" s="153">
        <f t="shared" si="20"/>
        <v>1.4634146341463415E-2</v>
      </c>
      <c r="H52" s="126" t="s">
        <v>663</v>
      </c>
      <c r="I52" s="139">
        <f t="shared" si="7"/>
        <v>1.759722222222222</v>
      </c>
      <c r="J52" s="126">
        <f t="shared" si="12"/>
        <v>516</v>
      </c>
      <c r="K52" s="126">
        <f t="shared" si="13"/>
        <v>33</v>
      </c>
      <c r="L52" s="153">
        <f t="shared" ref="L52:M52" si="24">SUM(D35,K35,R35,Y35,E52)</f>
        <v>0.8896551724137931</v>
      </c>
      <c r="M52" s="153">
        <f t="shared" si="24"/>
        <v>0.45463414634146343</v>
      </c>
      <c r="O52" s="1" t="s">
        <v>663</v>
      </c>
      <c r="P52" s="1">
        <v>485</v>
      </c>
      <c r="Q52" s="1">
        <v>40</v>
      </c>
      <c r="R52" s="1"/>
      <c r="S52" s="1"/>
    </row>
    <row r="53" spans="1:28" ht="22.5" customHeight="1">
      <c r="A53" s="126" t="s">
        <v>664</v>
      </c>
      <c r="B53" s="139">
        <f>SUM(N15:N21)</f>
        <v>0</v>
      </c>
      <c r="E53" s="153">
        <f>C53/720</f>
        <v>0</v>
      </c>
      <c r="F53" s="153">
        <f t="shared" si="20"/>
        <v>0</v>
      </c>
      <c r="H53" s="175" t="s">
        <v>664</v>
      </c>
      <c r="I53" s="176">
        <f t="shared" si="7"/>
        <v>0</v>
      </c>
      <c r="J53" s="175">
        <f t="shared" si="12"/>
        <v>180</v>
      </c>
      <c r="K53" s="175">
        <f>SUM(D53,C36,J36,Q36,X36)</f>
        <v>4</v>
      </c>
      <c r="L53" s="153">
        <f t="shared" ref="L53:M53" si="25">SUM(D36,K36,R36,Y36,E53)</f>
        <v>0.25</v>
      </c>
      <c r="M53" s="153">
        <f t="shared" si="25"/>
        <v>0.04</v>
      </c>
      <c r="O53" s="177" t="s">
        <v>664</v>
      </c>
      <c r="P53" s="177">
        <v>168</v>
      </c>
      <c r="Q53" s="177">
        <v>5</v>
      </c>
      <c r="R53" s="1"/>
      <c r="S53" s="1"/>
    </row>
    <row r="54" spans="1:28" ht="22.5" customHeight="1">
      <c r="A54" s="126" t="s">
        <v>671</v>
      </c>
      <c r="B54" s="139">
        <f>SUM(B41:B53)</f>
        <v>4.1138888888888889</v>
      </c>
      <c r="C54" s="126"/>
      <c r="D54" s="126"/>
      <c r="E54" s="153">
        <f t="shared" ref="E54:F54" si="26">SUM(E41:E53)</f>
        <v>1.2080638484193518</v>
      </c>
      <c r="F54" s="153">
        <f t="shared" si="26"/>
        <v>0.51556958203299663</v>
      </c>
      <c r="H54" s="170" t="s">
        <v>671</v>
      </c>
      <c r="I54" s="171">
        <f t="shared" si="7"/>
        <v>10.897222222222222</v>
      </c>
      <c r="J54" s="170">
        <f t="shared" si="12"/>
        <v>171.53846153846155</v>
      </c>
      <c r="K54" s="170">
        <f>SUM(C37,J37,Q37,X37,D54)</f>
        <v>0</v>
      </c>
      <c r="L54" s="172">
        <f t="shared" ref="L54:M54" si="27">AVERAGE(L41:L53)</f>
        <v>0.5771228014660571</v>
      </c>
      <c r="M54" s="172">
        <f t="shared" si="27"/>
        <v>0.2726984420762445</v>
      </c>
      <c r="O54" s="1"/>
      <c r="P54" s="1"/>
      <c r="Q54" s="1"/>
      <c r="R54" s="1"/>
      <c r="S54" s="1"/>
    </row>
    <row r="58" spans="1:28" ht="13">
      <c r="AA58" s="159"/>
      <c r="AB58" s="159"/>
    </row>
    <row r="59" spans="1:28" ht="13">
      <c r="AA59" s="159"/>
      <c r="AB59" s="159"/>
    </row>
    <row r="60" spans="1:28" ht="13">
      <c r="AA60" s="159"/>
      <c r="AB60" s="159"/>
    </row>
    <row r="61" spans="1:28" ht="13">
      <c r="AA61" s="159"/>
      <c r="AB61" s="159"/>
    </row>
    <row r="62" spans="1:28" ht="13">
      <c r="AA62" s="159"/>
      <c r="AB62" s="159"/>
    </row>
    <row r="63" spans="1:28" ht="13">
      <c r="AA63" s="159"/>
      <c r="AB63" s="159"/>
    </row>
    <row r="64" spans="1:28" ht="13">
      <c r="AA64" s="159"/>
      <c r="AB64" s="159"/>
    </row>
    <row r="65" spans="27:28" ht="13">
      <c r="AA65" s="159"/>
      <c r="AB65" s="159"/>
    </row>
    <row r="66" spans="27:28" ht="13">
      <c r="AA66" s="159"/>
      <c r="AB66" s="159"/>
    </row>
    <row r="67" spans="27:28" ht="13">
      <c r="AA67" s="159"/>
      <c r="AB67" s="159"/>
    </row>
    <row r="68" spans="27:28" ht="13">
      <c r="AA68" s="159"/>
      <c r="AB68" s="159"/>
    </row>
    <row r="69" spans="27:28" ht="13">
      <c r="AA69" s="159"/>
      <c r="AB69" s="159"/>
    </row>
    <row r="70" spans="27:28" ht="13">
      <c r="AA70" s="159"/>
      <c r="AB70" s="159"/>
    </row>
  </sheetData>
  <mergeCells count="5">
    <mergeCell ref="A3:A6"/>
    <mergeCell ref="A7:A10"/>
    <mergeCell ref="A11:A14"/>
    <mergeCell ref="A15:A21"/>
    <mergeCell ref="W39:Z39"/>
  </mergeCells>
  <conditionalFormatting sqref="L41:L54">
    <cfRule type="cellIs" dxfId="21" priority="1" operator="between">
      <formula>0.5</formula>
      <formula>0.75</formula>
    </cfRule>
    <cfRule type="cellIs" dxfId="20" priority="2" operator="between">
      <formula>0.25</formula>
      <formula>0.5</formula>
    </cfRule>
    <cfRule type="cellIs" dxfId="19" priority="3" operator="between">
      <formula>0</formula>
      <formula>0.25</formula>
    </cfRule>
    <cfRule type="cellIs" dxfId="18" priority="4" operator="greaterThan">
      <formula>0.75</formula>
    </cfRule>
  </conditionalFormatting>
  <conditionalFormatting sqref="M41:M54">
    <cfRule type="cellIs" dxfId="17" priority="5" operator="between">
      <formula>0.5</formula>
      <formula>0.75</formula>
    </cfRule>
    <cfRule type="cellIs" dxfId="16" priority="6" operator="between">
      <formula>0.25</formula>
      <formula>0.5</formula>
    </cfRule>
    <cfRule type="cellIs" dxfId="15" priority="7" operator="between">
      <formula>0</formula>
      <formula>0.25</formula>
    </cfRule>
    <cfRule type="cellIs" dxfId="14" priority="8" operator="greaterThan">
      <formula>0.75</formula>
    </cfRule>
  </conditionalFormatting>
  <conditionalFormatting sqref="P41:P43">
    <cfRule type="expression" dxfId="13" priority="10">
      <formula>0.75* P41 &lt; $J41</formula>
    </cfRule>
  </conditionalFormatting>
  <conditionalFormatting sqref="P45">
    <cfRule type="expression" dxfId="12" priority="13">
      <formula>0.75* P45 &lt; $J45</formula>
    </cfRule>
  </conditionalFormatting>
  <conditionalFormatting sqref="P47">
    <cfRule type="expression" dxfId="11" priority="9">
      <formula>0.75* P47 &lt; $J46</formula>
    </cfRule>
  </conditionalFormatting>
  <conditionalFormatting sqref="P48:P49">
    <cfRule type="expression" dxfId="10" priority="14">
      <formula>0.75* P48 &lt; $J48</formula>
    </cfRule>
  </conditionalFormatting>
  <conditionalFormatting sqref="P51:P52">
    <cfRule type="expression" dxfId="9" priority="16">
      <formula>0.75* P51 &lt; $J51</formula>
    </cfRule>
  </conditionalFormatting>
  <conditionalFormatting sqref="Q41">
    <cfRule type="expression" dxfId="8" priority="18">
      <formula>0.75* P41 &lt; K41</formula>
    </cfRule>
  </conditionalFormatting>
  <conditionalFormatting sqref="Q42">
    <cfRule type="expression" dxfId="7" priority="19">
      <formula>0.75* P41 &lt; K42</formula>
    </cfRule>
  </conditionalFormatting>
  <conditionalFormatting sqref="Q43">
    <cfRule type="expression" dxfId="6" priority="20">
      <formula>0.75* P41 &lt; K43</formula>
    </cfRule>
  </conditionalFormatting>
  <conditionalFormatting sqref="Q45">
    <cfRule type="expression" dxfId="5" priority="21">
      <formula>0.75* P41 &lt; K45</formula>
    </cfRule>
  </conditionalFormatting>
  <conditionalFormatting sqref="Q47">
    <cfRule type="expression" dxfId="4" priority="22">
      <formula>0.75* P41 &lt; K41</formula>
    </cfRule>
  </conditionalFormatting>
  <conditionalFormatting sqref="Q48">
    <cfRule type="expression" dxfId="3" priority="23">
      <formula>0.75* P41 &lt; K48</formula>
    </cfRule>
  </conditionalFormatting>
  <conditionalFormatting sqref="Q49">
    <cfRule type="expression" dxfId="2" priority="24">
      <formula>0.75* P41 &lt; K49</formula>
    </cfRule>
  </conditionalFormatting>
  <conditionalFormatting sqref="Q51">
    <cfRule type="expression" dxfId="1" priority="25">
      <formula>0.75* P41 &lt; K51</formula>
    </cfRule>
  </conditionalFormatting>
  <conditionalFormatting sqref="Q52">
    <cfRule type="expression" dxfId="0" priority="26">
      <formula>0.75* P41 &lt; K52</formula>
    </cfRule>
  </conditionalFormatting>
  <dataValidations count="1">
    <dataValidation type="custom" allowBlank="1" showDropDown="1" sqref="D24:D37" xr:uid="{00000000-0002-0000-2200-000000000000}">
      <formula1>AND(ISNUMBER(D24),(NOT(OR(NOT(ISERROR(DATEVALUE(D24))), AND(ISNUMBER(D24), LEFT(CELL("format", D24))="D")))))</formula1>
    </dataValidation>
  </dataValidation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A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7" ht="15.75" customHeight="1">
      <c r="A1" s="179" t="s">
        <v>672</v>
      </c>
      <c r="B1" s="180" t="s">
        <v>706</v>
      </c>
      <c r="C1" s="180" t="s">
        <v>707</v>
      </c>
      <c r="D1" s="181" t="s">
        <v>708</v>
      </c>
      <c r="E1" s="182" t="s">
        <v>709</v>
      </c>
      <c r="F1" s="182" t="s">
        <v>710</v>
      </c>
      <c r="G1" s="181" t="s">
        <v>711</v>
      </c>
      <c r="H1" s="182" t="s">
        <v>712</v>
      </c>
      <c r="I1" s="182" t="s">
        <v>713</v>
      </c>
      <c r="J1" s="182" t="s">
        <v>714</v>
      </c>
      <c r="K1" s="182" t="s">
        <v>715</v>
      </c>
      <c r="L1" s="182" t="s">
        <v>716</v>
      </c>
      <c r="M1" s="182" t="s">
        <v>717</v>
      </c>
      <c r="N1" s="182" t="s">
        <v>718</v>
      </c>
      <c r="O1" s="182" t="s">
        <v>719</v>
      </c>
      <c r="P1" s="182" t="s">
        <v>720</v>
      </c>
      <c r="Q1" s="183" t="s">
        <v>721</v>
      </c>
      <c r="R1" s="184" t="s">
        <v>642</v>
      </c>
      <c r="S1" s="184" t="s">
        <v>722</v>
      </c>
      <c r="T1" s="184" t="s">
        <v>643</v>
      </c>
      <c r="U1" s="1" t="s">
        <v>723</v>
      </c>
      <c r="V1" s="1" t="s">
        <v>724</v>
      </c>
      <c r="W1" s="1" t="s">
        <v>725</v>
      </c>
      <c r="X1" s="184" t="s">
        <v>726</v>
      </c>
      <c r="Y1" s="1" t="s">
        <v>727</v>
      </c>
      <c r="Z1" s="1" t="s">
        <v>728</v>
      </c>
      <c r="AA1" s="1" t="s">
        <v>729</v>
      </c>
    </row>
    <row r="2" spans="1:27" ht="15.75" customHeight="1">
      <c r="A2" s="185">
        <v>1</v>
      </c>
      <c r="B2" s="186">
        <v>1</v>
      </c>
      <c r="C2" s="186" t="s">
        <v>730</v>
      </c>
      <c r="D2" s="186">
        <v>2</v>
      </c>
      <c r="E2" s="187">
        <v>45660</v>
      </c>
      <c r="F2" s="187" t="s">
        <v>731</v>
      </c>
      <c r="G2" s="187" t="s">
        <v>731</v>
      </c>
      <c r="H2" s="186">
        <v>1</v>
      </c>
      <c r="I2" s="186">
        <v>1</v>
      </c>
      <c r="J2" s="186">
        <v>2</v>
      </c>
      <c r="K2" s="186">
        <v>1</v>
      </c>
      <c r="L2" s="186">
        <v>1</v>
      </c>
      <c r="M2" s="186">
        <v>3</v>
      </c>
      <c r="N2" s="186">
        <v>0</v>
      </c>
      <c r="O2" s="186">
        <v>0</v>
      </c>
      <c r="P2" s="186">
        <v>8</v>
      </c>
      <c r="Q2" s="186">
        <v>0</v>
      </c>
      <c r="R2" s="188" t="e">
        <f t="shared" ref="R2:R41" si="0">LEFT(E2, FIND("-",E2)-1)</f>
        <v>#VALUE!</v>
      </c>
      <c r="S2" s="188" t="e">
        <f t="shared" ref="S2:S41" si="1">RIGHT(E2, FIND("-",E2)-1)</f>
        <v>#VALUE!</v>
      </c>
      <c r="T2" s="188" t="e">
        <f t="shared" ref="T2:T41" si="2">S2-R2</f>
        <v>#VALUE!</v>
      </c>
      <c r="U2" s="188" t="str">
        <f t="shared" ref="U2:U41" si="3">LEFT(G2, FIND("-",G2)-1)</f>
        <v>0</v>
      </c>
      <c r="V2" s="188" t="str">
        <f t="shared" ref="V2:V41" si="4">RIGHT(G2, FIND("-",G2)-1)</f>
        <v>0</v>
      </c>
      <c r="W2" s="186">
        <f t="shared" ref="W2:W41" si="5">V2-U2</f>
        <v>0</v>
      </c>
      <c r="X2" s="186" t="e">
        <f t="shared" ref="X2:X41" si="6">(D2+J2+K2+O2+N2-T2-W2-M2-L2)/P2</f>
        <v>#VALUE!</v>
      </c>
      <c r="Y2" s="188" t="str">
        <f t="shared" ref="Y2:Y41" si="7">LEFT(G2, FIND("-",G2)-1)</f>
        <v>0</v>
      </c>
      <c r="Z2" s="188" t="str">
        <f t="shared" ref="Z2:Z41" si="8">RIGHT(G2, FIND("-",G2)-1)</f>
        <v>0</v>
      </c>
      <c r="AA2" s="186">
        <f t="shared" ref="AA2:AA41" si="9">Z2-Y2</f>
        <v>0</v>
      </c>
    </row>
    <row r="3" spans="1:27" ht="15.75" customHeight="1">
      <c r="A3" s="185">
        <v>1</v>
      </c>
      <c r="B3" s="186">
        <v>3</v>
      </c>
      <c r="C3" s="186" t="s">
        <v>732</v>
      </c>
      <c r="D3" s="186">
        <v>5</v>
      </c>
      <c r="E3" s="187">
        <v>45693</v>
      </c>
      <c r="F3" s="187">
        <v>45660</v>
      </c>
      <c r="G3" s="187" t="s">
        <v>731</v>
      </c>
      <c r="H3" s="186">
        <v>1</v>
      </c>
      <c r="I3" s="186">
        <v>0</v>
      </c>
      <c r="J3" s="186">
        <v>1</v>
      </c>
      <c r="K3" s="186">
        <v>1</v>
      </c>
      <c r="L3" s="186">
        <v>0</v>
      </c>
      <c r="M3" s="186">
        <v>0</v>
      </c>
      <c r="N3" s="186">
        <v>0</v>
      </c>
      <c r="O3" s="186">
        <v>0</v>
      </c>
      <c r="P3" s="186">
        <v>8</v>
      </c>
      <c r="Q3" s="186">
        <v>3</v>
      </c>
      <c r="R3" s="188" t="e">
        <f t="shared" si="0"/>
        <v>#VALUE!</v>
      </c>
      <c r="S3" s="188" t="e">
        <f t="shared" si="1"/>
        <v>#VALUE!</v>
      </c>
      <c r="T3" s="188" t="e">
        <f t="shared" si="2"/>
        <v>#VALUE!</v>
      </c>
      <c r="U3" s="188" t="str">
        <f t="shared" si="3"/>
        <v>0</v>
      </c>
      <c r="V3" s="188" t="str">
        <f t="shared" si="4"/>
        <v>0</v>
      </c>
      <c r="W3" s="186">
        <f t="shared" si="5"/>
        <v>0</v>
      </c>
      <c r="X3" s="186" t="e">
        <f t="shared" si="6"/>
        <v>#VALUE!</v>
      </c>
      <c r="Y3" s="188" t="str">
        <f t="shared" si="7"/>
        <v>0</v>
      </c>
      <c r="Z3" s="188" t="str">
        <f t="shared" si="8"/>
        <v>0</v>
      </c>
      <c r="AA3" s="186">
        <f t="shared" si="9"/>
        <v>0</v>
      </c>
    </row>
    <row r="4" spans="1:27" ht="15.75" customHeight="1">
      <c r="A4" s="185">
        <v>1</v>
      </c>
      <c r="B4" s="186">
        <v>10</v>
      </c>
      <c r="C4" s="186" t="s">
        <v>733</v>
      </c>
      <c r="D4" s="186">
        <v>1</v>
      </c>
      <c r="E4" s="187" t="s">
        <v>734</v>
      </c>
      <c r="F4" s="187" t="s">
        <v>735</v>
      </c>
      <c r="G4" s="187">
        <v>45659</v>
      </c>
      <c r="H4" s="186">
        <v>1</v>
      </c>
      <c r="I4" s="186">
        <v>4</v>
      </c>
      <c r="J4" s="186">
        <v>5</v>
      </c>
      <c r="K4" s="186">
        <v>1</v>
      </c>
      <c r="L4" s="186">
        <v>0</v>
      </c>
      <c r="M4" s="186">
        <v>1</v>
      </c>
      <c r="N4" s="186">
        <v>0</v>
      </c>
      <c r="O4" s="186">
        <v>1</v>
      </c>
      <c r="P4" s="186">
        <v>10</v>
      </c>
      <c r="Q4" s="186">
        <v>0</v>
      </c>
      <c r="R4" s="188" t="str">
        <f t="shared" si="0"/>
        <v>0</v>
      </c>
      <c r="S4" s="188" t="str">
        <f t="shared" si="1"/>
        <v>4</v>
      </c>
      <c r="T4" s="188">
        <f t="shared" si="2"/>
        <v>4</v>
      </c>
      <c r="U4" s="188" t="e">
        <f t="shared" si="3"/>
        <v>#VALUE!</v>
      </c>
      <c r="V4" s="188" t="e">
        <f t="shared" si="4"/>
        <v>#VALUE!</v>
      </c>
      <c r="W4" s="186" t="e">
        <f t="shared" si="5"/>
        <v>#VALUE!</v>
      </c>
      <c r="X4" s="186" t="e">
        <f t="shared" si="6"/>
        <v>#VALUE!</v>
      </c>
      <c r="Y4" s="188" t="e">
        <f t="shared" si="7"/>
        <v>#VALUE!</v>
      </c>
      <c r="Z4" s="188" t="e">
        <f t="shared" si="8"/>
        <v>#VALUE!</v>
      </c>
      <c r="AA4" s="186" t="e">
        <f t="shared" si="9"/>
        <v>#VALUE!</v>
      </c>
    </row>
    <row r="5" spans="1:27" ht="15.75" customHeight="1">
      <c r="A5" s="185">
        <v>1</v>
      </c>
      <c r="B5" s="186">
        <v>25</v>
      </c>
      <c r="C5" s="186" t="s">
        <v>736</v>
      </c>
      <c r="D5" s="186">
        <v>3</v>
      </c>
      <c r="E5" s="187">
        <v>45659</v>
      </c>
      <c r="F5" s="187">
        <v>45658</v>
      </c>
      <c r="G5" s="187" t="s">
        <v>731</v>
      </c>
      <c r="H5" s="186">
        <v>1</v>
      </c>
      <c r="I5" s="186">
        <v>0</v>
      </c>
      <c r="J5" s="186">
        <v>1</v>
      </c>
      <c r="K5" s="186">
        <v>2</v>
      </c>
      <c r="L5" s="186">
        <v>1</v>
      </c>
      <c r="M5" s="186">
        <v>0</v>
      </c>
      <c r="N5" s="186">
        <v>0</v>
      </c>
      <c r="O5" s="186">
        <v>0</v>
      </c>
      <c r="P5" s="186">
        <v>8</v>
      </c>
      <c r="Q5" s="186">
        <v>3</v>
      </c>
      <c r="R5" s="188" t="e">
        <f t="shared" si="0"/>
        <v>#VALUE!</v>
      </c>
      <c r="S5" s="188" t="e">
        <f t="shared" si="1"/>
        <v>#VALUE!</v>
      </c>
      <c r="T5" s="188" t="e">
        <f t="shared" si="2"/>
        <v>#VALUE!</v>
      </c>
      <c r="U5" s="188" t="str">
        <f t="shared" si="3"/>
        <v>0</v>
      </c>
      <c r="V5" s="188" t="str">
        <f t="shared" si="4"/>
        <v>0</v>
      </c>
      <c r="W5" s="186">
        <f t="shared" si="5"/>
        <v>0</v>
      </c>
      <c r="X5" s="186" t="e">
        <f t="shared" si="6"/>
        <v>#VALUE!</v>
      </c>
      <c r="Y5" s="188" t="str">
        <f t="shared" si="7"/>
        <v>0</v>
      </c>
      <c r="Z5" s="188" t="str">
        <f t="shared" si="8"/>
        <v>0</v>
      </c>
      <c r="AA5" s="186">
        <f t="shared" si="9"/>
        <v>0</v>
      </c>
    </row>
    <row r="6" spans="1:27" ht="15.75" customHeight="1">
      <c r="A6" s="185">
        <v>1</v>
      </c>
      <c r="B6" s="186">
        <v>35</v>
      </c>
      <c r="C6" s="186" t="s">
        <v>737</v>
      </c>
      <c r="D6" s="186">
        <v>5</v>
      </c>
      <c r="E6" s="187">
        <v>45691</v>
      </c>
      <c r="F6" s="187" t="s">
        <v>731</v>
      </c>
      <c r="G6" s="187">
        <v>45659</v>
      </c>
      <c r="H6" s="186">
        <v>2</v>
      </c>
      <c r="I6" s="186">
        <v>1</v>
      </c>
      <c r="J6" s="186">
        <v>3</v>
      </c>
      <c r="K6" s="186">
        <v>0</v>
      </c>
      <c r="L6" s="186">
        <v>0</v>
      </c>
      <c r="M6" s="186">
        <v>0</v>
      </c>
      <c r="N6" s="186">
        <v>0</v>
      </c>
      <c r="O6" s="186">
        <v>0</v>
      </c>
      <c r="P6" s="186">
        <v>7</v>
      </c>
      <c r="Q6" s="186">
        <v>-2</v>
      </c>
      <c r="R6" s="188" t="e">
        <f t="shared" si="0"/>
        <v>#VALUE!</v>
      </c>
      <c r="S6" s="188" t="e">
        <f t="shared" si="1"/>
        <v>#VALUE!</v>
      </c>
      <c r="T6" s="188" t="e">
        <f t="shared" si="2"/>
        <v>#VALUE!</v>
      </c>
      <c r="U6" s="188" t="e">
        <f t="shared" si="3"/>
        <v>#VALUE!</v>
      </c>
      <c r="V6" s="188" t="e">
        <f t="shared" si="4"/>
        <v>#VALUE!</v>
      </c>
      <c r="W6" s="186" t="e">
        <f t="shared" si="5"/>
        <v>#VALUE!</v>
      </c>
      <c r="X6" s="186" t="e">
        <f t="shared" si="6"/>
        <v>#VALUE!</v>
      </c>
      <c r="Y6" s="188" t="e">
        <f t="shared" si="7"/>
        <v>#VALUE!</v>
      </c>
      <c r="Z6" s="188" t="e">
        <f t="shared" si="8"/>
        <v>#VALUE!</v>
      </c>
      <c r="AA6" s="186" t="e">
        <f t="shared" si="9"/>
        <v>#VALUE!</v>
      </c>
    </row>
    <row r="7" spans="1:27" ht="15.75" customHeight="1">
      <c r="A7" s="185">
        <v>1</v>
      </c>
      <c r="B7" s="186">
        <v>5</v>
      </c>
      <c r="C7" s="186" t="s">
        <v>738</v>
      </c>
      <c r="D7" s="186">
        <v>0</v>
      </c>
      <c r="E7" s="187" t="s">
        <v>731</v>
      </c>
      <c r="F7" s="187" t="s">
        <v>731</v>
      </c>
      <c r="G7" s="187" t="s">
        <v>731</v>
      </c>
      <c r="H7" s="186">
        <v>0</v>
      </c>
      <c r="I7" s="186">
        <v>0</v>
      </c>
      <c r="J7" s="186">
        <v>0</v>
      </c>
      <c r="K7" s="186">
        <v>0</v>
      </c>
      <c r="L7" s="186">
        <v>1</v>
      </c>
      <c r="M7" s="186">
        <v>0</v>
      </c>
      <c r="N7" s="186">
        <v>0</v>
      </c>
      <c r="O7" s="186">
        <v>0</v>
      </c>
      <c r="P7" s="186">
        <v>4</v>
      </c>
      <c r="Q7" s="186">
        <v>-2</v>
      </c>
      <c r="R7" s="188" t="str">
        <f t="shared" si="0"/>
        <v>0</v>
      </c>
      <c r="S7" s="188" t="str">
        <f t="shared" si="1"/>
        <v>0</v>
      </c>
      <c r="T7" s="188">
        <f t="shared" si="2"/>
        <v>0</v>
      </c>
      <c r="U7" s="188" t="str">
        <f t="shared" si="3"/>
        <v>0</v>
      </c>
      <c r="V7" s="188" t="str">
        <f t="shared" si="4"/>
        <v>0</v>
      </c>
      <c r="W7" s="186">
        <f t="shared" si="5"/>
        <v>0</v>
      </c>
      <c r="X7" s="186">
        <f t="shared" si="6"/>
        <v>-0.25</v>
      </c>
      <c r="Y7" s="188" t="str">
        <f t="shared" si="7"/>
        <v>0</v>
      </c>
      <c r="Z7" s="188" t="str">
        <f t="shared" si="8"/>
        <v>0</v>
      </c>
      <c r="AA7" s="186">
        <f t="shared" si="9"/>
        <v>0</v>
      </c>
    </row>
    <row r="8" spans="1:27" ht="15.75" customHeight="1">
      <c r="A8" s="185">
        <v>1</v>
      </c>
      <c r="B8" s="186">
        <v>7</v>
      </c>
      <c r="C8" s="186" t="s">
        <v>739</v>
      </c>
      <c r="D8" s="186">
        <v>0</v>
      </c>
      <c r="E8" s="187" t="s">
        <v>731</v>
      </c>
      <c r="F8" s="187" t="s">
        <v>731</v>
      </c>
      <c r="G8" s="187" t="s">
        <v>731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8" t="str">
        <f t="shared" si="0"/>
        <v>0</v>
      </c>
      <c r="S8" s="188" t="str">
        <f t="shared" si="1"/>
        <v>0</v>
      </c>
      <c r="T8" s="188">
        <f t="shared" si="2"/>
        <v>0</v>
      </c>
      <c r="U8" s="188" t="str">
        <f t="shared" si="3"/>
        <v>0</v>
      </c>
      <c r="V8" s="188" t="str">
        <f t="shared" si="4"/>
        <v>0</v>
      </c>
      <c r="W8" s="186">
        <f t="shared" si="5"/>
        <v>0</v>
      </c>
      <c r="X8" s="186" t="e">
        <f t="shared" si="6"/>
        <v>#DIV/0!</v>
      </c>
      <c r="Y8" s="188" t="str">
        <f t="shared" si="7"/>
        <v>0</v>
      </c>
      <c r="Z8" s="188" t="str">
        <f t="shared" si="8"/>
        <v>0</v>
      </c>
      <c r="AA8" s="186">
        <f t="shared" si="9"/>
        <v>0</v>
      </c>
    </row>
    <row r="9" spans="1:27" ht="15.75" customHeight="1">
      <c r="A9" s="185">
        <v>1</v>
      </c>
      <c r="B9" s="186">
        <v>12</v>
      </c>
      <c r="C9" s="186" t="s">
        <v>740</v>
      </c>
      <c r="D9" s="186">
        <v>0</v>
      </c>
      <c r="E9" s="187" t="s">
        <v>731</v>
      </c>
      <c r="F9" s="187" t="s">
        <v>731</v>
      </c>
      <c r="G9" s="187" t="s">
        <v>731</v>
      </c>
      <c r="H9" s="186">
        <v>0</v>
      </c>
      <c r="I9" s="186">
        <v>0</v>
      </c>
      <c r="J9" s="186">
        <v>0</v>
      </c>
      <c r="K9" s="186">
        <v>0</v>
      </c>
      <c r="L9" s="186">
        <v>1</v>
      </c>
      <c r="M9" s="186">
        <v>0</v>
      </c>
      <c r="N9" s="186">
        <v>0</v>
      </c>
      <c r="O9" s="186">
        <v>0</v>
      </c>
      <c r="P9" s="186">
        <v>0</v>
      </c>
      <c r="Q9" s="186">
        <v>-1</v>
      </c>
      <c r="R9" s="188" t="str">
        <f t="shared" si="0"/>
        <v>0</v>
      </c>
      <c r="S9" s="188" t="str">
        <f t="shared" si="1"/>
        <v>0</v>
      </c>
      <c r="T9" s="188">
        <f t="shared" si="2"/>
        <v>0</v>
      </c>
      <c r="U9" s="188" t="str">
        <f t="shared" si="3"/>
        <v>0</v>
      </c>
      <c r="V9" s="188" t="str">
        <f t="shared" si="4"/>
        <v>0</v>
      </c>
      <c r="W9" s="186">
        <f t="shared" si="5"/>
        <v>0</v>
      </c>
      <c r="X9" s="186" t="e">
        <f t="shared" si="6"/>
        <v>#DIV/0!</v>
      </c>
      <c r="Y9" s="188" t="str">
        <f t="shared" si="7"/>
        <v>0</v>
      </c>
      <c r="Z9" s="188" t="str">
        <f t="shared" si="8"/>
        <v>0</v>
      </c>
      <c r="AA9" s="186">
        <f t="shared" si="9"/>
        <v>0</v>
      </c>
    </row>
    <row r="10" spans="1:27" ht="15.75" customHeight="1">
      <c r="A10" s="185">
        <v>1</v>
      </c>
      <c r="B10" s="186">
        <v>21</v>
      </c>
      <c r="C10" s="186" t="s">
        <v>741</v>
      </c>
      <c r="D10" s="186">
        <v>0</v>
      </c>
      <c r="E10" s="187" t="s">
        <v>731</v>
      </c>
      <c r="F10" s="187" t="s">
        <v>731</v>
      </c>
      <c r="G10" s="187" t="s">
        <v>731</v>
      </c>
      <c r="H10" s="186">
        <v>0</v>
      </c>
      <c r="I10" s="186">
        <v>0</v>
      </c>
      <c r="J10" s="186">
        <v>0</v>
      </c>
      <c r="K10" s="186">
        <v>0</v>
      </c>
      <c r="L10" s="186">
        <v>0</v>
      </c>
      <c r="M10" s="186">
        <v>0</v>
      </c>
      <c r="N10" s="186">
        <v>0</v>
      </c>
      <c r="O10" s="186">
        <v>0</v>
      </c>
      <c r="P10" s="186">
        <v>2</v>
      </c>
      <c r="Q10" s="186">
        <v>-3</v>
      </c>
      <c r="R10" s="188" t="str">
        <f t="shared" si="0"/>
        <v>0</v>
      </c>
      <c r="S10" s="188" t="str">
        <f t="shared" si="1"/>
        <v>0</v>
      </c>
      <c r="T10" s="188">
        <f t="shared" si="2"/>
        <v>0</v>
      </c>
      <c r="U10" s="188" t="str">
        <f t="shared" si="3"/>
        <v>0</v>
      </c>
      <c r="V10" s="188" t="str">
        <f t="shared" si="4"/>
        <v>0</v>
      </c>
      <c r="W10" s="186">
        <f t="shared" si="5"/>
        <v>0</v>
      </c>
      <c r="X10" s="186">
        <f t="shared" si="6"/>
        <v>0</v>
      </c>
      <c r="Y10" s="188" t="str">
        <f t="shared" si="7"/>
        <v>0</v>
      </c>
      <c r="Z10" s="188" t="str">
        <f t="shared" si="8"/>
        <v>0</v>
      </c>
      <c r="AA10" s="186">
        <f t="shared" si="9"/>
        <v>0</v>
      </c>
    </row>
    <row r="11" spans="1:27" ht="15.75" customHeight="1">
      <c r="A11" s="185">
        <v>1</v>
      </c>
      <c r="B11" s="186">
        <v>22</v>
      </c>
      <c r="C11" s="186" t="s">
        <v>742</v>
      </c>
      <c r="D11" s="186">
        <v>2</v>
      </c>
      <c r="E11" s="187" t="s">
        <v>731</v>
      </c>
      <c r="F11" s="187" t="s">
        <v>731</v>
      </c>
      <c r="G11" s="187">
        <v>45690</v>
      </c>
      <c r="H11" s="186">
        <v>1</v>
      </c>
      <c r="I11" s="186">
        <v>0</v>
      </c>
      <c r="J11" s="186">
        <v>1</v>
      </c>
      <c r="K11" s="186">
        <v>0</v>
      </c>
      <c r="L11" s="186">
        <v>0</v>
      </c>
      <c r="M11" s="186">
        <v>0</v>
      </c>
      <c r="N11" s="186">
        <v>1</v>
      </c>
      <c r="O11" s="186">
        <v>0</v>
      </c>
      <c r="P11" s="186">
        <v>3</v>
      </c>
      <c r="Q11" s="186">
        <v>2</v>
      </c>
      <c r="R11" s="188" t="str">
        <f t="shared" si="0"/>
        <v>0</v>
      </c>
      <c r="S11" s="188" t="str">
        <f t="shared" si="1"/>
        <v>0</v>
      </c>
      <c r="T11" s="188">
        <f t="shared" si="2"/>
        <v>0</v>
      </c>
      <c r="U11" s="188" t="e">
        <f t="shared" si="3"/>
        <v>#VALUE!</v>
      </c>
      <c r="V11" s="188" t="e">
        <f t="shared" si="4"/>
        <v>#VALUE!</v>
      </c>
      <c r="W11" s="186" t="e">
        <f t="shared" si="5"/>
        <v>#VALUE!</v>
      </c>
      <c r="X11" s="186" t="e">
        <f t="shared" si="6"/>
        <v>#VALUE!</v>
      </c>
      <c r="Y11" s="188" t="e">
        <f t="shared" si="7"/>
        <v>#VALUE!</v>
      </c>
      <c r="Z11" s="188" t="e">
        <f t="shared" si="8"/>
        <v>#VALUE!</v>
      </c>
      <c r="AA11" s="186" t="e">
        <f t="shared" si="9"/>
        <v>#VALUE!</v>
      </c>
    </row>
    <row r="12" spans="1:27" ht="15.75" customHeight="1">
      <c r="A12" s="185">
        <v>2</v>
      </c>
      <c r="B12" s="186">
        <v>1</v>
      </c>
      <c r="C12" s="186" t="s">
        <v>730</v>
      </c>
      <c r="D12" s="186">
        <v>0</v>
      </c>
      <c r="E12" s="187" t="s">
        <v>731</v>
      </c>
      <c r="F12" s="187" t="s">
        <v>731</v>
      </c>
      <c r="G12" s="187" t="s">
        <v>731</v>
      </c>
      <c r="H12" s="186">
        <v>0</v>
      </c>
      <c r="I12" s="186">
        <v>1</v>
      </c>
      <c r="J12" s="186">
        <v>1</v>
      </c>
      <c r="K12" s="186">
        <v>0</v>
      </c>
      <c r="L12" s="186">
        <v>1</v>
      </c>
      <c r="M12" s="186">
        <v>0</v>
      </c>
      <c r="N12" s="186">
        <v>0</v>
      </c>
      <c r="O12" s="186">
        <v>0</v>
      </c>
      <c r="P12" s="186">
        <v>4</v>
      </c>
      <c r="Q12" s="186">
        <v>2</v>
      </c>
      <c r="R12" s="188" t="str">
        <f t="shared" si="0"/>
        <v>0</v>
      </c>
      <c r="S12" s="188" t="str">
        <f t="shared" si="1"/>
        <v>0</v>
      </c>
      <c r="T12" s="188">
        <f t="shared" si="2"/>
        <v>0</v>
      </c>
      <c r="U12" s="188" t="str">
        <f t="shared" si="3"/>
        <v>0</v>
      </c>
      <c r="V12" s="188" t="str">
        <f t="shared" si="4"/>
        <v>0</v>
      </c>
      <c r="W12" s="186">
        <f t="shared" si="5"/>
        <v>0</v>
      </c>
      <c r="X12" s="186">
        <f t="shared" si="6"/>
        <v>0</v>
      </c>
      <c r="Y12" s="188" t="str">
        <f t="shared" si="7"/>
        <v>0</v>
      </c>
      <c r="Z12" s="188" t="str">
        <f t="shared" si="8"/>
        <v>0</v>
      </c>
      <c r="AA12" s="186">
        <f t="shared" si="9"/>
        <v>0</v>
      </c>
    </row>
    <row r="13" spans="1:27" ht="15.75" customHeight="1">
      <c r="A13" s="185">
        <v>2</v>
      </c>
      <c r="B13" s="186">
        <v>3</v>
      </c>
      <c r="C13" s="186" t="s">
        <v>732</v>
      </c>
      <c r="D13" s="186">
        <v>5</v>
      </c>
      <c r="E13" s="187">
        <v>45691</v>
      </c>
      <c r="F13" s="187">
        <v>45658</v>
      </c>
      <c r="G13" s="187" t="s">
        <v>731</v>
      </c>
      <c r="H13" s="186">
        <v>0</v>
      </c>
      <c r="I13" s="186">
        <v>1</v>
      </c>
      <c r="J13" s="186">
        <v>1</v>
      </c>
      <c r="K13" s="186">
        <v>1</v>
      </c>
      <c r="L13" s="186">
        <v>0</v>
      </c>
      <c r="M13" s="186">
        <v>2</v>
      </c>
      <c r="N13" s="186">
        <v>0</v>
      </c>
      <c r="O13" s="186">
        <v>1</v>
      </c>
      <c r="P13" s="186">
        <v>9</v>
      </c>
      <c r="Q13" s="186">
        <v>2</v>
      </c>
      <c r="R13" s="188" t="e">
        <f t="shared" si="0"/>
        <v>#VALUE!</v>
      </c>
      <c r="S13" s="188" t="e">
        <f t="shared" si="1"/>
        <v>#VALUE!</v>
      </c>
      <c r="T13" s="188" t="e">
        <f t="shared" si="2"/>
        <v>#VALUE!</v>
      </c>
      <c r="U13" s="188" t="str">
        <f t="shared" si="3"/>
        <v>0</v>
      </c>
      <c r="V13" s="188" t="str">
        <f t="shared" si="4"/>
        <v>0</v>
      </c>
      <c r="W13" s="186">
        <f t="shared" si="5"/>
        <v>0</v>
      </c>
      <c r="X13" s="186" t="e">
        <f t="shared" si="6"/>
        <v>#VALUE!</v>
      </c>
      <c r="Y13" s="188" t="str">
        <f t="shared" si="7"/>
        <v>0</v>
      </c>
      <c r="Z13" s="188" t="str">
        <f t="shared" si="8"/>
        <v>0</v>
      </c>
      <c r="AA13" s="186">
        <f t="shared" si="9"/>
        <v>0</v>
      </c>
    </row>
    <row r="14" spans="1:27" ht="15.75" customHeight="1">
      <c r="A14" s="185">
        <v>2</v>
      </c>
      <c r="B14" s="186">
        <v>10</v>
      </c>
      <c r="C14" s="186" t="s">
        <v>733</v>
      </c>
      <c r="D14" s="186">
        <v>2</v>
      </c>
      <c r="E14" s="187">
        <v>45660</v>
      </c>
      <c r="F14" s="187" t="s">
        <v>735</v>
      </c>
      <c r="G14" s="187" t="s">
        <v>731</v>
      </c>
      <c r="H14" s="186">
        <v>0</v>
      </c>
      <c r="I14" s="186">
        <v>1</v>
      </c>
      <c r="J14" s="186">
        <v>1</v>
      </c>
      <c r="K14" s="186">
        <v>0</v>
      </c>
      <c r="L14" s="186">
        <v>0</v>
      </c>
      <c r="M14" s="186">
        <v>0</v>
      </c>
      <c r="N14" s="186">
        <v>0</v>
      </c>
      <c r="O14" s="186">
        <v>0</v>
      </c>
      <c r="P14" s="186">
        <v>8</v>
      </c>
      <c r="Q14" s="186">
        <v>1</v>
      </c>
      <c r="R14" s="188" t="e">
        <f t="shared" si="0"/>
        <v>#VALUE!</v>
      </c>
      <c r="S14" s="188" t="e">
        <f t="shared" si="1"/>
        <v>#VALUE!</v>
      </c>
      <c r="T14" s="188" t="e">
        <f t="shared" si="2"/>
        <v>#VALUE!</v>
      </c>
      <c r="U14" s="188" t="str">
        <f t="shared" si="3"/>
        <v>0</v>
      </c>
      <c r="V14" s="188" t="str">
        <f t="shared" si="4"/>
        <v>0</v>
      </c>
      <c r="W14" s="186">
        <f t="shared" si="5"/>
        <v>0</v>
      </c>
      <c r="X14" s="186" t="e">
        <f t="shared" si="6"/>
        <v>#VALUE!</v>
      </c>
      <c r="Y14" s="188" t="str">
        <f t="shared" si="7"/>
        <v>0</v>
      </c>
      <c r="Z14" s="188" t="str">
        <f t="shared" si="8"/>
        <v>0</v>
      </c>
      <c r="AA14" s="186">
        <f t="shared" si="9"/>
        <v>0</v>
      </c>
    </row>
    <row r="15" spans="1:27" ht="15.75" customHeight="1">
      <c r="A15" s="185">
        <v>2</v>
      </c>
      <c r="B15" s="184">
        <v>25</v>
      </c>
      <c r="C15" s="186" t="s">
        <v>736</v>
      </c>
      <c r="D15" s="186">
        <v>5</v>
      </c>
      <c r="E15" s="187">
        <v>45691</v>
      </c>
      <c r="F15" s="187">
        <v>45659</v>
      </c>
      <c r="G15" s="187" t="s">
        <v>731</v>
      </c>
      <c r="H15" s="186">
        <v>0</v>
      </c>
      <c r="I15" s="186">
        <v>0</v>
      </c>
      <c r="J15" s="186">
        <v>0</v>
      </c>
      <c r="K15" s="186">
        <v>1</v>
      </c>
      <c r="L15" s="186">
        <v>0</v>
      </c>
      <c r="M15" s="186">
        <v>1</v>
      </c>
      <c r="N15" s="186">
        <v>0</v>
      </c>
      <c r="O15" s="186">
        <v>0</v>
      </c>
      <c r="P15" s="186">
        <v>9</v>
      </c>
      <c r="Q15" s="186">
        <v>7</v>
      </c>
      <c r="R15" s="188" t="e">
        <f t="shared" si="0"/>
        <v>#VALUE!</v>
      </c>
      <c r="S15" s="188" t="e">
        <f t="shared" si="1"/>
        <v>#VALUE!</v>
      </c>
      <c r="T15" s="188" t="e">
        <f t="shared" si="2"/>
        <v>#VALUE!</v>
      </c>
      <c r="U15" s="188" t="str">
        <f t="shared" si="3"/>
        <v>0</v>
      </c>
      <c r="V15" s="188" t="str">
        <f t="shared" si="4"/>
        <v>0</v>
      </c>
      <c r="W15" s="186">
        <f t="shared" si="5"/>
        <v>0</v>
      </c>
      <c r="X15" s="186" t="e">
        <f t="shared" si="6"/>
        <v>#VALUE!</v>
      </c>
      <c r="Y15" s="188" t="str">
        <f t="shared" si="7"/>
        <v>0</v>
      </c>
      <c r="Z15" s="188" t="str">
        <f t="shared" si="8"/>
        <v>0</v>
      </c>
      <c r="AA15" s="186">
        <f t="shared" si="9"/>
        <v>0</v>
      </c>
    </row>
    <row r="16" spans="1:27" ht="15.75" customHeight="1">
      <c r="A16" s="185">
        <v>2</v>
      </c>
      <c r="B16" s="184">
        <v>35</v>
      </c>
      <c r="C16" s="186" t="s">
        <v>737</v>
      </c>
      <c r="D16" s="186">
        <v>0</v>
      </c>
      <c r="E16" s="187" t="s">
        <v>734</v>
      </c>
      <c r="F16" s="187" t="s">
        <v>731</v>
      </c>
      <c r="G16" s="187" t="s">
        <v>731</v>
      </c>
      <c r="H16" s="186">
        <v>1</v>
      </c>
      <c r="I16" s="186">
        <v>3</v>
      </c>
      <c r="J16" s="186">
        <v>4</v>
      </c>
      <c r="K16" s="186">
        <v>0</v>
      </c>
      <c r="L16" s="186">
        <v>2</v>
      </c>
      <c r="M16" s="186">
        <v>1</v>
      </c>
      <c r="N16" s="186">
        <v>1</v>
      </c>
      <c r="O16" s="186">
        <v>0</v>
      </c>
      <c r="P16" s="186">
        <v>6</v>
      </c>
      <c r="Q16" s="186">
        <v>3</v>
      </c>
      <c r="R16" s="188" t="str">
        <f t="shared" si="0"/>
        <v>0</v>
      </c>
      <c r="S16" s="188" t="str">
        <f t="shared" si="1"/>
        <v>4</v>
      </c>
      <c r="T16" s="188">
        <f t="shared" si="2"/>
        <v>4</v>
      </c>
      <c r="U16" s="188" t="str">
        <f t="shared" si="3"/>
        <v>0</v>
      </c>
      <c r="V16" s="188" t="str">
        <f t="shared" si="4"/>
        <v>0</v>
      </c>
      <c r="W16" s="186">
        <f t="shared" si="5"/>
        <v>0</v>
      </c>
      <c r="X16" s="186">
        <f t="shared" si="6"/>
        <v>-0.33333333333333331</v>
      </c>
      <c r="Y16" s="188" t="str">
        <f t="shared" si="7"/>
        <v>0</v>
      </c>
      <c r="Z16" s="188" t="str">
        <f t="shared" si="8"/>
        <v>0</v>
      </c>
      <c r="AA16" s="186">
        <f t="shared" si="9"/>
        <v>0</v>
      </c>
    </row>
    <row r="17" spans="1:27" ht="15.75" customHeight="1">
      <c r="A17" s="185">
        <v>2</v>
      </c>
      <c r="B17" s="186">
        <v>5</v>
      </c>
      <c r="C17" s="186" t="s">
        <v>738</v>
      </c>
      <c r="D17" s="186">
        <v>3</v>
      </c>
      <c r="E17" s="187">
        <v>45659</v>
      </c>
      <c r="F17" s="187">
        <v>45659</v>
      </c>
      <c r="G17" s="187" t="s">
        <v>731</v>
      </c>
      <c r="H17" s="186">
        <v>0</v>
      </c>
      <c r="I17" s="186">
        <v>0</v>
      </c>
      <c r="J17" s="186">
        <v>0</v>
      </c>
      <c r="K17" s="186">
        <v>1</v>
      </c>
      <c r="L17" s="186">
        <v>1</v>
      </c>
      <c r="M17" s="186">
        <v>0</v>
      </c>
      <c r="N17" s="186">
        <v>0</v>
      </c>
      <c r="O17" s="186">
        <v>2</v>
      </c>
      <c r="P17" s="186">
        <v>7</v>
      </c>
      <c r="Q17" s="186">
        <v>-5</v>
      </c>
      <c r="R17" s="188" t="e">
        <f t="shared" si="0"/>
        <v>#VALUE!</v>
      </c>
      <c r="S17" s="188" t="e">
        <f t="shared" si="1"/>
        <v>#VALUE!</v>
      </c>
      <c r="T17" s="188" t="e">
        <f t="shared" si="2"/>
        <v>#VALUE!</v>
      </c>
      <c r="U17" s="188" t="str">
        <f t="shared" si="3"/>
        <v>0</v>
      </c>
      <c r="V17" s="188" t="str">
        <f t="shared" si="4"/>
        <v>0</v>
      </c>
      <c r="W17" s="186">
        <f t="shared" si="5"/>
        <v>0</v>
      </c>
      <c r="X17" s="186" t="e">
        <f t="shared" si="6"/>
        <v>#VALUE!</v>
      </c>
      <c r="Y17" s="188" t="str">
        <f t="shared" si="7"/>
        <v>0</v>
      </c>
      <c r="Z17" s="188" t="str">
        <f t="shared" si="8"/>
        <v>0</v>
      </c>
      <c r="AA17" s="186">
        <f t="shared" si="9"/>
        <v>0</v>
      </c>
    </row>
    <row r="18" spans="1:27" ht="15.75" customHeight="1">
      <c r="A18" s="185">
        <v>2</v>
      </c>
      <c r="B18" s="186">
        <v>7</v>
      </c>
      <c r="C18" s="186" t="s">
        <v>739</v>
      </c>
      <c r="D18" s="186">
        <v>0</v>
      </c>
      <c r="E18" s="187" t="s">
        <v>731</v>
      </c>
      <c r="F18" s="187" t="s">
        <v>731</v>
      </c>
      <c r="G18" s="187" t="s">
        <v>731</v>
      </c>
      <c r="H18" s="186">
        <v>0</v>
      </c>
      <c r="I18" s="186">
        <v>0</v>
      </c>
      <c r="J18" s="186">
        <v>0</v>
      </c>
      <c r="K18" s="186">
        <v>0</v>
      </c>
      <c r="L18" s="186">
        <v>0</v>
      </c>
      <c r="M18" s="186">
        <v>0</v>
      </c>
      <c r="N18" s="186">
        <v>0</v>
      </c>
      <c r="O18" s="186">
        <v>0</v>
      </c>
      <c r="P18" s="186">
        <v>0</v>
      </c>
      <c r="Q18" s="186">
        <v>0</v>
      </c>
      <c r="R18" s="188" t="str">
        <f t="shared" si="0"/>
        <v>0</v>
      </c>
      <c r="S18" s="188" t="str">
        <f t="shared" si="1"/>
        <v>0</v>
      </c>
      <c r="T18" s="188">
        <f t="shared" si="2"/>
        <v>0</v>
      </c>
      <c r="U18" s="188" t="str">
        <f t="shared" si="3"/>
        <v>0</v>
      </c>
      <c r="V18" s="188" t="str">
        <f t="shared" si="4"/>
        <v>0</v>
      </c>
      <c r="W18" s="186">
        <f t="shared" si="5"/>
        <v>0</v>
      </c>
      <c r="X18" s="186" t="e">
        <f t="shared" si="6"/>
        <v>#DIV/0!</v>
      </c>
      <c r="Y18" s="188" t="str">
        <f t="shared" si="7"/>
        <v>0</v>
      </c>
      <c r="Z18" s="188" t="str">
        <f t="shared" si="8"/>
        <v>0</v>
      </c>
      <c r="AA18" s="186">
        <f t="shared" si="9"/>
        <v>0</v>
      </c>
    </row>
    <row r="19" spans="1:27" ht="15.75" customHeight="1">
      <c r="A19" s="185">
        <v>2</v>
      </c>
      <c r="B19" s="186">
        <v>12</v>
      </c>
      <c r="C19" s="186" t="s">
        <v>740</v>
      </c>
      <c r="D19" s="186">
        <v>0</v>
      </c>
      <c r="E19" s="187" t="s">
        <v>731</v>
      </c>
      <c r="F19" s="187" t="s">
        <v>731</v>
      </c>
      <c r="G19" s="187" t="s">
        <v>731</v>
      </c>
      <c r="H19" s="186">
        <v>0</v>
      </c>
      <c r="I19" s="186">
        <v>0</v>
      </c>
      <c r="J19" s="186">
        <v>0</v>
      </c>
      <c r="K19" s="186">
        <v>0</v>
      </c>
      <c r="L19" s="186">
        <v>0</v>
      </c>
      <c r="M19" s="186">
        <v>0</v>
      </c>
      <c r="N19" s="186">
        <v>0</v>
      </c>
      <c r="O19" s="186">
        <v>0</v>
      </c>
      <c r="P19" s="186">
        <v>0</v>
      </c>
      <c r="Q19" s="186">
        <v>0</v>
      </c>
      <c r="R19" s="188" t="str">
        <f t="shared" si="0"/>
        <v>0</v>
      </c>
      <c r="S19" s="188" t="str">
        <f t="shared" si="1"/>
        <v>0</v>
      </c>
      <c r="T19" s="188">
        <f t="shared" si="2"/>
        <v>0</v>
      </c>
      <c r="U19" s="188" t="str">
        <f t="shared" si="3"/>
        <v>0</v>
      </c>
      <c r="V19" s="188" t="str">
        <f t="shared" si="4"/>
        <v>0</v>
      </c>
      <c r="W19" s="186">
        <f t="shared" si="5"/>
        <v>0</v>
      </c>
      <c r="X19" s="186" t="e">
        <f t="shared" si="6"/>
        <v>#DIV/0!</v>
      </c>
      <c r="Y19" s="188" t="str">
        <f t="shared" si="7"/>
        <v>0</v>
      </c>
      <c r="Z19" s="188" t="str">
        <f t="shared" si="8"/>
        <v>0</v>
      </c>
      <c r="AA19" s="186">
        <f t="shared" si="9"/>
        <v>0</v>
      </c>
    </row>
    <row r="20" spans="1:27" ht="15.75" customHeight="1">
      <c r="A20" s="185">
        <v>2</v>
      </c>
      <c r="B20" s="186">
        <v>21</v>
      </c>
      <c r="C20" s="186" t="s">
        <v>741</v>
      </c>
      <c r="D20" s="186">
        <v>0</v>
      </c>
      <c r="E20" s="187" t="s">
        <v>743</v>
      </c>
      <c r="F20" s="187" t="s">
        <v>731</v>
      </c>
      <c r="G20" s="187" t="s">
        <v>731</v>
      </c>
      <c r="H20" s="186">
        <v>1</v>
      </c>
      <c r="I20" s="186">
        <v>1</v>
      </c>
      <c r="J20" s="186">
        <v>2</v>
      </c>
      <c r="K20" s="186">
        <v>0</v>
      </c>
      <c r="L20" s="186">
        <v>0</v>
      </c>
      <c r="M20" s="186">
        <v>1</v>
      </c>
      <c r="N20" s="186">
        <v>0</v>
      </c>
      <c r="O20" s="186">
        <v>0</v>
      </c>
      <c r="P20" s="186">
        <v>4</v>
      </c>
      <c r="Q20" s="186">
        <v>1</v>
      </c>
      <c r="R20" s="188" t="str">
        <f t="shared" si="0"/>
        <v>0</v>
      </c>
      <c r="S20" s="188" t="str">
        <f t="shared" si="1"/>
        <v>1</v>
      </c>
      <c r="T20" s="188">
        <f t="shared" si="2"/>
        <v>1</v>
      </c>
      <c r="U20" s="188" t="str">
        <f t="shared" si="3"/>
        <v>0</v>
      </c>
      <c r="V20" s="188" t="str">
        <f t="shared" si="4"/>
        <v>0</v>
      </c>
      <c r="W20" s="186">
        <f t="shared" si="5"/>
        <v>0</v>
      </c>
      <c r="X20" s="186">
        <f t="shared" si="6"/>
        <v>0</v>
      </c>
      <c r="Y20" s="188" t="str">
        <f t="shared" si="7"/>
        <v>0</v>
      </c>
      <c r="Z20" s="188" t="str">
        <f t="shared" si="8"/>
        <v>0</v>
      </c>
      <c r="AA20" s="186">
        <f t="shared" si="9"/>
        <v>0</v>
      </c>
    </row>
    <row r="21" spans="1:27" ht="15.75" customHeight="1">
      <c r="A21" s="185">
        <v>2</v>
      </c>
      <c r="B21" s="186">
        <v>22</v>
      </c>
      <c r="C21" s="186" t="s">
        <v>742</v>
      </c>
      <c r="D21" s="186">
        <v>0</v>
      </c>
      <c r="E21" s="187" t="s">
        <v>743</v>
      </c>
      <c r="F21" s="187" t="s">
        <v>731</v>
      </c>
      <c r="G21" s="187" t="s">
        <v>731</v>
      </c>
      <c r="H21" s="186">
        <v>1</v>
      </c>
      <c r="I21" s="186">
        <v>0</v>
      </c>
      <c r="J21" s="186">
        <v>1</v>
      </c>
      <c r="K21" s="186">
        <v>2</v>
      </c>
      <c r="L21" s="186">
        <v>0</v>
      </c>
      <c r="M21" s="186">
        <v>1</v>
      </c>
      <c r="N21" s="186">
        <v>0</v>
      </c>
      <c r="O21" s="186">
        <v>0</v>
      </c>
      <c r="P21" s="186">
        <v>4</v>
      </c>
      <c r="Q21" s="186">
        <v>-1</v>
      </c>
      <c r="R21" s="188" t="str">
        <f t="shared" si="0"/>
        <v>0</v>
      </c>
      <c r="S21" s="188" t="str">
        <f t="shared" si="1"/>
        <v>1</v>
      </c>
      <c r="T21" s="188">
        <f t="shared" si="2"/>
        <v>1</v>
      </c>
      <c r="U21" s="188" t="str">
        <f t="shared" si="3"/>
        <v>0</v>
      </c>
      <c r="V21" s="188" t="str">
        <f t="shared" si="4"/>
        <v>0</v>
      </c>
      <c r="W21" s="186">
        <f t="shared" si="5"/>
        <v>0</v>
      </c>
      <c r="X21" s="186">
        <f t="shared" si="6"/>
        <v>0.25</v>
      </c>
      <c r="Y21" s="188" t="str">
        <f t="shared" si="7"/>
        <v>0</v>
      </c>
      <c r="Z21" s="188" t="str">
        <f t="shared" si="8"/>
        <v>0</v>
      </c>
      <c r="AA21" s="186">
        <f t="shared" si="9"/>
        <v>0</v>
      </c>
    </row>
    <row r="22" spans="1:27" ht="15.75" customHeight="1">
      <c r="A22" s="185">
        <v>3</v>
      </c>
      <c r="B22" s="186">
        <v>1</v>
      </c>
      <c r="C22" s="186" t="s">
        <v>730</v>
      </c>
      <c r="D22" s="186">
        <v>2</v>
      </c>
      <c r="E22" s="187">
        <v>45659</v>
      </c>
      <c r="F22" s="187" t="s">
        <v>731</v>
      </c>
      <c r="G22" s="187" t="s">
        <v>731</v>
      </c>
      <c r="H22" s="186">
        <v>1</v>
      </c>
      <c r="I22" s="186">
        <v>0</v>
      </c>
      <c r="J22" s="186">
        <v>1</v>
      </c>
      <c r="K22" s="186">
        <v>1</v>
      </c>
      <c r="L22" s="186">
        <v>0</v>
      </c>
      <c r="M22" s="186">
        <v>0</v>
      </c>
      <c r="N22" s="186">
        <v>0</v>
      </c>
      <c r="O22" s="186">
        <v>1</v>
      </c>
      <c r="P22" s="186">
        <v>5</v>
      </c>
      <c r="Q22" s="186">
        <v>-9</v>
      </c>
      <c r="R22" s="188" t="e">
        <f t="shared" si="0"/>
        <v>#VALUE!</v>
      </c>
      <c r="S22" s="188" t="e">
        <f t="shared" si="1"/>
        <v>#VALUE!</v>
      </c>
      <c r="T22" s="188" t="e">
        <f t="shared" si="2"/>
        <v>#VALUE!</v>
      </c>
      <c r="U22" s="188" t="str">
        <f t="shared" si="3"/>
        <v>0</v>
      </c>
      <c r="V22" s="188" t="str">
        <f t="shared" si="4"/>
        <v>0</v>
      </c>
      <c r="W22" s="186">
        <f t="shared" si="5"/>
        <v>0</v>
      </c>
      <c r="X22" s="186" t="e">
        <f t="shared" si="6"/>
        <v>#VALUE!</v>
      </c>
      <c r="Y22" s="188" t="str">
        <f t="shared" si="7"/>
        <v>0</v>
      </c>
      <c r="Z22" s="188" t="str">
        <f t="shared" si="8"/>
        <v>0</v>
      </c>
      <c r="AA22" s="186">
        <f t="shared" si="9"/>
        <v>0</v>
      </c>
    </row>
    <row r="23" spans="1:27" ht="15.75" customHeight="1">
      <c r="A23" s="185">
        <v>3</v>
      </c>
      <c r="B23" s="186">
        <v>3</v>
      </c>
      <c r="C23" s="186" t="s">
        <v>732</v>
      </c>
      <c r="D23" s="186">
        <v>3</v>
      </c>
      <c r="E23" s="187">
        <v>45659</v>
      </c>
      <c r="F23" s="187">
        <v>45659</v>
      </c>
      <c r="G23" s="187" t="s">
        <v>731</v>
      </c>
      <c r="H23" s="186">
        <v>0</v>
      </c>
      <c r="I23" s="186">
        <v>3</v>
      </c>
      <c r="J23" s="186">
        <v>3</v>
      </c>
      <c r="K23" s="186">
        <v>1</v>
      </c>
      <c r="L23" s="186">
        <v>0</v>
      </c>
      <c r="M23" s="186">
        <v>0</v>
      </c>
      <c r="N23" s="186">
        <v>0</v>
      </c>
      <c r="O23" s="186">
        <v>0</v>
      </c>
      <c r="P23" s="186">
        <v>10</v>
      </c>
      <c r="Q23" s="186">
        <v>-15</v>
      </c>
      <c r="R23" s="188" t="e">
        <f t="shared" si="0"/>
        <v>#VALUE!</v>
      </c>
      <c r="S23" s="188" t="e">
        <f t="shared" si="1"/>
        <v>#VALUE!</v>
      </c>
      <c r="T23" s="188" t="e">
        <f t="shared" si="2"/>
        <v>#VALUE!</v>
      </c>
      <c r="U23" s="188" t="str">
        <f t="shared" si="3"/>
        <v>0</v>
      </c>
      <c r="V23" s="188" t="str">
        <f t="shared" si="4"/>
        <v>0</v>
      </c>
      <c r="W23" s="186">
        <f t="shared" si="5"/>
        <v>0</v>
      </c>
      <c r="X23" s="186" t="e">
        <f t="shared" si="6"/>
        <v>#VALUE!</v>
      </c>
      <c r="Y23" s="188" t="str">
        <f t="shared" si="7"/>
        <v>0</v>
      </c>
      <c r="Z23" s="188" t="str">
        <f t="shared" si="8"/>
        <v>0</v>
      </c>
      <c r="AA23" s="186">
        <f t="shared" si="9"/>
        <v>0</v>
      </c>
    </row>
    <row r="24" spans="1:27" ht="15.75" customHeight="1">
      <c r="A24" s="185">
        <v>3</v>
      </c>
      <c r="B24" s="186">
        <v>10</v>
      </c>
      <c r="C24" s="186" t="s">
        <v>733</v>
      </c>
      <c r="D24" s="186">
        <v>0</v>
      </c>
      <c r="E24" s="187" t="s">
        <v>734</v>
      </c>
      <c r="F24" s="187" t="s">
        <v>734</v>
      </c>
      <c r="G24" s="187" t="s">
        <v>731</v>
      </c>
      <c r="H24" s="186">
        <v>0</v>
      </c>
      <c r="I24" s="186">
        <v>1</v>
      </c>
      <c r="J24" s="186">
        <v>1</v>
      </c>
      <c r="K24" s="186">
        <v>0</v>
      </c>
      <c r="L24" s="186">
        <v>2</v>
      </c>
      <c r="M24" s="186">
        <v>2</v>
      </c>
      <c r="N24" s="186">
        <v>0</v>
      </c>
      <c r="O24" s="186">
        <v>0</v>
      </c>
      <c r="P24" s="186">
        <v>10</v>
      </c>
      <c r="Q24" s="186">
        <v>-15</v>
      </c>
      <c r="R24" s="188" t="str">
        <f t="shared" si="0"/>
        <v>0</v>
      </c>
      <c r="S24" s="188" t="str">
        <f t="shared" si="1"/>
        <v>4</v>
      </c>
      <c r="T24" s="188">
        <f t="shared" si="2"/>
        <v>4</v>
      </c>
      <c r="U24" s="188" t="str">
        <f t="shared" si="3"/>
        <v>0</v>
      </c>
      <c r="V24" s="188" t="str">
        <f t="shared" si="4"/>
        <v>0</v>
      </c>
      <c r="W24" s="186">
        <f t="shared" si="5"/>
        <v>0</v>
      </c>
      <c r="X24" s="186">
        <f t="shared" si="6"/>
        <v>-0.7</v>
      </c>
      <c r="Y24" s="188" t="str">
        <f t="shared" si="7"/>
        <v>0</v>
      </c>
      <c r="Z24" s="188" t="str">
        <f t="shared" si="8"/>
        <v>0</v>
      </c>
      <c r="AA24" s="186">
        <f t="shared" si="9"/>
        <v>0</v>
      </c>
    </row>
    <row r="25" spans="1:27" ht="15.75" customHeight="1">
      <c r="A25" s="185">
        <v>3</v>
      </c>
      <c r="B25" s="186">
        <v>25</v>
      </c>
      <c r="C25" s="186" t="s">
        <v>736</v>
      </c>
      <c r="D25" s="186">
        <v>2</v>
      </c>
      <c r="E25" s="187">
        <v>45662</v>
      </c>
      <c r="F25" s="187" t="s">
        <v>744</v>
      </c>
      <c r="G25" s="187" t="s">
        <v>731</v>
      </c>
      <c r="H25" s="186">
        <v>0</v>
      </c>
      <c r="I25" s="186">
        <v>0</v>
      </c>
      <c r="J25" s="186">
        <v>0</v>
      </c>
      <c r="K25" s="186">
        <v>0</v>
      </c>
      <c r="L25" s="186">
        <v>0</v>
      </c>
      <c r="M25" s="186">
        <v>2</v>
      </c>
      <c r="N25" s="186">
        <v>0</v>
      </c>
      <c r="O25" s="186">
        <v>0</v>
      </c>
      <c r="P25" s="186">
        <v>7</v>
      </c>
      <c r="Q25" s="186">
        <v>-6</v>
      </c>
      <c r="R25" s="188" t="e">
        <f t="shared" si="0"/>
        <v>#VALUE!</v>
      </c>
      <c r="S25" s="188" t="e">
        <f t="shared" si="1"/>
        <v>#VALUE!</v>
      </c>
      <c r="T25" s="188" t="e">
        <f t="shared" si="2"/>
        <v>#VALUE!</v>
      </c>
      <c r="U25" s="188" t="str">
        <f t="shared" si="3"/>
        <v>0</v>
      </c>
      <c r="V25" s="188" t="str">
        <f t="shared" si="4"/>
        <v>0</v>
      </c>
      <c r="W25" s="186">
        <f t="shared" si="5"/>
        <v>0</v>
      </c>
      <c r="X25" s="186" t="e">
        <f t="shared" si="6"/>
        <v>#VALUE!</v>
      </c>
      <c r="Y25" s="188" t="str">
        <f t="shared" si="7"/>
        <v>0</v>
      </c>
      <c r="Z25" s="188" t="str">
        <f t="shared" si="8"/>
        <v>0</v>
      </c>
      <c r="AA25" s="186">
        <f t="shared" si="9"/>
        <v>0</v>
      </c>
    </row>
    <row r="26" spans="1:27" ht="15.75" customHeight="1">
      <c r="A26" s="185">
        <v>3</v>
      </c>
      <c r="B26" s="186">
        <v>35</v>
      </c>
      <c r="C26" s="186" t="s">
        <v>737</v>
      </c>
      <c r="D26" s="186">
        <v>2</v>
      </c>
      <c r="E26" s="187">
        <v>45658</v>
      </c>
      <c r="F26" s="187" t="s">
        <v>731</v>
      </c>
      <c r="G26" s="187" t="s">
        <v>731</v>
      </c>
      <c r="H26" s="186">
        <v>0</v>
      </c>
      <c r="I26" s="186">
        <v>0</v>
      </c>
      <c r="J26" s="186">
        <v>0</v>
      </c>
      <c r="K26" s="186">
        <v>0</v>
      </c>
      <c r="L26" s="186">
        <v>1</v>
      </c>
      <c r="M26" s="186">
        <v>0</v>
      </c>
      <c r="N26" s="186">
        <v>0</v>
      </c>
      <c r="O26" s="186">
        <v>0</v>
      </c>
      <c r="P26" s="186">
        <v>10</v>
      </c>
      <c r="Q26" s="186">
        <v>-15</v>
      </c>
      <c r="R26" s="188" t="e">
        <f t="shared" si="0"/>
        <v>#VALUE!</v>
      </c>
      <c r="S26" s="188" t="e">
        <f t="shared" si="1"/>
        <v>#VALUE!</v>
      </c>
      <c r="T26" s="188" t="e">
        <f t="shared" si="2"/>
        <v>#VALUE!</v>
      </c>
      <c r="U26" s="188" t="str">
        <f t="shared" si="3"/>
        <v>0</v>
      </c>
      <c r="V26" s="188" t="str">
        <f t="shared" si="4"/>
        <v>0</v>
      </c>
      <c r="W26" s="186">
        <f t="shared" si="5"/>
        <v>0</v>
      </c>
      <c r="X26" s="186" t="e">
        <f t="shared" si="6"/>
        <v>#VALUE!</v>
      </c>
      <c r="Y26" s="188" t="str">
        <f t="shared" si="7"/>
        <v>0</v>
      </c>
      <c r="Z26" s="188" t="str">
        <f t="shared" si="8"/>
        <v>0</v>
      </c>
      <c r="AA26" s="186">
        <f t="shared" si="9"/>
        <v>0</v>
      </c>
    </row>
    <row r="27" spans="1:27" ht="15.75" customHeight="1">
      <c r="A27" s="185">
        <v>3</v>
      </c>
      <c r="B27" s="186">
        <v>5</v>
      </c>
      <c r="C27" s="186" t="s">
        <v>738</v>
      </c>
      <c r="D27" s="186">
        <v>0</v>
      </c>
      <c r="E27" s="187" t="s">
        <v>731</v>
      </c>
      <c r="F27" s="187" t="s">
        <v>731</v>
      </c>
      <c r="G27" s="187" t="s">
        <v>731</v>
      </c>
      <c r="H27" s="186">
        <v>0</v>
      </c>
      <c r="I27" s="186">
        <v>0</v>
      </c>
      <c r="J27" s="186">
        <v>0</v>
      </c>
      <c r="K27" s="186">
        <v>0</v>
      </c>
      <c r="L27" s="186">
        <v>0</v>
      </c>
      <c r="M27" s="186">
        <v>0</v>
      </c>
      <c r="N27" s="186">
        <v>0</v>
      </c>
      <c r="O27" s="186">
        <v>0</v>
      </c>
      <c r="P27" s="186">
        <v>3</v>
      </c>
      <c r="Q27" s="186">
        <v>-9</v>
      </c>
      <c r="R27" s="188" t="str">
        <f t="shared" si="0"/>
        <v>0</v>
      </c>
      <c r="S27" s="188" t="str">
        <f t="shared" si="1"/>
        <v>0</v>
      </c>
      <c r="T27" s="188">
        <f t="shared" si="2"/>
        <v>0</v>
      </c>
      <c r="U27" s="188" t="str">
        <f t="shared" si="3"/>
        <v>0</v>
      </c>
      <c r="V27" s="188" t="str">
        <f t="shared" si="4"/>
        <v>0</v>
      </c>
      <c r="W27" s="186">
        <f t="shared" si="5"/>
        <v>0</v>
      </c>
      <c r="X27" s="186">
        <f t="shared" si="6"/>
        <v>0</v>
      </c>
      <c r="Y27" s="188" t="str">
        <f t="shared" si="7"/>
        <v>0</v>
      </c>
      <c r="Z27" s="188" t="str">
        <f t="shared" si="8"/>
        <v>0</v>
      </c>
      <c r="AA27" s="186">
        <f t="shared" si="9"/>
        <v>0</v>
      </c>
    </row>
    <row r="28" spans="1:27" ht="15.75" customHeight="1">
      <c r="A28" s="185">
        <v>3</v>
      </c>
      <c r="B28" s="186">
        <v>7</v>
      </c>
      <c r="C28" s="186" t="s">
        <v>739</v>
      </c>
      <c r="D28" s="186">
        <v>0</v>
      </c>
      <c r="E28" s="187" t="s">
        <v>743</v>
      </c>
      <c r="F28" s="187" t="s">
        <v>731</v>
      </c>
      <c r="G28" s="187" t="s">
        <v>731</v>
      </c>
      <c r="H28" s="186">
        <v>0</v>
      </c>
      <c r="I28" s="186">
        <v>0</v>
      </c>
      <c r="J28" s="186">
        <v>0</v>
      </c>
      <c r="K28" s="186">
        <v>1</v>
      </c>
      <c r="L28" s="186">
        <v>1</v>
      </c>
      <c r="M28" s="186">
        <v>0</v>
      </c>
      <c r="N28" s="186">
        <v>1</v>
      </c>
      <c r="O28" s="186">
        <v>0</v>
      </c>
      <c r="P28" s="186">
        <v>3</v>
      </c>
      <c r="Q28" s="186">
        <v>0</v>
      </c>
      <c r="R28" s="188" t="str">
        <f t="shared" si="0"/>
        <v>0</v>
      </c>
      <c r="S28" s="188" t="str">
        <f t="shared" si="1"/>
        <v>1</v>
      </c>
      <c r="T28" s="188">
        <f t="shared" si="2"/>
        <v>1</v>
      </c>
      <c r="U28" s="188" t="str">
        <f t="shared" si="3"/>
        <v>0</v>
      </c>
      <c r="V28" s="188" t="str">
        <f t="shared" si="4"/>
        <v>0</v>
      </c>
      <c r="W28" s="186">
        <f t="shared" si="5"/>
        <v>0</v>
      </c>
      <c r="X28" s="186">
        <f t="shared" si="6"/>
        <v>0</v>
      </c>
      <c r="Y28" s="188" t="str">
        <f t="shared" si="7"/>
        <v>0</v>
      </c>
      <c r="Z28" s="188" t="str">
        <f t="shared" si="8"/>
        <v>0</v>
      </c>
      <c r="AA28" s="186">
        <f t="shared" si="9"/>
        <v>0</v>
      </c>
    </row>
    <row r="29" spans="1:27" ht="15.75" customHeight="1">
      <c r="A29" s="185">
        <v>3</v>
      </c>
      <c r="B29" s="186">
        <v>12</v>
      </c>
      <c r="C29" s="186" t="s">
        <v>740</v>
      </c>
      <c r="D29" s="186">
        <v>0</v>
      </c>
      <c r="E29" s="187" t="s">
        <v>731</v>
      </c>
      <c r="F29" s="187" t="s">
        <v>731</v>
      </c>
      <c r="G29" s="187" t="s">
        <v>731</v>
      </c>
      <c r="H29" s="186">
        <v>0</v>
      </c>
      <c r="I29" s="186">
        <v>0</v>
      </c>
      <c r="J29" s="186">
        <v>0</v>
      </c>
      <c r="K29" s="186">
        <v>0</v>
      </c>
      <c r="L29" s="186">
        <v>0</v>
      </c>
      <c r="M29" s="186">
        <v>0</v>
      </c>
      <c r="N29" s="186">
        <v>0</v>
      </c>
      <c r="O29" s="186">
        <v>0</v>
      </c>
      <c r="P29" s="186">
        <v>0</v>
      </c>
      <c r="Q29" s="186">
        <v>0</v>
      </c>
      <c r="R29" s="188" t="str">
        <f t="shared" si="0"/>
        <v>0</v>
      </c>
      <c r="S29" s="188" t="str">
        <f t="shared" si="1"/>
        <v>0</v>
      </c>
      <c r="T29" s="188">
        <f t="shared" si="2"/>
        <v>0</v>
      </c>
      <c r="U29" s="188" t="str">
        <f t="shared" si="3"/>
        <v>0</v>
      </c>
      <c r="V29" s="188" t="str">
        <f t="shared" si="4"/>
        <v>0</v>
      </c>
      <c r="W29" s="186">
        <f t="shared" si="5"/>
        <v>0</v>
      </c>
      <c r="X29" s="186" t="e">
        <f t="shared" si="6"/>
        <v>#DIV/0!</v>
      </c>
      <c r="Y29" s="188" t="str">
        <f t="shared" si="7"/>
        <v>0</v>
      </c>
      <c r="Z29" s="188" t="str">
        <f t="shared" si="8"/>
        <v>0</v>
      </c>
      <c r="AA29" s="186">
        <f t="shared" si="9"/>
        <v>0</v>
      </c>
    </row>
    <row r="30" spans="1:27" ht="15.75" customHeight="1">
      <c r="A30" s="185">
        <v>3</v>
      </c>
      <c r="B30" s="186">
        <v>21</v>
      </c>
      <c r="C30" s="186" t="s">
        <v>741</v>
      </c>
      <c r="D30" s="186">
        <v>0</v>
      </c>
      <c r="E30" s="187" t="s">
        <v>731</v>
      </c>
      <c r="F30" s="187" t="s">
        <v>731</v>
      </c>
      <c r="G30" s="187" t="s">
        <v>731</v>
      </c>
      <c r="H30" s="186">
        <v>0</v>
      </c>
      <c r="I30" s="186">
        <v>0</v>
      </c>
      <c r="J30" s="186">
        <v>0</v>
      </c>
      <c r="K30" s="186">
        <v>0</v>
      </c>
      <c r="L30" s="186">
        <v>0</v>
      </c>
      <c r="M30" s="186">
        <v>0</v>
      </c>
      <c r="N30" s="186">
        <v>0</v>
      </c>
      <c r="O30" s="186">
        <v>0</v>
      </c>
      <c r="P30" s="186">
        <v>0</v>
      </c>
      <c r="Q30" s="186">
        <v>0</v>
      </c>
      <c r="R30" s="188" t="str">
        <f t="shared" si="0"/>
        <v>0</v>
      </c>
      <c r="S30" s="188" t="str">
        <f t="shared" si="1"/>
        <v>0</v>
      </c>
      <c r="T30" s="188">
        <f t="shared" si="2"/>
        <v>0</v>
      </c>
      <c r="U30" s="188" t="str">
        <f t="shared" si="3"/>
        <v>0</v>
      </c>
      <c r="V30" s="188" t="str">
        <f t="shared" si="4"/>
        <v>0</v>
      </c>
      <c r="W30" s="186">
        <f t="shared" si="5"/>
        <v>0</v>
      </c>
      <c r="X30" s="186" t="e">
        <f t="shared" si="6"/>
        <v>#DIV/0!</v>
      </c>
      <c r="Y30" s="188" t="str">
        <f t="shared" si="7"/>
        <v>0</v>
      </c>
      <c r="Z30" s="188" t="str">
        <f t="shared" si="8"/>
        <v>0</v>
      </c>
      <c r="AA30" s="186">
        <f t="shared" si="9"/>
        <v>0</v>
      </c>
    </row>
    <row r="31" spans="1:27" ht="15.75" customHeight="1">
      <c r="A31" s="185">
        <v>3</v>
      </c>
      <c r="B31" s="186">
        <v>22</v>
      </c>
      <c r="C31" s="186" t="s">
        <v>742</v>
      </c>
      <c r="D31" s="186">
        <v>0</v>
      </c>
      <c r="E31" s="187" t="s">
        <v>731</v>
      </c>
      <c r="F31" s="187" t="s">
        <v>731</v>
      </c>
      <c r="G31" s="187" t="s">
        <v>731</v>
      </c>
      <c r="H31" s="186">
        <v>0</v>
      </c>
      <c r="I31" s="186">
        <v>0</v>
      </c>
      <c r="J31" s="186">
        <v>0</v>
      </c>
      <c r="K31" s="186">
        <v>0</v>
      </c>
      <c r="L31" s="186">
        <v>0</v>
      </c>
      <c r="M31" s="186">
        <v>1</v>
      </c>
      <c r="N31" s="186">
        <v>0</v>
      </c>
      <c r="O31" s="186">
        <v>0</v>
      </c>
      <c r="P31" s="186">
        <v>2</v>
      </c>
      <c r="Q31" s="186">
        <v>-6</v>
      </c>
      <c r="R31" s="188" t="str">
        <f t="shared" si="0"/>
        <v>0</v>
      </c>
      <c r="S31" s="188" t="str">
        <f t="shared" si="1"/>
        <v>0</v>
      </c>
      <c r="T31" s="188">
        <f t="shared" si="2"/>
        <v>0</v>
      </c>
      <c r="U31" s="188" t="str">
        <f t="shared" si="3"/>
        <v>0</v>
      </c>
      <c r="V31" s="188" t="str">
        <f t="shared" si="4"/>
        <v>0</v>
      </c>
      <c r="W31" s="186">
        <f t="shared" si="5"/>
        <v>0</v>
      </c>
      <c r="X31" s="186">
        <f t="shared" si="6"/>
        <v>-0.5</v>
      </c>
      <c r="Y31" s="188" t="str">
        <f t="shared" si="7"/>
        <v>0</v>
      </c>
      <c r="Z31" s="188" t="str">
        <f t="shared" si="8"/>
        <v>0</v>
      </c>
      <c r="AA31" s="186">
        <f t="shared" si="9"/>
        <v>0</v>
      </c>
    </row>
    <row r="32" spans="1:27" ht="15.75" customHeight="1">
      <c r="A32" s="185">
        <v>4</v>
      </c>
      <c r="B32" s="186">
        <v>1</v>
      </c>
      <c r="C32" s="186" t="s">
        <v>730</v>
      </c>
      <c r="D32" s="186">
        <v>4</v>
      </c>
      <c r="E32" s="187">
        <v>45691</v>
      </c>
      <c r="F32" s="187" t="s">
        <v>731</v>
      </c>
      <c r="G32" s="187" t="s">
        <v>731</v>
      </c>
      <c r="H32" s="186">
        <v>1</v>
      </c>
      <c r="I32" s="186">
        <v>0</v>
      </c>
      <c r="J32" s="186">
        <v>1</v>
      </c>
      <c r="K32" s="186">
        <v>1</v>
      </c>
      <c r="L32" s="186">
        <v>0</v>
      </c>
      <c r="M32" s="186">
        <v>1</v>
      </c>
      <c r="N32" s="186">
        <v>0</v>
      </c>
      <c r="O32" s="186">
        <v>2</v>
      </c>
      <c r="P32" s="186">
        <v>8</v>
      </c>
      <c r="Q32" s="186">
        <v>5</v>
      </c>
      <c r="R32" s="188" t="e">
        <f t="shared" si="0"/>
        <v>#VALUE!</v>
      </c>
      <c r="S32" s="188" t="e">
        <f t="shared" si="1"/>
        <v>#VALUE!</v>
      </c>
      <c r="T32" s="188" t="e">
        <f t="shared" si="2"/>
        <v>#VALUE!</v>
      </c>
      <c r="U32" s="188" t="str">
        <f t="shared" si="3"/>
        <v>0</v>
      </c>
      <c r="V32" s="188" t="str">
        <f t="shared" si="4"/>
        <v>0</v>
      </c>
      <c r="W32" s="186">
        <f t="shared" si="5"/>
        <v>0</v>
      </c>
      <c r="X32" s="186" t="e">
        <f t="shared" si="6"/>
        <v>#VALUE!</v>
      </c>
      <c r="Y32" s="188" t="str">
        <f t="shared" si="7"/>
        <v>0</v>
      </c>
      <c r="Z32" s="188" t="str">
        <f t="shared" si="8"/>
        <v>0</v>
      </c>
      <c r="AA32" s="186">
        <f t="shared" si="9"/>
        <v>0</v>
      </c>
    </row>
    <row r="33" spans="1:27" ht="15.75" customHeight="1">
      <c r="A33" s="185">
        <v>4</v>
      </c>
      <c r="B33" s="186">
        <v>3</v>
      </c>
      <c r="C33" s="186" t="s">
        <v>732</v>
      </c>
      <c r="D33" s="186">
        <v>4</v>
      </c>
      <c r="E33" s="187">
        <v>45691</v>
      </c>
      <c r="F33" s="187" t="s">
        <v>743</v>
      </c>
      <c r="G33" s="187" t="s">
        <v>731</v>
      </c>
      <c r="H33" s="186">
        <v>1</v>
      </c>
      <c r="I33" s="186">
        <v>0</v>
      </c>
      <c r="J33" s="186">
        <v>1</v>
      </c>
      <c r="K33" s="186">
        <v>2</v>
      </c>
      <c r="L33" s="186">
        <v>0</v>
      </c>
      <c r="M33" s="186">
        <v>0</v>
      </c>
      <c r="N33" s="186">
        <v>0</v>
      </c>
      <c r="O33" s="186">
        <v>0</v>
      </c>
      <c r="P33" s="186">
        <v>10</v>
      </c>
      <c r="Q33" s="186">
        <v>4</v>
      </c>
      <c r="R33" s="188" t="e">
        <f t="shared" si="0"/>
        <v>#VALUE!</v>
      </c>
      <c r="S33" s="188" t="e">
        <f t="shared" si="1"/>
        <v>#VALUE!</v>
      </c>
      <c r="T33" s="188" t="e">
        <f t="shared" si="2"/>
        <v>#VALUE!</v>
      </c>
      <c r="U33" s="188" t="str">
        <f t="shared" si="3"/>
        <v>0</v>
      </c>
      <c r="V33" s="188" t="str">
        <f t="shared" si="4"/>
        <v>0</v>
      </c>
      <c r="W33" s="186">
        <f t="shared" si="5"/>
        <v>0</v>
      </c>
      <c r="X33" s="186" t="e">
        <f t="shared" si="6"/>
        <v>#VALUE!</v>
      </c>
      <c r="Y33" s="188" t="str">
        <f t="shared" si="7"/>
        <v>0</v>
      </c>
      <c r="Z33" s="188" t="str">
        <f t="shared" si="8"/>
        <v>0</v>
      </c>
      <c r="AA33" s="186">
        <f t="shared" si="9"/>
        <v>0</v>
      </c>
    </row>
    <row r="34" spans="1:27" ht="15.75" customHeight="1">
      <c r="A34" s="185">
        <v>4</v>
      </c>
      <c r="B34" s="186">
        <v>10</v>
      </c>
      <c r="C34" s="186" t="s">
        <v>733</v>
      </c>
      <c r="D34" s="186">
        <v>8</v>
      </c>
      <c r="E34" s="187">
        <v>45721</v>
      </c>
      <c r="F34" s="187">
        <v>45660</v>
      </c>
      <c r="G34" s="187">
        <v>45658</v>
      </c>
      <c r="H34" s="186">
        <v>0</v>
      </c>
      <c r="I34" s="186">
        <v>0</v>
      </c>
      <c r="J34" s="186">
        <v>0</v>
      </c>
      <c r="K34" s="186">
        <v>0</v>
      </c>
      <c r="L34" s="186">
        <v>0</v>
      </c>
      <c r="M34" s="186">
        <v>0</v>
      </c>
      <c r="N34" s="186">
        <v>0</v>
      </c>
      <c r="O34" s="186">
        <v>0</v>
      </c>
      <c r="P34" s="186">
        <v>7</v>
      </c>
      <c r="Q34" s="186">
        <v>7</v>
      </c>
      <c r="R34" s="188" t="e">
        <f t="shared" si="0"/>
        <v>#VALUE!</v>
      </c>
      <c r="S34" s="188" t="e">
        <f t="shared" si="1"/>
        <v>#VALUE!</v>
      </c>
      <c r="T34" s="188" t="e">
        <f t="shared" si="2"/>
        <v>#VALUE!</v>
      </c>
      <c r="U34" s="188" t="e">
        <f t="shared" si="3"/>
        <v>#VALUE!</v>
      </c>
      <c r="V34" s="188" t="e">
        <f t="shared" si="4"/>
        <v>#VALUE!</v>
      </c>
      <c r="W34" s="186" t="e">
        <f t="shared" si="5"/>
        <v>#VALUE!</v>
      </c>
      <c r="X34" s="186" t="e">
        <f t="shared" si="6"/>
        <v>#VALUE!</v>
      </c>
      <c r="Y34" s="188" t="e">
        <f t="shared" si="7"/>
        <v>#VALUE!</v>
      </c>
      <c r="Z34" s="188" t="e">
        <f t="shared" si="8"/>
        <v>#VALUE!</v>
      </c>
      <c r="AA34" s="186" t="e">
        <f t="shared" si="9"/>
        <v>#VALUE!</v>
      </c>
    </row>
    <row r="35" spans="1:27" ht="15.75" customHeight="1">
      <c r="A35" s="185">
        <v>4</v>
      </c>
      <c r="B35" s="186">
        <v>25</v>
      </c>
      <c r="C35" s="186" t="s">
        <v>736</v>
      </c>
      <c r="D35" s="186">
        <v>0</v>
      </c>
      <c r="E35" s="187" t="s">
        <v>744</v>
      </c>
      <c r="F35" s="187" t="s">
        <v>735</v>
      </c>
      <c r="G35" s="187" t="s">
        <v>735</v>
      </c>
      <c r="H35" s="186">
        <v>1</v>
      </c>
      <c r="I35" s="186">
        <v>0</v>
      </c>
      <c r="J35" s="186">
        <v>1</v>
      </c>
      <c r="K35" s="186">
        <v>1</v>
      </c>
      <c r="L35" s="186">
        <v>1</v>
      </c>
      <c r="M35" s="186">
        <v>1</v>
      </c>
      <c r="N35" s="186">
        <v>0</v>
      </c>
      <c r="O35" s="186">
        <v>0</v>
      </c>
      <c r="P35" s="186">
        <v>7</v>
      </c>
      <c r="Q35" s="186">
        <v>3</v>
      </c>
      <c r="R35" s="188" t="str">
        <f t="shared" si="0"/>
        <v>0</v>
      </c>
      <c r="S35" s="188" t="str">
        <f t="shared" si="1"/>
        <v>3</v>
      </c>
      <c r="T35" s="188">
        <f t="shared" si="2"/>
        <v>3</v>
      </c>
      <c r="U35" s="188" t="str">
        <f t="shared" si="3"/>
        <v>0</v>
      </c>
      <c r="V35" s="188" t="str">
        <f t="shared" si="4"/>
        <v>2</v>
      </c>
      <c r="W35" s="186">
        <f t="shared" si="5"/>
        <v>2</v>
      </c>
      <c r="X35" s="186">
        <f t="shared" si="6"/>
        <v>-0.7142857142857143</v>
      </c>
      <c r="Y35" s="188" t="str">
        <f t="shared" si="7"/>
        <v>0</v>
      </c>
      <c r="Z35" s="188" t="str">
        <f t="shared" si="8"/>
        <v>2</v>
      </c>
      <c r="AA35" s="186">
        <f t="shared" si="9"/>
        <v>2</v>
      </c>
    </row>
    <row r="36" spans="1:27" ht="15.75" customHeight="1">
      <c r="A36" s="185">
        <v>4</v>
      </c>
      <c r="B36" s="186">
        <v>35</v>
      </c>
      <c r="C36" s="186" t="s">
        <v>737</v>
      </c>
      <c r="D36" s="186">
        <v>7</v>
      </c>
      <c r="E36" s="187">
        <v>45720</v>
      </c>
      <c r="F36" s="187" t="s">
        <v>731</v>
      </c>
      <c r="G36" s="187">
        <v>45661</v>
      </c>
      <c r="H36" s="186">
        <v>2</v>
      </c>
      <c r="I36" s="186">
        <v>2</v>
      </c>
      <c r="J36" s="186">
        <v>4</v>
      </c>
      <c r="K36" s="186">
        <v>1</v>
      </c>
      <c r="L36" s="186">
        <v>0</v>
      </c>
      <c r="M36" s="186">
        <v>0</v>
      </c>
      <c r="N36" s="186">
        <v>0</v>
      </c>
      <c r="O36" s="186">
        <v>0</v>
      </c>
      <c r="P36" s="186">
        <v>10</v>
      </c>
      <c r="Q36" s="186">
        <v>4</v>
      </c>
      <c r="R36" s="188" t="e">
        <f t="shared" si="0"/>
        <v>#VALUE!</v>
      </c>
      <c r="S36" s="188" t="e">
        <f t="shared" si="1"/>
        <v>#VALUE!</v>
      </c>
      <c r="T36" s="188" t="e">
        <f t="shared" si="2"/>
        <v>#VALUE!</v>
      </c>
      <c r="U36" s="188" t="e">
        <f t="shared" si="3"/>
        <v>#VALUE!</v>
      </c>
      <c r="V36" s="188" t="e">
        <f t="shared" si="4"/>
        <v>#VALUE!</v>
      </c>
      <c r="W36" s="186" t="e">
        <f t="shared" si="5"/>
        <v>#VALUE!</v>
      </c>
      <c r="X36" s="186" t="e">
        <f t="shared" si="6"/>
        <v>#VALUE!</v>
      </c>
      <c r="Y36" s="188" t="e">
        <f t="shared" si="7"/>
        <v>#VALUE!</v>
      </c>
      <c r="Z36" s="188" t="e">
        <f t="shared" si="8"/>
        <v>#VALUE!</v>
      </c>
      <c r="AA36" s="186" t="e">
        <f t="shared" si="9"/>
        <v>#VALUE!</v>
      </c>
    </row>
    <row r="37" spans="1:27" ht="15.75" customHeight="1">
      <c r="A37" s="185">
        <v>4</v>
      </c>
      <c r="B37" s="186">
        <v>5</v>
      </c>
      <c r="C37" s="186" t="s">
        <v>738</v>
      </c>
      <c r="D37" s="186">
        <v>0</v>
      </c>
      <c r="E37" s="187" t="s">
        <v>731</v>
      </c>
      <c r="F37" s="187" t="s">
        <v>731</v>
      </c>
      <c r="G37" s="187" t="s">
        <v>731</v>
      </c>
      <c r="H37" s="186">
        <v>0</v>
      </c>
      <c r="I37" s="186">
        <v>0</v>
      </c>
      <c r="J37" s="186">
        <v>0</v>
      </c>
      <c r="K37" s="186">
        <v>0</v>
      </c>
      <c r="L37" s="186">
        <v>0</v>
      </c>
      <c r="M37" s="186">
        <v>0</v>
      </c>
      <c r="N37" s="186">
        <v>1</v>
      </c>
      <c r="O37" s="186">
        <v>0</v>
      </c>
      <c r="P37" s="186">
        <v>3</v>
      </c>
      <c r="Q37" s="186">
        <v>1</v>
      </c>
      <c r="R37" s="188" t="str">
        <f t="shared" si="0"/>
        <v>0</v>
      </c>
      <c r="S37" s="188" t="str">
        <f t="shared" si="1"/>
        <v>0</v>
      </c>
      <c r="T37" s="188">
        <f t="shared" si="2"/>
        <v>0</v>
      </c>
      <c r="U37" s="188" t="str">
        <f t="shared" si="3"/>
        <v>0</v>
      </c>
      <c r="V37" s="188" t="str">
        <f t="shared" si="4"/>
        <v>0</v>
      </c>
      <c r="W37" s="186">
        <f t="shared" si="5"/>
        <v>0</v>
      </c>
      <c r="X37" s="186">
        <f t="shared" si="6"/>
        <v>0.33333333333333331</v>
      </c>
      <c r="Y37" s="188" t="str">
        <f t="shared" si="7"/>
        <v>0</v>
      </c>
      <c r="Z37" s="188" t="str">
        <f t="shared" si="8"/>
        <v>0</v>
      </c>
      <c r="AA37" s="186">
        <f t="shared" si="9"/>
        <v>0</v>
      </c>
    </row>
    <row r="38" spans="1:27" ht="15.75" customHeight="1">
      <c r="A38" s="185">
        <v>4</v>
      </c>
      <c r="B38" s="186">
        <v>7</v>
      </c>
      <c r="C38" s="186" t="s">
        <v>739</v>
      </c>
      <c r="D38" s="186">
        <v>0</v>
      </c>
      <c r="E38" s="187" t="s">
        <v>731</v>
      </c>
      <c r="F38" s="187" t="s">
        <v>731</v>
      </c>
      <c r="G38" s="187" t="s">
        <v>731</v>
      </c>
      <c r="H38" s="186">
        <v>0</v>
      </c>
      <c r="I38" s="186">
        <v>0</v>
      </c>
      <c r="J38" s="186">
        <v>0</v>
      </c>
      <c r="K38" s="186">
        <v>0</v>
      </c>
      <c r="L38" s="186">
        <v>1</v>
      </c>
      <c r="M38" s="186">
        <v>0</v>
      </c>
      <c r="N38" s="186">
        <v>0</v>
      </c>
      <c r="O38" s="186">
        <v>0</v>
      </c>
      <c r="P38" s="186">
        <v>3</v>
      </c>
      <c r="Q38" s="186">
        <v>-3</v>
      </c>
      <c r="R38" s="188" t="str">
        <f t="shared" si="0"/>
        <v>0</v>
      </c>
      <c r="S38" s="188" t="str">
        <f t="shared" si="1"/>
        <v>0</v>
      </c>
      <c r="T38" s="188">
        <f t="shared" si="2"/>
        <v>0</v>
      </c>
      <c r="U38" s="188" t="str">
        <f t="shared" si="3"/>
        <v>0</v>
      </c>
      <c r="V38" s="188" t="str">
        <f t="shared" si="4"/>
        <v>0</v>
      </c>
      <c r="W38" s="186">
        <f t="shared" si="5"/>
        <v>0</v>
      </c>
      <c r="X38" s="186">
        <f t="shared" si="6"/>
        <v>-0.33333333333333331</v>
      </c>
      <c r="Y38" s="188" t="str">
        <f t="shared" si="7"/>
        <v>0</v>
      </c>
      <c r="Z38" s="188" t="str">
        <f t="shared" si="8"/>
        <v>0</v>
      </c>
      <c r="AA38" s="186">
        <f t="shared" si="9"/>
        <v>0</v>
      </c>
    </row>
    <row r="39" spans="1:27" ht="15.75" customHeight="1">
      <c r="A39" s="185">
        <v>4</v>
      </c>
      <c r="B39" s="186">
        <v>12</v>
      </c>
      <c r="C39" s="186" t="s">
        <v>740</v>
      </c>
      <c r="D39" s="186">
        <v>0</v>
      </c>
      <c r="E39" s="187" t="s">
        <v>731</v>
      </c>
      <c r="F39" s="187" t="s">
        <v>731</v>
      </c>
      <c r="G39" s="187" t="s">
        <v>731</v>
      </c>
      <c r="H39" s="186">
        <v>0</v>
      </c>
      <c r="I39" s="186">
        <v>0</v>
      </c>
      <c r="J39" s="186">
        <v>0</v>
      </c>
      <c r="K39" s="186">
        <v>0</v>
      </c>
      <c r="L39" s="186">
        <v>0</v>
      </c>
      <c r="M39" s="186">
        <v>0</v>
      </c>
      <c r="N39" s="186">
        <v>0</v>
      </c>
      <c r="O39" s="186">
        <v>0</v>
      </c>
      <c r="P39" s="186">
        <v>0</v>
      </c>
      <c r="Q39" s="186">
        <v>0</v>
      </c>
      <c r="R39" s="188" t="str">
        <f t="shared" si="0"/>
        <v>0</v>
      </c>
      <c r="S39" s="188" t="str">
        <f t="shared" si="1"/>
        <v>0</v>
      </c>
      <c r="T39" s="188">
        <f t="shared" si="2"/>
        <v>0</v>
      </c>
      <c r="U39" s="188" t="str">
        <f t="shared" si="3"/>
        <v>0</v>
      </c>
      <c r="V39" s="188" t="str">
        <f t="shared" si="4"/>
        <v>0</v>
      </c>
      <c r="W39" s="186">
        <f t="shared" si="5"/>
        <v>0</v>
      </c>
      <c r="X39" s="186" t="e">
        <f t="shared" si="6"/>
        <v>#DIV/0!</v>
      </c>
      <c r="Y39" s="188" t="str">
        <f t="shared" si="7"/>
        <v>0</v>
      </c>
      <c r="Z39" s="188" t="str">
        <f t="shared" si="8"/>
        <v>0</v>
      </c>
      <c r="AA39" s="186">
        <f t="shared" si="9"/>
        <v>0</v>
      </c>
    </row>
    <row r="40" spans="1:27" ht="15.75" customHeight="1">
      <c r="A40" s="185">
        <v>4</v>
      </c>
      <c r="B40" s="186">
        <v>21</v>
      </c>
      <c r="C40" s="186" t="s">
        <v>741</v>
      </c>
      <c r="D40" s="186">
        <v>0</v>
      </c>
      <c r="E40" s="187" t="s">
        <v>731</v>
      </c>
      <c r="F40" s="187" t="s">
        <v>731</v>
      </c>
      <c r="G40" s="187" t="s">
        <v>731</v>
      </c>
      <c r="H40" s="186">
        <v>0</v>
      </c>
      <c r="I40" s="186">
        <v>0</v>
      </c>
      <c r="J40" s="186">
        <v>0</v>
      </c>
      <c r="K40" s="186">
        <v>0</v>
      </c>
      <c r="L40" s="186">
        <v>0</v>
      </c>
      <c r="M40" s="186">
        <v>0</v>
      </c>
      <c r="N40" s="186">
        <v>0</v>
      </c>
      <c r="O40" s="186">
        <v>1</v>
      </c>
      <c r="P40" s="186">
        <v>2</v>
      </c>
      <c r="Q40" s="186">
        <v>-1</v>
      </c>
      <c r="R40" s="188" t="str">
        <f t="shared" si="0"/>
        <v>0</v>
      </c>
      <c r="S40" s="188" t="str">
        <f t="shared" si="1"/>
        <v>0</v>
      </c>
      <c r="T40" s="188">
        <f t="shared" si="2"/>
        <v>0</v>
      </c>
      <c r="U40" s="188" t="str">
        <f t="shared" si="3"/>
        <v>0</v>
      </c>
      <c r="V40" s="188" t="str">
        <f t="shared" si="4"/>
        <v>0</v>
      </c>
      <c r="W40" s="186">
        <f t="shared" si="5"/>
        <v>0</v>
      </c>
      <c r="X40" s="186">
        <f t="shared" si="6"/>
        <v>0.5</v>
      </c>
      <c r="Y40" s="188" t="str">
        <f t="shared" si="7"/>
        <v>0</v>
      </c>
      <c r="Z40" s="188" t="str">
        <f t="shared" si="8"/>
        <v>0</v>
      </c>
      <c r="AA40" s="186">
        <f t="shared" si="9"/>
        <v>0</v>
      </c>
    </row>
    <row r="41" spans="1:27" ht="15.75" customHeight="1">
      <c r="A41" s="185">
        <v>4</v>
      </c>
      <c r="B41" s="186">
        <v>22</v>
      </c>
      <c r="C41" s="186" t="s">
        <v>742</v>
      </c>
      <c r="D41" s="186">
        <v>0</v>
      </c>
      <c r="E41" s="187" t="s">
        <v>731</v>
      </c>
      <c r="F41" s="187" t="s">
        <v>731</v>
      </c>
      <c r="G41" s="187" t="s">
        <v>731</v>
      </c>
      <c r="H41" s="186">
        <v>0</v>
      </c>
      <c r="I41" s="186">
        <v>0</v>
      </c>
      <c r="J41" s="186">
        <v>0</v>
      </c>
      <c r="K41" s="186">
        <v>0</v>
      </c>
      <c r="L41" s="186">
        <v>0</v>
      </c>
      <c r="M41" s="186">
        <v>0</v>
      </c>
      <c r="N41" s="186">
        <v>0</v>
      </c>
      <c r="O41" s="186">
        <v>0</v>
      </c>
      <c r="P41" s="186">
        <v>0</v>
      </c>
      <c r="Q41" s="186">
        <v>0</v>
      </c>
      <c r="R41" s="188" t="str">
        <f t="shared" si="0"/>
        <v>0</v>
      </c>
      <c r="S41" s="188" t="str">
        <f t="shared" si="1"/>
        <v>0</v>
      </c>
      <c r="T41" s="188">
        <f t="shared" si="2"/>
        <v>0</v>
      </c>
      <c r="U41" s="188" t="str">
        <f t="shared" si="3"/>
        <v>0</v>
      </c>
      <c r="V41" s="188" t="str">
        <f t="shared" si="4"/>
        <v>0</v>
      </c>
      <c r="W41" s="186">
        <f t="shared" si="5"/>
        <v>0</v>
      </c>
      <c r="X41" s="186" t="e">
        <f t="shared" si="6"/>
        <v>#DIV/0!</v>
      </c>
      <c r="Y41" s="188" t="str">
        <f t="shared" si="7"/>
        <v>0</v>
      </c>
      <c r="Z41" s="188" t="str">
        <f t="shared" si="8"/>
        <v>0</v>
      </c>
      <c r="AA41" s="186">
        <f t="shared" si="9"/>
        <v>0</v>
      </c>
    </row>
    <row r="42" spans="1:27" ht="15.75" customHeight="1">
      <c r="A42" s="189"/>
      <c r="B42" s="190"/>
      <c r="E42" s="187"/>
      <c r="F42" s="187"/>
      <c r="G42" s="187"/>
    </row>
    <row r="43" spans="1:27" ht="15.75" customHeight="1">
      <c r="A43" s="91"/>
      <c r="E43" s="187"/>
      <c r="F43" s="187"/>
      <c r="G43" s="187"/>
    </row>
    <row r="44" spans="1:27" ht="15.75" customHeight="1">
      <c r="A44" s="91"/>
      <c r="E44" s="187"/>
      <c r="F44" s="187"/>
      <c r="G44" s="187"/>
    </row>
    <row r="45" spans="1:27" ht="15.75" customHeight="1">
      <c r="A45" s="91"/>
      <c r="E45" s="187"/>
      <c r="F45" s="187"/>
      <c r="G45" s="187"/>
    </row>
    <row r="46" spans="1:27" ht="15.75" customHeight="1">
      <c r="A46" s="91"/>
      <c r="E46" s="187"/>
      <c r="F46" s="187"/>
      <c r="G46" s="187"/>
    </row>
    <row r="47" spans="1:27" ht="15.75" customHeight="1">
      <c r="A47" s="91"/>
      <c r="E47" s="187"/>
      <c r="F47" s="187"/>
      <c r="G47" s="187"/>
    </row>
    <row r="48" spans="1:27" ht="15.75" customHeight="1">
      <c r="A48" s="91"/>
      <c r="E48" s="187"/>
      <c r="F48" s="187"/>
      <c r="G48" s="187"/>
    </row>
    <row r="49" spans="1:7" ht="15.75" customHeight="1">
      <c r="A49" s="91"/>
      <c r="E49" s="187"/>
      <c r="F49" s="187"/>
      <c r="G49" s="187"/>
    </row>
    <row r="50" spans="1:7" ht="15.75" customHeight="1">
      <c r="A50" s="91"/>
      <c r="E50" s="187"/>
      <c r="F50" s="187"/>
      <c r="G50" s="187"/>
    </row>
    <row r="51" spans="1:7" ht="15.75" customHeight="1">
      <c r="A51" s="91"/>
      <c r="E51" s="187"/>
      <c r="F51" s="187"/>
      <c r="G51" s="187"/>
    </row>
    <row r="52" spans="1:7" ht="15.75" customHeight="1">
      <c r="A52" s="91"/>
      <c r="E52" s="187"/>
      <c r="F52" s="187"/>
      <c r="G52" s="187"/>
    </row>
    <row r="53" spans="1:7" ht="13">
      <c r="A53" s="91"/>
      <c r="E53" s="187"/>
      <c r="F53" s="187"/>
      <c r="G53" s="187"/>
    </row>
    <row r="54" spans="1:7" ht="13">
      <c r="A54" s="91"/>
      <c r="E54" s="187"/>
      <c r="F54" s="187"/>
      <c r="G54" s="187"/>
    </row>
    <row r="55" spans="1:7" ht="13">
      <c r="A55" s="91"/>
      <c r="E55" s="187"/>
      <c r="F55" s="187"/>
      <c r="G55" s="187"/>
    </row>
    <row r="56" spans="1:7" ht="13">
      <c r="A56" s="91"/>
      <c r="E56" s="187"/>
      <c r="F56" s="187"/>
      <c r="G56" s="187"/>
    </row>
    <row r="57" spans="1:7" ht="13">
      <c r="A57" s="91"/>
    </row>
    <row r="58" spans="1:7" ht="13">
      <c r="A58" s="91"/>
    </row>
    <row r="59" spans="1:7" ht="13">
      <c r="A59" s="91"/>
    </row>
    <row r="60" spans="1:7" ht="13">
      <c r="A60" s="91"/>
    </row>
    <row r="61" spans="1:7" ht="13">
      <c r="A61" s="91"/>
    </row>
    <row r="62" spans="1:7" ht="13">
      <c r="A62" s="91"/>
    </row>
    <row r="63" spans="1:7" ht="13">
      <c r="A63" s="91"/>
    </row>
    <row r="64" spans="1:7" ht="13">
      <c r="A64" s="91"/>
    </row>
    <row r="65" spans="1:1" ht="13">
      <c r="A65" s="91"/>
    </row>
    <row r="66" spans="1:1" ht="13">
      <c r="A66" s="91"/>
    </row>
    <row r="67" spans="1:1" ht="13">
      <c r="A67" s="91"/>
    </row>
    <row r="68" spans="1:1" ht="13">
      <c r="A68" s="91"/>
    </row>
    <row r="69" spans="1:1" ht="13">
      <c r="A69" s="91"/>
    </row>
    <row r="70" spans="1:1" ht="13">
      <c r="A70" s="91"/>
    </row>
    <row r="71" spans="1:1" ht="13">
      <c r="A71" s="91"/>
    </row>
    <row r="72" spans="1:1" ht="13">
      <c r="A72" s="91"/>
    </row>
    <row r="73" spans="1:1" ht="13">
      <c r="A73" s="91"/>
    </row>
    <row r="74" spans="1:1" ht="13">
      <c r="A74" s="91"/>
    </row>
    <row r="75" spans="1:1" ht="13">
      <c r="A75" s="91"/>
    </row>
    <row r="76" spans="1:1" ht="13">
      <c r="A76" s="91"/>
    </row>
    <row r="77" spans="1:1" ht="13">
      <c r="A77" s="91"/>
    </row>
    <row r="78" spans="1:1" ht="13">
      <c r="A78" s="91"/>
    </row>
    <row r="79" spans="1:1" ht="13">
      <c r="A79" s="91"/>
    </row>
    <row r="80" spans="1:1" ht="13">
      <c r="A80" s="91"/>
    </row>
    <row r="81" spans="1:1" ht="13">
      <c r="A81" s="91"/>
    </row>
    <row r="82" spans="1:1" ht="13">
      <c r="A82" s="91"/>
    </row>
    <row r="83" spans="1:1" ht="13">
      <c r="A83" s="91"/>
    </row>
    <row r="84" spans="1:1" ht="13">
      <c r="A84" s="91"/>
    </row>
    <row r="85" spans="1:1" ht="13">
      <c r="A85" s="91"/>
    </row>
    <row r="86" spans="1:1" ht="13">
      <c r="A86" s="91"/>
    </row>
    <row r="87" spans="1:1" ht="13">
      <c r="A87" s="91"/>
    </row>
    <row r="88" spans="1:1" ht="13">
      <c r="A88" s="91"/>
    </row>
    <row r="89" spans="1:1" ht="13">
      <c r="A89" s="91"/>
    </row>
    <row r="90" spans="1:1" ht="13">
      <c r="A90" s="91"/>
    </row>
    <row r="91" spans="1:1" ht="13">
      <c r="A91" s="91"/>
    </row>
    <row r="92" spans="1:1" ht="13">
      <c r="A92" s="91"/>
    </row>
    <row r="93" spans="1:1" ht="13">
      <c r="A93" s="91"/>
    </row>
    <row r="94" spans="1:1" ht="13">
      <c r="A94" s="91"/>
    </row>
    <row r="95" spans="1:1" ht="13">
      <c r="A95" s="91"/>
    </row>
    <row r="96" spans="1:1" ht="13">
      <c r="A96" s="91"/>
    </row>
    <row r="97" spans="1:1" ht="13">
      <c r="A97" s="91"/>
    </row>
    <row r="98" spans="1:1" ht="13">
      <c r="A98" s="91"/>
    </row>
    <row r="99" spans="1:1" ht="13">
      <c r="A99" s="91"/>
    </row>
    <row r="100" spans="1:1" ht="13">
      <c r="A100" s="91"/>
    </row>
    <row r="101" spans="1:1" ht="13">
      <c r="A101" s="91"/>
    </row>
    <row r="102" spans="1:1" ht="13">
      <c r="A102" s="91"/>
    </row>
    <row r="103" spans="1:1" ht="13">
      <c r="A103" s="91"/>
    </row>
    <row r="104" spans="1:1" ht="13">
      <c r="A104" s="91"/>
    </row>
    <row r="105" spans="1:1" ht="13">
      <c r="A105" s="91"/>
    </row>
    <row r="106" spans="1:1" ht="13">
      <c r="A106" s="91"/>
    </row>
    <row r="107" spans="1:1" ht="13">
      <c r="A107" s="91"/>
    </row>
    <row r="108" spans="1:1" ht="13">
      <c r="A108" s="91"/>
    </row>
    <row r="109" spans="1:1" ht="13">
      <c r="A109" s="91"/>
    </row>
    <row r="110" spans="1:1" ht="13">
      <c r="A110" s="91"/>
    </row>
    <row r="111" spans="1:1" ht="13">
      <c r="A111" s="91"/>
    </row>
    <row r="112" spans="1:1" ht="13">
      <c r="A112" s="91"/>
    </row>
    <row r="113" spans="1:1" ht="13">
      <c r="A113" s="91"/>
    </row>
    <row r="114" spans="1:1" ht="13">
      <c r="A114" s="91"/>
    </row>
    <row r="115" spans="1:1" ht="13">
      <c r="A115" s="91"/>
    </row>
    <row r="116" spans="1:1" ht="13">
      <c r="A116" s="91"/>
    </row>
    <row r="117" spans="1:1" ht="13">
      <c r="A117" s="91"/>
    </row>
    <row r="118" spans="1:1" ht="13">
      <c r="A118" s="91"/>
    </row>
    <row r="119" spans="1:1" ht="13">
      <c r="A119" s="91"/>
    </row>
    <row r="120" spans="1:1" ht="13">
      <c r="A120" s="91"/>
    </row>
    <row r="121" spans="1:1" ht="13">
      <c r="A121" s="91"/>
    </row>
    <row r="122" spans="1:1" ht="13">
      <c r="A122" s="91"/>
    </row>
    <row r="123" spans="1:1" ht="13">
      <c r="A123" s="91"/>
    </row>
    <row r="124" spans="1:1" ht="13">
      <c r="A124" s="91"/>
    </row>
    <row r="125" spans="1:1" ht="13">
      <c r="A125" s="91"/>
    </row>
    <row r="126" spans="1:1" ht="13">
      <c r="A126" s="91"/>
    </row>
    <row r="127" spans="1:1" ht="13">
      <c r="A127" s="91"/>
    </row>
    <row r="128" spans="1:1" ht="13">
      <c r="A128" s="91"/>
    </row>
    <row r="129" spans="1:1" ht="13">
      <c r="A129" s="91"/>
    </row>
    <row r="130" spans="1:1" ht="13">
      <c r="A130" s="91"/>
    </row>
    <row r="131" spans="1:1" ht="13">
      <c r="A131" s="91"/>
    </row>
    <row r="132" spans="1:1" ht="13">
      <c r="A132" s="91"/>
    </row>
    <row r="133" spans="1:1" ht="13">
      <c r="A133" s="91"/>
    </row>
    <row r="134" spans="1:1" ht="13">
      <c r="A134" s="91"/>
    </row>
    <row r="135" spans="1:1" ht="13">
      <c r="A135" s="91"/>
    </row>
    <row r="136" spans="1:1" ht="13">
      <c r="A136" s="91"/>
    </row>
    <row r="137" spans="1:1" ht="13">
      <c r="A137" s="91"/>
    </row>
    <row r="138" spans="1:1" ht="13">
      <c r="A138" s="91"/>
    </row>
    <row r="139" spans="1:1" ht="13">
      <c r="A139" s="91"/>
    </row>
    <row r="140" spans="1:1" ht="13">
      <c r="A140" s="91"/>
    </row>
    <row r="141" spans="1:1" ht="13">
      <c r="A141" s="91"/>
    </row>
    <row r="142" spans="1:1" ht="13">
      <c r="A142" s="91"/>
    </row>
    <row r="143" spans="1:1" ht="13">
      <c r="A143" s="91"/>
    </row>
    <row r="144" spans="1:1" ht="13">
      <c r="A144" s="91"/>
    </row>
    <row r="145" spans="1:1" ht="13">
      <c r="A145" s="91"/>
    </row>
    <row r="146" spans="1:1" ht="13">
      <c r="A146" s="91"/>
    </row>
    <row r="147" spans="1:1" ht="13">
      <c r="A147" s="91"/>
    </row>
    <row r="148" spans="1:1" ht="13">
      <c r="A148" s="91"/>
    </row>
    <row r="149" spans="1:1" ht="13">
      <c r="A149" s="91"/>
    </row>
    <row r="150" spans="1:1" ht="13">
      <c r="A150" s="91"/>
    </row>
    <row r="151" spans="1:1" ht="13">
      <c r="A151" s="91"/>
    </row>
    <row r="152" spans="1:1" ht="13">
      <c r="A152" s="91"/>
    </row>
    <row r="153" spans="1:1" ht="13">
      <c r="A153" s="91"/>
    </row>
    <row r="154" spans="1:1" ht="13">
      <c r="A154" s="91"/>
    </row>
    <row r="155" spans="1:1" ht="13">
      <c r="A155" s="91"/>
    </row>
    <row r="156" spans="1:1" ht="13">
      <c r="A156" s="91"/>
    </row>
    <row r="157" spans="1:1" ht="13">
      <c r="A157" s="91"/>
    </row>
    <row r="158" spans="1:1" ht="13">
      <c r="A158" s="91"/>
    </row>
    <row r="159" spans="1:1" ht="13">
      <c r="A159" s="91"/>
    </row>
    <row r="160" spans="1:1" ht="13">
      <c r="A160" s="91"/>
    </row>
    <row r="161" spans="1:1" ht="13">
      <c r="A161" s="91"/>
    </row>
    <row r="162" spans="1:1" ht="13">
      <c r="A162" s="91"/>
    </row>
    <row r="163" spans="1:1" ht="13">
      <c r="A163" s="91"/>
    </row>
    <row r="164" spans="1:1" ht="13">
      <c r="A164" s="91"/>
    </row>
    <row r="165" spans="1:1" ht="13">
      <c r="A165" s="91"/>
    </row>
    <row r="166" spans="1:1" ht="13">
      <c r="A166" s="91"/>
    </row>
    <row r="167" spans="1:1" ht="13">
      <c r="A167" s="91"/>
    </row>
    <row r="168" spans="1:1" ht="13">
      <c r="A168" s="91"/>
    </row>
    <row r="169" spans="1:1" ht="13">
      <c r="A169" s="91"/>
    </row>
    <row r="170" spans="1:1" ht="13">
      <c r="A170" s="91"/>
    </row>
    <row r="171" spans="1:1" ht="13">
      <c r="A171" s="91"/>
    </row>
    <row r="172" spans="1:1" ht="13">
      <c r="A172" s="91"/>
    </row>
    <row r="173" spans="1:1" ht="13">
      <c r="A173" s="91"/>
    </row>
    <row r="174" spans="1:1" ht="13">
      <c r="A174" s="91"/>
    </row>
    <row r="175" spans="1:1" ht="13">
      <c r="A175" s="91"/>
    </row>
    <row r="176" spans="1:1" ht="13">
      <c r="A176" s="91"/>
    </row>
    <row r="177" spans="1:1" ht="13">
      <c r="A177" s="91"/>
    </row>
    <row r="178" spans="1:1" ht="13">
      <c r="A178" s="91"/>
    </row>
    <row r="179" spans="1:1" ht="13">
      <c r="A179" s="91"/>
    </row>
    <row r="180" spans="1:1" ht="13">
      <c r="A180" s="91"/>
    </row>
    <row r="181" spans="1:1" ht="13">
      <c r="A181" s="91"/>
    </row>
    <row r="182" spans="1:1" ht="13">
      <c r="A182" s="91"/>
    </row>
    <row r="183" spans="1:1" ht="13">
      <c r="A183" s="91"/>
    </row>
    <row r="184" spans="1:1" ht="13">
      <c r="A184" s="91"/>
    </row>
    <row r="185" spans="1:1" ht="13">
      <c r="A185" s="91"/>
    </row>
    <row r="186" spans="1:1" ht="13">
      <c r="A186" s="91"/>
    </row>
    <row r="187" spans="1:1" ht="13">
      <c r="A187" s="91"/>
    </row>
    <row r="188" spans="1:1" ht="13">
      <c r="A188" s="91"/>
    </row>
    <row r="189" spans="1:1" ht="13">
      <c r="A189" s="91"/>
    </row>
    <row r="190" spans="1:1" ht="13">
      <c r="A190" s="91"/>
    </row>
    <row r="191" spans="1:1" ht="13">
      <c r="A191" s="91"/>
    </row>
    <row r="192" spans="1:1" ht="13">
      <c r="A192" s="91"/>
    </row>
    <row r="193" spans="1:1" ht="13">
      <c r="A193" s="91"/>
    </row>
    <row r="194" spans="1:1" ht="13">
      <c r="A194" s="91"/>
    </row>
    <row r="195" spans="1:1" ht="13">
      <c r="A195" s="91"/>
    </row>
    <row r="196" spans="1:1" ht="13">
      <c r="A196" s="91"/>
    </row>
    <row r="197" spans="1:1" ht="13">
      <c r="A197" s="91"/>
    </row>
    <row r="198" spans="1:1" ht="13">
      <c r="A198" s="91"/>
    </row>
    <row r="199" spans="1:1" ht="13">
      <c r="A199" s="91"/>
    </row>
    <row r="200" spans="1:1" ht="13">
      <c r="A200" s="91"/>
    </row>
    <row r="201" spans="1:1" ht="13">
      <c r="A201" s="91"/>
    </row>
    <row r="202" spans="1:1" ht="13">
      <c r="A202" s="91"/>
    </row>
    <row r="203" spans="1:1" ht="13">
      <c r="A203" s="91"/>
    </row>
    <row r="204" spans="1:1" ht="13">
      <c r="A204" s="91"/>
    </row>
    <row r="205" spans="1:1" ht="13">
      <c r="A205" s="91"/>
    </row>
    <row r="206" spans="1:1" ht="13">
      <c r="A206" s="91"/>
    </row>
    <row r="207" spans="1:1" ht="13">
      <c r="A207" s="91"/>
    </row>
    <row r="208" spans="1:1" ht="13">
      <c r="A208" s="91"/>
    </row>
    <row r="209" spans="1:1" ht="13">
      <c r="A209" s="91"/>
    </row>
    <row r="210" spans="1:1" ht="13">
      <c r="A210" s="91"/>
    </row>
    <row r="211" spans="1:1" ht="13">
      <c r="A211" s="91"/>
    </row>
    <row r="212" spans="1:1" ht="13">
      <c r="A212" s="91"/>
    </row>
    <row r="213" spans="1:1" ht="13">
      <c r="A213" s="91"/>
    </row>
    <row r="214" spans="1:1" ht="13">
      <c r="A214" s="91"/>
    </row>
    <row r="215" spans="1:1" ht="13">
      <c r="A215" s="91"/>
    </row>
    <row r="216" spans="1:1" ht="13">
      <c r="A216" s="91"/>
    </row>
    <row r="217" spans="1:1" ht="13">
      <c r="A217" s="91"/>
    </row>
    <row r="218" spans="1:1" ht="13">
      <c r="A218" s="91"/>
    </row>
    <row r="219" spans="1:1" ht="13">
      <c r="A219" s="91"/>
    </row>
    <row r="220" spans="1:1" ht="13">
      <c r="A220" s="91"/>
    </row>
    <row r="221" spans="1:1" ht="13">
      <c r="A221" s="91"/>
    </row>
    <row r="222" spans="1:1" ht="13">
      <c r="A222" s="91"/>
    </row>
    <row r="223" spans="1:1" ht="13">
      <c r="A223" s="91"/>
    </row>
    <row r="224" spans="1:1" ht="13">
      <c r="A224" s="91"/>
    </row>
    <row r="225" spans="1:1" ht="13">
      <c r="A225" s="91"/>
    </row>
    <row r="226" spans="1:1" ht="13">
      <c r="A226" s="91"/>
    </row>
    <row r="227" spans="1:1" ht="13">
      <c r="A227" s="91"/>
    </row>
    <row r="228" spans="1:1" ht="13">
      <c r="A228" s="91"/>
    </row>
    <row r="229" spans="1:1" ht="13">
      <c r="A229" s="91"/>
    </row>
    <row r="230" spans="1:1" ht="13">
      <c r="A230" s="91"/>
    </row>
    <row r="231" spans="1:1" ht="13">
      <c r="A231" s="91"/>
    </row>
    <row r="232" spans="1:1" ht="13">
      <c r="A232" s="91"/>
    </row>
    <row r="233" spans="1:1" ht="13">
      <c r="A233" s="91"/>
    </row>
    <row r="234" spans="1:1" ht="13">
      <c r="A234" s="91"/>
    </row>
    <row r="235" spans="1:1" ht="13">
      <c r="A235" s="91"/>
    </row>
    <row r="236" spans="1:1" ht="13">
      <c r="A236" s="91"/>
    </row>
    <row r="237" spans="1:1" ht="13">
      <c r="A237" s="91"/>
    </row>
    <row r="238" spans="1:1" ht="13">
      <c r="A238" s="91"/>
    </row>
    <row r="239" spans="1:1" ht="13">
      <c r="A239" s="91"/>
    </row>
    <row r="240" spans="1:1" ht="13">
      <c r="A240" s="91"/>
    </row>
    <row r="241" spans="1:1" ht="13">
      <c r="A241" s="91"/>
    </row>
    <row r="242" spans="1:1" ht="13">
      <c r="A242" s="91"/>
    </row>
    <row r="243" spans="1:1" ht="13">
      <c r="A243" s="91"/>
    </row>
    <row r="244" spans="1:1" ht="13">
      <c r="A244" s="91"/>
    </row>
    <row r="245" spans="1:1" ht="13">
      <c r="A245" s="91"/>
    </row>
    <row r="246" spans="1:1" ht="13">
      <c r="A246" s="91"/>
    </row>
    <row r="247" spans="1:1" ht="13">
      <c r="A247" s="91"/>
    </row>
    <row r="248" spans="1:1" ht="13">
      <c r="A248" s="91"/>
    </row>
    <row r="249" spans="1:1" ht="13">
      <c r="A249" s="91"/>
    </row>
    <row r="250" spans="1:1" ht="13">
      <c r="A250" s="91"/>
    </row>
    <row r="251" spans="1:1" ht="13">
      <c r="A251" s="91"/>
    </row>
    <row r="252" spans="1:1" ht="13">
      <c r="A252" s="91"/>
    </row>
    <row r="253" spans="1:1" ht="13">
      <c r="A253" s="91"/>
    </row>
    <row r="254" spans="1:1" ht="13">
      <c r="A254" s="91"/>
    </row>
    <row r="255" spans="1:1" ht="13">
      <c r="A255" s="91"/>
    </row>
    <row r="256" spans="1:1" ht="13">
      <c r="A256" s="91"/>
    </row>
    <row r="257" spans="1:1" ht="13">
      <c r="A257" s="91"/>
    </row>
    <row r="258" spans="1:1" ht="13">
      <c r="A258" s="91"/>
    </row>
    <row r="259" spans="1:1" ht="13">
      <c r="A259" s="91"/>
    </row>
    <row r="260" spans="1:1" ht="13">
      <c r="A260" s="91"/>
    </row>
    <row r="261" spans="1:1" ht="13">
      <c r="A261" s="91"/>
    </row>
    <row r="262" spans="1:1" ht="13">
      <c r="A262" s="91"/>
    </row>
    <row r="263" spans="1:1" ht="13">
      <c r="A263" s="91"/>
    </row>
    <row r="264" spans="1:1" ht="13">
      <c r="A264" s="91"/>
    </row>
    <row r="265" spans="1:1" ht="13">
      <c r="A265" s="91"/>
    </row>
    <row r="266" spans="1:1" ht="13">
      <c r="A266" s="91"/>
    </row>
    <row r="267" spans="1:1" ht="13">
      <c r="A267" s="91"/>
    </row>
    <row r="268" spans="1:1" ht="13">
      <c r="A268" s="91"/>
    </row>
    <row r="269" spans="1:1" ht="13">
      <c r="A269" s="91"/>
    </row>
    <row r="270" spans="1:1" ht="13">
      <c r="A270" s="91"/>
    </row>
    <row r="271" spans="1:1" ht="13">
      <c r="A271" s="91"/>
    </row>
    <row r="272" spans="1:1" ht="13">
      <c r="A272" s="91"/>
    </row>
    <row r="273" spans="1:1" ht="13">
      <c r="A273" s="91"/>
    </row>
    <row r="274" spans="1:1" ht="13">
      <c r="A274" s="91"/>
    </row>
    <row r="275" spans="1:1" ht="13">
      <c r="A275" s="91"/>
    </row>
    <row r="276" spans="1:1" ht="13">
      <c r="A276" s="91"/>
    </row>
    <row r="277" spans="1:1" ht="13">
      <c r="A277" s="91"/>
    </row>
    <row r="278" spans="1:1" ht="13">
      <c r="A278" s="91"/>
    </row>
    <row r="279" spans="1:1" ht="13">
      <c r="A279" s="91"/>
    </row>
    <row r="280" spans="1:1" ht="13">
      <c r="A280" s="91"/>
    </row>
    <row r="281" spans="1:1" ht="13">
      <c r="A281" s="91"/>
    </row>
    <row r="282" spans="1:1" ht="13">
      <c r="A282" s="91"/>
    </row>
    <row r="283" spans="1:1" ht="13">
      <c r="A283" s="91"/>
    </row>
    <row r="284" spans="1:1" ht="13">
      <c r="A284" s="91"/>
    </row>
    <row r="285" spans="1:1" ht="13">
      <c r="A285" s="91"/>
    </row>
    <row r="286" spans="1:1" ht="13">
      <c r="A286" s="91"/>
    </row>
    <row r="287" spans="1:1" ht="13">
      <c r="A287" s="91"/>
    </row>
    <row r="288" spans="1:1" ht="13">
      <c r="A288" s="91"/>
    </row>
    <row r="289" spans="1:1" ht="13">
      <c r="A289" s="91"/>
    </row>
    <row r="290" spans="1:1" ht="13">
      <c r="A290" s="91"/>
    </row>
    <row r="291" spans="1:1" ht="13">
      <c r="A291" s="91"/>
    </row>
    <row r="292" spans="1:1" ht="13">
      <c r="A292" s="91"/>
    </row>
    <row r="293" spans="1:1" ht="13">
      <c r="A293" s="91"/>
    </row>
    <row r="294" spans="1:1" ht="13">
      <c r="A294" s="91"/>
    </row>
    <row r="295" spans="1:1" ht="13">
      <c r="A295" s="91"/>
    </row>
    <row r="296" spans="1:1" ht="13">
      <c r="A296" s="91"/>
    </row>
    <row r="297" spans="1:1" ht="13">
      <c r="A297" s="91"/>
    </row>
    <row r="298" spans="1:1" ht="13">
      <c r="A298" s="91"/>
    </row>
    <row r="299" spans="1:1" ht="13">
      <c r="A299" s="91"/>
    </row>
    <row r="300" spans="1:1" ht="13">
      <c r="A300" s="91"/>
    </row>
    <row r="301" spans="1:1" ht="13">
      <c r="A301" s="91"/>
    </row>
    <row r="302" spans="1:1" ht="13">
      <c r="A302" s="91"/>
    </row>
    <row r="303" spans="1:1" ht="13">
      <c r="A303" s="91"/>
    </row>
    <row r="304" spans="1:1" ht="13">
      <c r="A304" s="91"/>
    </row>
    <row r="305" spans="1:1" ht="13">
      <c r="A305" s="91"/>
    </row>
    <row r="306" spans="1:1" ht="13">
      <c r="A306" s="91"/>
    </row>
    <row r="307" spans="1:1" ht="13">
      <c r="A307" s="91"/>
    </row>
    <row r="308" spans="1:1" ht="13">
      <c r="A308" s="91"/>
    </row>
    <row r="309" spans="1:1" ht="13">
      <c r="A309" s="91"/>
    </row>
    <row r="310" spans="1:1" ht="13">
      <c r="A310" s="91"/>
    </row>
    <row r="311" spans="1:1" ht="13">
      <c r="A311" s="91"/>
    </row>
    <row r="312" spans="1:1" ht="13">
      <c r="A312" s="91"/>
    </row>
    <row r="313" spans="1:1" ht="13">
      <c r="A313" s="91"/>
    </row>
    <row r="314" spans="1:1" ht="13">
      <c r="A314" s="91"/>
    </row>
    <row r="315" spans="1:1" ht="13">
      <c r="A315" s="91"/>
    </row>
    <row r="316" spans="1:1" ht="13">
      <c r="A316" s="91"/>
    </row>
    <row r="317" spans="1:1" ht="13">
      <c r="A317" s="91"/>
    </row>
    <row r="318" spans="1:1" ht="13">
      <c r="A318" s="91"/>
    </row>
    <row r="319" spans="1:1" ht="13">
      <c r="A319" s="91"/>
    </row>
    <row r="320" spans="1:1" ht="13">
      <c r="A320" s="91"/>
    </row>
    <row r="321" spans="1:1" ht="13">
      <c r="A321" s="91"/>
    </row>
    <row r="322" spans="1:1" ht="13">
      <c r="A322" s="91"/>
    </row>
    <row r="323" spans="1:1" ht="13">
      <c r="A323" s="91"/>
    </row>
    <row r="324" spans="1:1" ht="13">
      <c r="A324" s="91"/>
    </row>
    <row r="325" spans="1:1" ht="13">
      <c r="A325" s="91"/>
    </row>
    <row r="326" spans="1:1" ht="13">
      <c r="A326" s="91"/>
    </row>
    <row r="327" spans="1:1" ht="13">
      <c r="A327" s="91"/>
    </row>
    <row r="328" spans="1:1" ht="13">
      <c r="A328" s="91"/>
    </row>
    <row r="329" spans="1:1" ht="13">
      <c r="A329" s="91"/>
    </row>
    <row r="330" spans="1:1" ht="13">
      <c r="A330" s="91"/>
    </row>
    <row r="331" spans="1:1" ht="13">
      <c r="A331" s="91"/>
    </row>
    <row r="332" spans="1:1" ht="13">
      <c r="A332" s="91"/>
    </row>
    <row r="333" spans="1:1" ht="13">
      <c r="A333" s="91"/>
    </row>
    <row r="334" spans="1:1" ht="13">
      <c r="A334" s="91"/>
    </row>
    <row r="335" spans="1:1" ht="13">
      <c r="A335" s="91"/>
    </row>
    <row r="336" spans="1:1" ht="13">
      <c r="A336" s="91"/>
    </row>
    <row r="337" spans="1:1" ht="13">
      <c r="A337" s="91"/>
    </row>
    <row r="338" spans="1:1" ht="13">
      <c r="A338" s="91"/>
    </row>
    <row r="339" spans="1:1" ht="13">
      <c r="A339" s="91"/>
    </row>
    <row r="340" spans="1:1" ht="13">
      <c r="A340" s="91"/>
    </row>
    <row r="341" spans="1:1" ht="13">
      <c r="A341" s="91"/>
    </row>
    <row r="342" spans="1:1" ht="13">
      <c r="A342" s="91"/>
    </row>
    <row r="343" spans="1:1" ht="13">
      <c r="A343" s="91"/>
    </row>
    <row r="344" spans="1:1" ht="13">
      <c r="A344" s="91"/>
    </row>
    <row r="345" spans="1:1" ht="13">
      <c r="A345" s="91"/>
    </row>
    <row r="346" spans="1:1" ht="13">
      <c r="A346" s="91"/>
    </row>
    <row r="347" spans="1:1" ht="13">
      <c r="A347" s="91"/>
    </row>
    <row r="348" spans="1:1" ht="13">
      <c r="A348" s="91"/>
    </row>
    <row r="349" spans="1:1" ht="13">
      <c r="A349" s="91"/>
    </row>
    <row r="350" spans="1:1" ht="13">
      <c r="A350" s="91"/>
    </row>
    <row r="351" spans="1:1" ht="13">
      <c r="A351" s="91"/>
    </row>
    <row r="352" spans="1:1" ht="13">
      <c r="A352" s="91"/>
    </row>
    <row r="353" spans="1:1" ht="13">
      <c r="A353" s="91"/>
    </row>
    <row r="354" spans="1:1" ht="13">
      <c r="A354" s="91"/>
    </row>
    <row r="355" spans="1:1" ht="13">
      <c r="A355" s="91"/>
    </row>
    <row r="356" spans="1:1" ht="13">
      <c r="A356" s="91"/>
    </row>
    <row r="357" spans="1:1" ht="13">
      <c r="A357" s="91"/>
    </row>
    <row r="358" spans="1:1" ht="13">
      <c r="A358" s="91"/>
    </row>
    <row r="359" spans="1:1" ht="13">
      <c r="A359" s="91"/>
    </row>
    <row r="360" spans="1:1" ht="13">
      <c r="A360" s="91"/>
    </row>
    <row r="361" spans="1:1" ht="13">
      <c r="A361" s="91"/>
    </row>
    <row r="362" spans="1:1" ht="13">
      <c r="A362" s="91"/>
    </row>
    <row r="363" spans="1:1" ht="13">
      <c r="A363" s="91"/>
    </row>
    <row r="364" spans="1:1" ht="13">
      <c r="A364" s="91"/>
    </row>
    <row r="365" spans="1:1" ht="13">
      <c r="A365" s="91"/>
    </row>
    <row r="366" spans="1:1" ht="13">
      <c r="A366" s="91"/>
    </row>
    <row r="367" spans="1:1" ht="13">
      <c r="A367" s="91"/>
    </row>
    <row r="368" spans="1:1" ht="13">
      <c r="A368" s="91"/>
    </row>
    <row r="369" spans="1:1" ht="13">
      <c r="A369" s="91"/>
    </row>
    <row r="370" spans="1:1" ht="13">
      <c r="A370" s="91"/>
    </row>
    <row r="371" spans="1:1" ht="13">
      <c r="A371" s="91"/>
    </row>
    <row r="372" spans="1:1" ht="13">
      <c r="A372" s="91"/>
    </row>
    <row r="373" spans="1:1" ht="13">
      <c r="A373" s="91"/>
    </row>
    <row r="374" spans="1:1" ht="13">
      <c r="A374" s="91"/>
    </row>
    <row r="375" spans="1:1" ht="13">
      <c r="A375" s="91"/>
    </row>
    <row r="376" spans="1:1" ht="13">
      <c r="A376" s="91"/>
    </row>
    <row r="377" spans="1:1" ht="13">
      <c r="A377" s="91"/>
    </row>
    <row r="378" spans="1:1" ht="13">
      <c r="A378" s="91"/>
    </row>
    <row r="379" spans="1:1" ht="13">
      <c r="A379" s="91"/>
    </row>
    <row r="380" spans="1:1" ht="13">
      <c r="A380" s="91"/>
    </row>
    <row r="381" spans="1:1" ht="13">
      <c r="A381" s="91"/>
    </row>
    <row r="382" spans="1:1" ht="13">
      <c r="A382" s="91"/>
    </row>
    <row r="383" spans="1:1" ht="13">
      <c r="A383" s="91"/>
    </row>
    <row r="384" spans="1:1" ht="13">
      <c r="A384" s="91"/>
    </row>
    <row r="385" spans="1:1" ht="13">
      <c r="A385" s="91"/>
    </row>
    <row r="386" spans="1:1" ht="13">
      <c r="A386" s="91"/>
    </row>
    <row r="387" spans="1:1" ht="13">
      <c r="A387" s="91"/>
    </row>
    <row r="388" spans="1:1" ht="13">
      <c r="A388" s="91"/>
    </row>
    <row r="389" spans="1:1" ht="13">
      <c r="A389" s="91"/>
    </row>
    <row r="390" spans="1:1" ht="13">
      <c r="A390" s="91"/>
    </row>
    <row r="391" spans="1:1" ht="13">
      <c r="A391" s="91"/>
    </row>
    <row r="392" spans="1:1" ht="13">
      <c r="A392" s="91"/>
    </row>
    <row r="393" spans="1:1" ht="13">
      <c r="A393" s="91"/>
    </row>
    <row r="394" spans="1:1" ht="13">
      <c r="A394" s="91"/>
    </row>
    <row r="395" spans="1:1" ht="13">
      <c r="A395" s="91"/>
    </row>
    <row r="396" spans="1:1" ht="13">
      <c r="A396" s="91"/>
    </row>
    <row r="397" spans="1:1" ht="13">
      <c r="A397" s="91"/>
    </row>
    <row r="398" spans="1:1" ht="13">
      <c r="A398" s="91"/>
    </row>
    <row r="399" spans="1:1" ht="13">
      <c r="A399" s="91"/>
    </row>
    <row r="400" spans="1:1" ht="13">
      <c r="A400" s="91"/>
    </row>
    <row r="401" spans="1:1" ht="13">
      <c r="A401" s="91"/>
    </row>
    <row r="402" spans="1:1" ht="13">
      <c r="A402" s="91"/>
    </row>
    <row r="403" spans="1:1" ht="13">
      <c r="A403" s="91"/>
    </row>
    <row r="404" spans="1:1" ht="13">
      <c r="A404" s="91"/>
    </row>
    <row r="405" spans="1:1" ht="13">
      <c r="A405" s="91"/>
    </row>
    <row r="406" spans="1:1" ht="13">
      <c r="A406" s="91"/>
    </row>
    <row r="407" spans="1:1" ht="13">
      <c r="A407" s="91"/>
    </row>
    <row r="408" spans="1:1" ht="13">
      <c r="A408" s="91"/>
    </row>
    <row r="409" spans="1:1" ht="13">
      <c r="A409" s="91"/>
    </row>
    <row r="410" spans="1:1" ht="13">
      <c r="A410" s="91"/>
    </row>
    <row r="411" spans="1:1" ht="13">
      <c r="A411" s="91"/>
    </row>
    <row r="412" spans="1:1" ht="13">
      <c r="A412" s="91"/>
    </row>
    <row r="413" spans="1:1" ht="13">
      <c r="A413" s="91"/>
    </row>
    <row r="414" spans="1:1" ht="13">
      <c r="A414" s="91"/>
    </row>
    <row r="415" spans="1:1" ht="13">
      <c r="A415" s="91"/>
    </row>
    <row r="416" spans="1:1" ht="13">
      <c r="A416" s="91"/>
    </row>
    <row r="417" spans="1:1" ht="13">
      <c r="A417" s="91"/>
    </row>
    <row r="418" spans="1:1" ht="13">
      <c r="A418" s="91"/>
    </row>
    <row r="419" spans="1:1" ht="13">
      <c r="A419" s="91"/>
    </row>
    <row r="420" spans="1:1" ht="13">
      <c r="A420" s="91"/>
    </row>
    <row r="421" spans="1:1" ht="13">
      <c r="A421" s="91"/>
    </row>
    <row r="422" spans="1:1" ht="13">
      <c r="A422" s="91"/>
    </row>
    <row r="423" spans="1:1" ht="13">
      <c r="A423" s="91"/>
    </row>
    <row r="424" spans="1:1" ht="13">
      <c r="A424" s="91"/>
    </row>
    <row r="425" spans="1:1" ht="13">
      <c r="A425" s="91"/>
    </row>
    <row r="426" spans="1:1" ht="13">
      <c r="A426" s="91"/>
    </row>
    <row r="427" spans="1:1" ht="13">
      <c r="A427" s="91"/>
    </row>
    <row r="428" spans="1:1" ht="13">
      <c r="A428" s="91"/>
    </row>
    <row r="429" spans="1:1" ht="13">
      <c r="A429" s="91"/>
    </row>
    <row r="430" spans="1:1" ht="13">
      <c r="A430" s="91"/>
    </row>
    <row r="431" spans="1:1" ht="13">
      <c r="A431" s="91"/>
    </row>
    <row r="432" spans="1:1" ht="13">
      <c r="A432" s="91"/>
    </row>
    <row r="433" spans="1:1" ht="13">
      <c r="A433" s="91"/>
    </row>
    <row r="434" spans="1:1" ht="13">
      <c r="A434" s="91"/>
    </row>
    <row r="435" spans="1:1" ht="13">
      <c r="A435" s="91"/>
    </row>
    <row r="436" spans="1:1" ht="13">
      <c r="A436" s="91"/>
    </row>
    <row r="437" spans="1:1" ht="13">
      <c r="A437" s="91"/>
    </row>
    <row r="438" spans="1:1" ht="13">
      <c r="A438" s="91"/>
    </row>
    <row r="439" spans="1:1" ht="13">
      <c r="A439" s="91"/>
    </row>
    <row r="440" spans="1:1" ht="13">
      <c r="A440" s="91"/>
    </row>
    <row r="441" spans="1:1" ht="13">
      <c r="A441" s="91"/>
    </row>
    <row r="442" spans="1:1" ht="13">
      <c r="A442" s="91"/>
    </row>
    <row r="443" spans="1:1" ht="13">
      <c r="A443" s="91"/>
    </row>
    <row r="444" spans="1:1" ht="13">
      <c r="A444" s="91"/>
    </row>
    <row r="445" spans="1:1" ht="13">
      <c r="A445" s="91"/>
    </row>
    <row r="446" spans="1:1" ht="13">
      <c r="A446" s="91"/>
    </row>
    <row r="447" spans="1:1" ht="13">
      <c r="A447" s="91"/>
    </row>
    <row r="448" spans="1:1" ht="13">
      <c r="A448" s="91"/>
    </row>
    <row r="449" spans="1:1" ht="13">
      <c r="A449" s="91"/>
    </row>
    <row r="450" spans="1:1" ht="13">
      <c r="A450" s="91"/>
    </row>
    <row r="451" spans="1:1" ht="13">
      <c r="A451" s="91"/>
    </row>
    <row r="452" spans="1:1" ht="13">
      <c r="A452" s="91"/>
    </row>
    <row r="453" spans="1:1" ht="13">
      <c r="A453" s="91"/>
    </row>
    <row r="454" spans="1:1" ht="13">
      <c r="A454" s="91"/>
    </row>
    <row r="455" spans="1:1" ht="13">
      <c r="A455" s="91"/>
    </row>
    <row r="456" spans="1:1" ht="13">
      <c r="A456" s="91"/>
    </row>
    <row r="457" spans="1:1" ht="13">
      <c r="A457" s="91"/>
    </row>
    <row r="458" spans="1:1" ht="13">
      <c r="A458" s="91"/>
    </row>
    <row r="459" spans="1:1" ht="13">
      <c r="A459" s="91"/>
    </row>
    <row r="460" spans="1:1" ht="13">
      <c r="A460" s="91"/>
    </row>
    <row r="461" spans="1:1" ht="13">
      <c r="A461" s="91"/>
    </row>
    <row r="462" spans="1:1" ht="13">
      <c r="A462" s="91"/>
    </row>
    <row r="463" spans="1:1" ht="13">
      <c r="A463" s="91"/>
    </row>
    <row r="464" spans="1:1" ht="13">
      <c r="A464" s="91"/>
    </row>
    <row r="465" spans="1:1" ht="13">
      <c r="A465" s="91"/>
    </row>
    <row r="466" spans="1:1" ht="13">
      <c r="A466" s="91"/>
    </row>
    <row r="467" spans="1:1" ht="13">
      <c r="A467" s="91"/>
    </row>
    <row r="468" spans="1:1" ht="13">
      <c r="A468" s="91"/>
    </row>
    <row r="469" spans="1:1" ht="13">
      <c r="A469" s="91"/>
    </row>
    <row r="470" spans="1:1" ht="13">
      <c r="A470" s="91"/>
    </row>
    <row r="471" spans="1:1" ht="13">
      <c r="A471" s="91"/>
    </row>
    <row r="472" spans="1:1" ht="13">
      <c r="A472" s="91"/>
    </row>
    <row r="473" spans="1:1" ht="13">
      <c r="A473" s="91"/>
    </row>
    <row r="474" spans="1:1" ht="13">
      <c r="A474" s="91"/>
    </row>
    <row r="475" spans="1:1" ht="13">
      <c r="A475" s="91"/>
    </row>
    <row r="476" spans="1:1" ht="13">
      <c r="A476" s="91"/>
    </row>
    <row r="477" spans="1:1" ht="13">
      <c r="A477" s="91"/>
    </row>
    <row r="478" spans="1:1" ht="13">
      <c r="A478" s="91"/>
    </row>
    <row r="479" spans="1:1" ht="13">
      <c r="A479" s="91"/>
    </row>
    <row r="480" spans="1:1" ht="13">
      <c r="A480" s="91"/>
    </row>
    <row r="481" spans="1:1" ht="13">
      <c r="A481" s="91"/>
    </row>
    <row r="482" spans="1:1" ht="13">
      <c r="A482" s="91"/>
    </row>
    <row r="483" spans="1:1" ht="13">
      <c r="A483" s="91"/>
    </row>
    <row r="484" spans="1:1" ht="13">
      <c r="A484" s="91"/>
    </row>
    <row r="485" spans="1:1" ht="13">
      <c r="A485" s="91"/>
    </row>
    <row r="486" spans="1:1" ht="13">
      <c r="A486" s="91"/>
    </row>
    <row r="487" spans="1:1" ht="13">
      <c r="A487" s="91"/>
    </row>
    <row r="488" spans="1:1" ht="13">
      <c r="A488" s="91"/>
    </row>
    <row r="489" spans="1:1" ht="13">
      <c r="A489" s="91"/>
    </row>
    <row r="490" spans="1:1" ht="13">
      <c r="A490" s="91"/>
    </row>
    <row r="491" spans="1:1" ht="13">
      <c r="A491" s="91"/>
    </row>
    <row r="492" spans="1:1" ht="13">
      <c r="A492" s="91"/>
    </row>
    <row r="493" spans="1:1" ht="13">
      <c r="A493" s="91"/>
    </row>
    <row r="494" spans="1:1" ht="13">
      <c r="A494" s="91"/>
    </row>
    <row r="495" spans="1:1" ht="13">
      <c r="A495" s="91"/>
    </row>
    <row r="496" spans="1:1" ht="13">
      <c r="A496" s="91"/>
    </row>
    <row r="497" spans="1:1" ht="13">
      <c r="A497" s="91"/>
    </row>
    <row r="498" spans="1:1" ht="13">
      <c r="A498" s="91"/>
    </row>
    <row r="499" spans="1:1" ht="13">
      <c r="A499" s="91"/>
    </row>
    <row r="500" spans="1:1" ht="13">
      <c r="A500" s="91"/>
    </row>
    <row r="501" spans="1:1" ht="13">
      <c r="A501" s="91"/>
    </row>
    <row r="502" spans="1:1" ht="13">
      <c r="A502" s="91"/>
    </row>
    <row r="503" spans="1:1" ht="13">
      <c r="A503" s="91"/>
    </row>
    <row r="504" spans="1:1" ht="13">
      <c r="A504" s="91"/>
    </row>
    <row r="505" spans="1:1" ht="13">
      <c r="A505" s="91"/>
    </row>
    <row r="506" spans="1:1" ht="13">
      <c r="A506" s="91"/>
    </row>
    <row r="507" spans="1:1" ht="13">
      <c r="A507" s="91"/>
    </row>
    <row r="508" spans="1:1" ht="13">
      <c r="A508" s="91"/>
    </row>
    <row r="509" spans="1:1" ht="13">
      <c r="A509" s="91"/>
    </row>
    <row r="510" spans="1:1" ht="13">
      <c r="A510" s="91"/>
    </row>
    <row r="511" spans="1:1" ht="13">
      <c r="A511" s="91"/>
    </row>
    <row r="512" spans="1:1" ht="13">
      <c r="A512" s="91"/>
    </row>
    <row r="513" spans="1:1" ht="13">
      <c r="A513" s="91"/>
    </row>
    <row r="514" spans="1:1" ht="13">
      <c r="A514" s="91"/>
    </row>
    <row r="515" spans="1:1" ht="13">
      <c r="A515" s="91"/>
    </row>
    <row r="516" spans="1:1" ht="13">
      <c r="A516" s="91"/>
    </row>
    <row r="517" spans="1:1" ht="13">
      <c r="A517" s="91"/>
    </row>
    <row r="518" spans="1:1" ht="13">
      <c r="A518" s="91"/>
    </row>
    <row r="519" spans="1:1" ht="13">
      <c r="A519" s="91"/>
    </row>
    <row r="520" spans="1:1" ht="13">
      <c r="A520" s="91"/>
    </row>
    <row r="521" spans="1:1" ht="13">
      <c r="A521" s="91"/>
    </row>
    <row r="522" spans="1:1" ht="13">
      <c r="A522" s="91"/>
    </row>
    <row r="523" spans="1:1" ht="13">
      <c r="A523" s="91"/>
    </row>
    <row r="524" spans="1:1" ht="13">
      <c r="A524" s="91"/>
    </row>
    <row r="525" spans="1:1" ht="13">
      <c r="A525" s="91"/>
    </row>
    <row r="526" spans="1:1" ht="13">
      <c r="A526" s="91"/>
    </row>
    <row r="527" spans="1:1" ht="13">
      <c r="A527" s="91"/>
    </row>
    <row r="528" spans="1:1" ht="13">
      <c r="A528" s="91"/>
    </row>
    <row r="529" spans="1:1" ht="13">
      <c r="A529" s="91"/>
    </row>
    <row r="530" spans="1:1" ht="13">
      <c r="A530" s="91"/>
    </row>
    <row r="531" spans="1:1" ht="13">
      <c r="A531" s="91"/>
    </row>
    <row r="532" spans="1:1" ht="13">
      <c r="A532" s="91"/>
    </row>
    <row r="533" spans="1:1" ht="13">
      <c r="A533" s="91"/>
    </row>
    <row r="534" spans="1:1" ht="13">
      <c r="A534" s="91"/>
    </row>
    <row r="535" spans="1:1" ht="13">
      <c r="A535" s="91"/>
    </row>
    <row r="536" spans="1:1" ht="13">
      <c r="A536" s="91"/>
    </row>
    <row r="537" spans="1:1" ht="13">
      <c r="A537" s="91"/>
    </row>
    <row r="538" spans="1:1" ht="13">
      <c r="A538" s="91"/>
    </row>
    <row r="539" spans="1:1" ht="13">
      <c r="A539" s="91"/>
    </row>
    <row r="540" spans="1:1" ht="13">
      <c r="A540" s="91"/>
    </row>
    <row r="541" spans="1:1" ht="13">
      <c r="A541" s="91"/>
    </row>
    <row r="542" spans="1:1" ht="13">
      <c r="A542" s="91"/>
    </row>
    <row r="543" spans="1:1" ht="13">
      <c r="A543" s="91"/>
    </row>
    <row r="544" spans="1:1" ht="13">
      <c r="A544" s="91"/>
    </row>
    <row r="545" spans="1:1" ht="13">
      <c r="A545" s="91"/>
    </row>
    <row r="546" spans="1:1" ht="13">
      <c r="A546" s="91"/>
    </row>
    <row r="547" spans="1:1" ht="13">
      <c r="A547" s="91"/>
    </row>
    <row r="548" spans="1:1" ht="13">
      <c r="A548" s="91"/>
    </row>
    <row r="549" spans="1:1" ht="13">
      <c r="A549" s="91"/>
    </row>
    <row r="550" spans="1:1" ht="13">
      <c r="A550" s="91"/>
    </row>
    <row r="551" spans="1:1" ht="13">
      <c r="A551" s="91"/>
    </row>
    <row r="552" spans="1:1" ht="13">
      <c r="A552" s="91"/>
    </row>
    <row r="553" spans="1:1" ht="13">
      <c r="A553" s="91"/>
    </row>
    <row r="554" spans="1:1" ht="13">
      <c r="A554" s="91"/>
    </row>
    <row r="555" spans="1:1" ht="13">
      <c r="A555" s="91"/>
    </row>
    <row r="556" spans="1:1" ht="13">
      <c r="A556" s="91"/>
    </row>
    <row r="557" spans="1:1" ht="13">
      <c r="A557" s="91"/>
    </row>
    <row r="558" spans="1:1" ht="13">
      <c r="A558" s="91"/>
    </row>
    <row r="559" spans="1:1" ht="13">
      <c r="A559" s="91"/>
    </row>
    <row r="560" spans="1:1" ht="13">
      <c r="A560" s="91"/>
    </row>
    <row r="561" spans="1:1" ht="13">
      <c r="A561" s="91"/>
    </row>
    <row r="562" spans="1:1" ht="13">
      <c r="A562" s="91"/>
    </row>
    <row r="563" spans="1:1" ht="13">
      <c r="A563" s="91"/>
    </row>
    <row r="564" spans="1:1" ht="13">
      <c r="A564" s="91"/>
    </row>
    <row r="565" spans="1:1" ht="13">
      <c r="A565" s="91"/>
    </row>
    <row r="566" spans="1:1" ht="13">
      <c r="A566" s="91"/>
    </row>
    <row r="567" spans="1:1" ht="13">
      <c r="A567" s="91"/>
    </row>
    <row r="568" spans="1:1" ht="13">
      <c r="A568" s="91"/>
    </row>
    <row r="569" spans="1:1" ht="13">
      <c r="A569" s="91"/>
    </row>
    <row r="570" spans="1:1" ht="13">
      <c r="A570" s="91"/>
    </row>
    <row r="571" spans="1:1" ht="13">
      <c r="A571" s="91"/>
    </row>
    <row r="572" spans="1:1" ht="13">
      <c r="A572" s="91"/>
    </row>
    <row r="573" spans="1:1" ht="13">
      <c r="A573" s="91"/>
    </row>
    <row r="574" spans="1:1" ht="13">
      <c r="A574" s="91"/>
    </row>
    <row r="575" spans="1:1" ht="13">
      <c r="A575" s="91"/>
    </row>
    <row r="576" spans="1:1" ht="13">
      <c r="A576" s="91"/>
    </row>
    <row r="577" spans="1:1" ht="13">
      <c r="A577" s="91"/>
    </row>
    <row r="578" spans="1:1" ht="13">
      <c r="A578" s="91"/>
    </row>
    <row r="579" spans="1:1" ht="13">
      <c r="A579" s="91"/>
    </row>
    <row r="580" spans="1:1" ht="13">
      <c r="A580" s="91"/>
    </row>
    <row r="581" spans="1:1" ht="13">
      <c r="A581" s="91"/>
    </row>
    <row r="582" spans="1:1" ht="13">
      <c r="A582" s="91"/>
    </row>
    <row r="583" spans="1:1" ht="13">
      <c r="A583" s="91"/>
    </row>
    <row r="584" spans="1:1" ht="13">
      <c r="A584" s="91"/>
    </row>
    <row r="585" spans="1:1" ht="13">
      <c r="A585" s="91"/>
    </row>
    <row r="586" spans="1:1" ht="13">
      <c r="A586" s="91"/>
    </row>
    <row r="587" spans="1:1" ht="13">
      <c r="A587" s="91"/>
    </row>
    <row r="588" spans="1:1" ht="13">
      <c r="A588" s="91"/>
    </row>
    <row r="589" spans="1:1" ht="13">
      <c r="A589" s="91"/>
    </row>
    <row r="590" spans="1:1" ht="13">
      <c r="A590" s="91"/>
    </row>
    <row r="591" spans="1:1" ht="13">
      <c r="A591" s="91"/>
    </row>
    <row r="592" spans="1:1" ht="13">
      <c r="A592" s="91"/>
    </row>
    <row r="593" spans="1:1" ht="13">
      <c r="A593" s="91"/>
    </row>
    <row r="594" spans="1:1" ht="13">
      <c r="A594" s="91"/>
    </row>
    <row r="595" spans="1:1" ht="13">
      <c r="A595" s="91"/>
    </row>
    <row r="596" spans="1:1" ht="13">
      <c r="A596" s="91"/>
    </row>
    <row r="597" spans="1:1" ht="13">
      <c r="A597" s="91"/>
    </row>
    <row r="598" spans="1:1" ht="13">
      <c r="A598" s="91"/>
    </row>
    <row r="599" spans="1:1" ht="13">
      <c r="A599" s="91"/>
    </row>
    <row r="600" spans="1:1" ht="13">
      <c r="A600" s="91"/>
    </row>
    <row r="601" spans="1:1" ht="13">
      <c r="A601" s="91"/>
    </row>
    <row r="602" spans="1:1" ht="13">
      <c r="A602" s="91"/>
    </row>
    <row r="603" spans="1:1" ht="13">
      <c r="A603" s="91"/>
    </row>
    <row r="604" spans="1:1" ht="13">
      <c r="A604" s="91"/>
    </row>
    <row r="605" spans="1:1" ht="13">
      <c r="A605" s="91"/>
    </row>
    <row r="606" spans="1:1" ht="13">
      <c r="A606" s="91"/>
    </row>
    <row r="607" spans="1:1" ht="13">
      <c r="A607" s="91"/>
    </row>
    <row r="608" spans="1:1" ht="13">
      <c r="A608" s="91"/>
    </row>
    <row r="609" spans="1:1" ht="13">
      <c r="A609" s="91"/>
    </row>
    <row r="610" spans="1:1" ht="13">
      <c r="A610" s="91"/>
    </row>
    <row r="611" spans="1:1" ht="13">
      <c r="A611" s="91"/>
    </row>
    <row r="612" spans="1:1" ht="13">
      <c r="A612" s="91"/>
    </row>
    <row r="613" spans="1:1" ht="13">
      <c r="A613" s="91"/>
    </row>
    <row r="614" spans="1:1" ht="13">
      <c r="A614" s="91"/>
    </row>
    <row r="615" spans="1:1" ht="13">
      <c r="A615" s="91"/>
    </row>
    <row r="616" spans="1:1" ht="13">
      <c r="A616" s="91"/>
    </row>
    <row r="617" spans="1:1" ht="13">
      <c r="A617" s="91"/>
    </row>
    <row r="618" spans="1:1" ht="13">
      <c r="A618" s="91"/>
    </row>
    <row r="619" spans="1:1" ht="13">
      <c r="A619" s="91"/>
    </row>
    <row r="620" spans="1:1" ht="13">
      <c r="A620" s="91"/>
    </row>
    <row r="621" spans="1:1" ht="13">
      <c r="A621" s="91"/>
    </row>
    <row r="622" spans="1:1" ht="13">
      <c r="A622" s="91"/>
    </row>
    <row r="623" spans="1:1" ht="13">
      <c r="A623" s="91"/>
    </row>
    <row r="624" spans="1:1" ht="13">
      <c r="A624" s="91"/>
    </row>
    <row r="625" spans="1:1" ht="13">
      <c r="A625" s="91"/>
    </row>
    <row r="626" spans="1:1" ht="13">
      <c r="A626" s="91"/>
    </row>
    <row r="627" spans="1:1" ht="13">
      <c r="A627" s="91"/>
    </row>
    <row r="628" spans="1:1" ht="13">
      <c r="A628" s="91"/>
    </row>
    <row r="629" spans="1:1" ht="13">
      <c r="A629" s="91"/>
    </row>
    <row r="630" spans="1:1" ht="13">
      <c r="A630" s="91"/>
    </row>
    <row r="631" spans="1:1" ht="13">
      <c r="A631" s="91"/>
    </row>
    <row r="632" spans="1:1" ht="13">
      <c r="A632" s="91"/>
    </row>
    <row r="633" spans="1:1" ht="13">
      <c r="A633" s="91"/>
    </row>
    <row r="634" spans="1:1" ht="13">
      <c r="A634" s="91"/>
    </row>
    <row r="635" spans="1:1" ht="13">
      <c r="A635" s="91"/>
    </row>
    <row r="636" spans="1:1" ht="13">
      <c r="A636" s="91"/>
    </row>
    <row r="637" spans="1:1" ht="13">
      <c r="A637" s="91"/>
    </row>
    <row r="638" spans="1:1" ht="13">
      <c r="A638" s="91"/>
    </row>
    <row r="639" spans="1:1" ht="13">
      <c r="A639" s="91"/>
    </row>
    <row r="640" spans="1:1" ht="13">
      <c r="A640" s="91"/>
    </row>
    <row r="641" spans="1:1" ht="13">
      <c r="A641" s="91"/>
    </row>
    <row r="642" spans="1:1" ht="13">
      <c r="A642" s="91"/>
    </row>
    <row r="643" spans="1:1" ht="13">
      <c r="A643" s="91"/>
    </row>
    <row r="644" spans="1:1" ht="13">
      <c r="A644" s="91"/>
    </row>
    <row r="645" spans="1:1" ht="13">
      <c r="A645" s="91"/>
    </row>
    <row r="646" spans="1:1" ht="13">
      <c r="A646" s="91"/>
    </row>
    <row r="647" spans="1:1" ht="13">
      <c r="A647" s="91"/>
    </row>
    <row r="648" spans="1:1" ht="13">
      <c r="A648" s="91"/>
    </row>
    <row r="649" spans="1:1" ht="13">
      <c r="A649" s="91"/>
    </row>
    <row r="650" spans="1:1" ht="13">
      <c r="A650" s="91"/>
    </row>
    <row r="651" spans="1:1" ht="13">
      <c r="A651" s="91"/>
    </row>
    <row r="652" spans="1:1" ht="13">
      <c r="A652" s="91"/>
    </row>
    <row r="653" spans="1:1" ht="13">
      <c r="A653" s="91"/>
    </row>
    <row r="654" spans="1:1" ht="13">
      <c r="A654" s="91"/>
    </row>
    <row r="655" spans="1:1" ht="13">
      <c r="A655" s="91"/>
    </row>
    <row r="656" spans="1:1" ht="13">
      <c r="A656" s="91"/>
    </row>
    <row r="657" spans="1:1" ht="13">
      <c r="A657" s="91"/>
    </row>
    <row r="658" spans="1:1" ht="13">
      <c r="A658" s="91"/>
    </row>
    <row r="659" spans="1:1" ht="13">
      <c r="A659" s="91"/>
    </row>
    <row r="660" spans="1:1" ht="13">
      <c r="A660" s="91"/>
    </row>
    <row r="661" spans="1:1" ht="13">
      <c r="A661" s="91"/>
    </row>
    <row r="662" spans="1:1" ht="13">
      <c r="A662" s="91"/>
    </row>
    <row r="663" spans="1:1" ht="13">
      <c r="A663" s="91"/>
    </row>
    <row r="664" spans="1:1" ht="13">
      <c r="A664" s="91"/>
    </row>
    <row r="665" spans="1:1" ht="13">
      <c r="A665" s="91"/>
    </row>
    <row r="666" spans="1:1" ht="13">
      <c r="A666" s="91"/>
    </row>
    <row r="667" spans="1:1" ht="13">
      <c r="A667" s="91"/>
    </row>
    <row r="668" spans="1:1" ht="13">
      <c r="A668" s="91"/>
    </row>
    <row r="669" spans="1:1" ht="13">
      <c r="A669" s="91"/>
    </row>
    <row r="670" spans="1:1" ht="13">
      <c r="A670" s="91"/>
    </row>
    <row r="671" spans="1:1" ht="13">
      <c r="A671" s="91"/>
    </row>
    <row r="672" spans="1:1" ht="13">
      <c r="A672" s="91"/>
    </row>
    <row r="673" spans="1:1" ht="13">
      <c r="A673" s="91"/>
    </row>
    <row r="674" spans="1:1" ht="13">
      <c r="A674" s="91"/>
    </row>
    <row r="675" spans="1:1" ht="13">
      <c r="A675" s="91"/>
    </row>
    <row r="676" spans="1:1" ht="13">
      <c r="A676" s="91"/>
    </row>
    <row r="677" spans="1:1" ht="13">
      <c r="A677" s="91"/>
    </row>
    <row r="678" spans="1:1" ht="13">
      <c r="A678" s="91"/>
    </row>
    <row r="679" spans="1:1" ht="13">
      <c r="A679" s="91"/>
    </row>
    <row r="680" spans="1:1" ht="13">
      <c r="A680" s="91"/>
    </row>
    <row r="681" spans="1:1" ht="13">
      <c r="A681" s="91"/>
    </row>
    <row r="682" spans="1:1" ht="13">
      <c r="A682" s="91"/>
    </row>
    <row r="683" spans="1:1" ht="13">
      <c r="A683" s="91"/>
    </row>
    <row r="684" spans="1:1" ht="13">
      <c r="A684" s="91"/>
    </row>
    <row r="685" spans="1:1" ht="13">
      <c r="A685" s="91"/>
    </row>
    <row r="686" spans="1:1" ht="13">
      <c r="A686" s="91"/>
    </row>
    <row r="687" spans="1:1" ht="13">
      <c r="A687" s="91"/>
    </row>
    <row r="688" spans="1:1" ht="13">
      <c r="A688" s="91"/>
    </row>
    <row r="689" spans="1:1" ht="13">
      <c r="A689" s="91"/>
    </row>
    <row r="690" spans="1:1" ht="13">
      <c r="A690" s="91"/>
    </row>
    <row r="691" spans="1:1" ht="13">
      <c r="A691" s="91"/>
    </row>
    <row r="692" spans="1:1" ht="13">
      <c r="A692" s="91"/>
    </row>
    <row r="693" spans="1:1" ht="13">
      <c r="A693" s="91"/>
    </row>
    <row r="694" spans="1:1" ht="13">
      <c r="A694" s="91"/>
    </row>
    <row r="695" spans="1:1" ht="13">
      <c r="A695" s="91"/>
    </row>
    <row r="696" spans="1:1" ht="13">
      <c r="A696" s="91"/>
    </row>
    <row r="697" spans="1:1" ht="13">
      <c r="A697" s="91"/>
    </row>
    <row r="698" spans="1:1" ht="13">
      <c r="A698" s="91"/>
    </row>
    <row r="699" spans="1:1" ht="13">
      <c r="A699" s="91"/>
    </row>
    <row r="700" spans="1:1" ht="13">
      <c r="A700" s="91"/>
    </row>
    <row r="701" spans="1:1" ht="13">
      <c r="A701" s="91"/>
    </row>
    <row r="702" spans="1:1" ht="13">
      <c r="A702" s="91"/>
    </row>
    <row r="703" spans="1:1" ht="13">
      <c r="A703" s="91"/>
    </row>
    <row r="704" spans="1:1" ht="13">
      <c r="A704" s="91"/>
    </row>
    <row r="705" spans="1:1" ht="13">
      <c r="A705" s="91"/>
    </row>
    <row r="706" spans="1:1" ht="13">
      <c r="A706" s="91"/>
    </row>
    <row r="707" spans="1:1" ht="13">
      <c r="A707" s="91"/>
    </row>
    <row r="708" spans="1:1" ht="13">
      <c r="A708" s="91"/>
    </row>
    <row r="709" spans="1:1" ht="13">
      <c r="A709" s="91"/>
    </row>
    <row r="710" spans="1:1" ht="13">
      <c r="A710" s="91"/>
    </row>
    <row r="711" spans="1:1" ht="13">
      <c r="A711" s="91"/>
    </row>
    <row r="712" spans="1:1" ht="13">
      <c r="A712" s="91"/>
    </row>
    <row r="713" spans="1:1" ht="13">
      <c r="A713" s="91"/>
    </row>
    <row r="714" spans="1:1" ht="13">
      <c r="A714" s="91"/>
    </row>
    <row r="715" spans="1:1" ht="13">
      <c r="A715" s="91"/>
    </row>
    <row r="716" spans="1:1" ht="13">
      <c r="A716" s="91"/>
    </row>
    <row r="717" spans="1:1" ht="13">
      <c r="A717" s="91"/>
    </row>
    <row r="718" spans="1:1" ht="13">
      <c r="A718" s="91"/>
    </row>
    <row r="719" spans="1:1" ht="13">
      <c r="A719" s="91"/>
    </row>
    <row r="720" spans="1:1" ht="13">
      <c r="A720" s="91"/>
    </row>
    <row r="721" spans="1:1" ht="13">
      <c r="A721" s="91"/>
    </row>
    <row r="722" spans="1:1" ht="13">
      <c r="A722" s="91"/>
    </row>
    <row r="723" spans="1:1" ht="13">
      <c r="A723" s="91"/>
    </row>
    <row r="724" spans="1:1" ht="13">
      <c r="A724" s="91"/>
    </row>
    <row r="725" spans="1:1" ht="13">
      <c r="A725" s="91"/>
    </row>
    <row r="726" spans="1:1" ht="13">
      <c r="A726" s="91"/>
    </row>
    <row r="727" spans="1:1" ht="13">
      <c r="A727" s="91"/>
    </row>
    <row r="728" spans="1:1" ht="13">
      <c r="A728" s="91"/>
    </row>
    <row r="729" spans="1:1" ht="13">
      <c r="A729" s="91"/>
    </row>
    <row r="730" spans="1:1" ht="13">
      <c r="A730" s="91"/>
    </row>
    <row r="731" spans="1:1" ht="13">
      <c r="A731" s="91"/>
    </row>
    <row r="732" spans="1:1" ht="13">
      <c r="A732" s="91"/>
    </row>
    <row r="733" spans="1:1" ht="13">
      <c r="A733" s="91"/>
    </row>
    <row r="734" spans="1:1" ht="13">
      <c r="A734" s="91"/>
    </row>
    <row r="735" spans="1:1" ht="13">
      <c r="A735" s="91"/>
    </row>
    <row r="736" spans="1:1" ht="13">
      <c r="A736" s="91"/>
    </row>
    <row r="737" spans="1:1" ht="13">
      <c r="A737" s="91"/>
    </row>
    <row r="738" spans="1:1" ht="13">
      <c r="A738" s="91"/>
    </row>
    <row r="739" spans="1:1" ht="13">
      <c r="A739" s="91"/>
    </row>
    <row r="740" spans="1:1" ht="13">
      <c r="A740" s="91"/>
    </row>
    <row r="741" spans="1:1" ht="13">
      <c r="A741" s="91"/>
    </row>
    <row r="742" spans="1:1" ht="13">
      <c r="A742" s="91"/>
    </row>
    <row r="743" spans="1:1" ht="13">
      <c r="A743" s="91"/>
    </row>
    <row r="744" spans="1:1" ht="13">
      <c r="A744" s="91"/>
    </row>
    <row r="745" spans="1:1" ht="13">
      <c r="A745" s="91"/>
    </row>
    <row r="746" spans="1:1" ht="13">
      <c r="A746" s="91"/>
    </row>
    <row r="747" spans="1:1" ht="13">
      <c r="A747" s="91"/>
    </row>
    <row r="748" spans="1:1" ht="13">
      <c r="A748" s="91"/>
    </row>
    <row r="749" spans="1:1" ht="13">
      <c r="A749" s="91"/>
    </row>
    <row r="750" spans="1:1" ht="13">
      <c r="A750" s="91"/>
    </row>
    <row r="751" spans="1:1" ht="13">
      <c r="A751" s="91"/>
    </row>
    <row r="752" spans="1:1" ht="13">
      <c r="A752" s="91"/>
    </row>
    <row r="753" spans="1:1" ht="13">
      <c r="A753" s="91"/>
    </row>
    <row r="754" spans="1:1" ht="13">
      <c r="A754" s="91"/>
    </row>
    <row r="755" spans="1:1" ht="13">
      <c r="A755" s="91"/>
    </row>
    <row r="756" spans="1:1" ht="13">
      <c r="A756" s="91"/>
    </row>
    <row r="757" spans="1:1" ht="13">
      <c r="A757" s="91"/>
    </row>
    <row r="758" spans="1:1" ht="13">
      <c r="A758" s="91"/>
    </row>
    <row r="759" spans="1:1" ht="13">
      <c r="A759" s="91"/>
    </row>
    <row r="760" spans="1:1" ht="13">
      <c r="A760" s="91"/>
    </row>
    <row r="761" spans="1:1" ht="13">
      <c r="A761" s="91"/>
    </row>
    <row r="762" spans="1:1" ht="13">
      <c r="A762" s="91"/>
    </row>
    <row r="763" spans="1:1" ht="13">
      <c r="A763" s="91"/>
    </row>
    <row r="764" spans="1:1" ht="13">
      <c r="A764" s="91"/>
    </row>
    <row r="765" spans="1:1" ht="13">
      <c r="A765" s="91"/>
    </row>
    <row r="766" spans="1:1" ht="13">
      <c r="A766" s="91"/>
    </row>
    <row r="767" spans="1:1" ht="13">
      <c r="A767" s="91"/>
    </row>
    <row r="768" spans="1:1" ht="13">
      <c r="A768" s="91"/>
    </row>
    <row r="769" spans="1:1" ht="13">
      <c r="A769" s="91"/>
    </row>
    <row r="770" spans="1:1" ht="13">
      <c r="A770" s="91"/>
    </row>
    <row r="771" spans="1:1" ht="13">
      <c r="A771" s="91"/>
    </row>
    <row r="772" spans="1:1" ht="13">
      <c r="A772" s="91"/>
    </row>
    <row r="773" spans="1:1" ht="13">
      <c r="A773" s="91"/>
    </row>
    <row r="774" spans="1:1" ht="13">
      <c r="A774" s="91"/>
    </row>
    <row r="775" spans="1:1" ht="13">
      <c r="A775" s="91"/>
    </row>
    <row r="776" spans="1:1" ht="13">
      <c r="A776" s="91"/>
    </row>
    <row r="777" spans="1:1" ht="13">
      <c r="A777" s="91"/>
    </row>
    <row r="778" spans="1:1" ht="13">
      <c r="A778" s="91"/>
    </row>
    <row r="779" spans="1:1" ht="13">
      <c r="A779" s="91"/>
    </row>
    <row r="780" spans="1:1" ht="13">
      <c r="A780" s="91"/>
    </row>
    <row r="781" spans="1:1" ht="13">
      <c r="A781" s="91"/>
    </row>
    <row r="782" spans="1:1" ht="13">
      <c r="A782" s="91"/>
    </row>
    <row r="783" spans="1:1" ht="13">
      <c r="A783" s="91"/>
    </row>
    <row r="784" spans="1:1" ht="13">
      <c r="A784" s="91"/>
    </row>
    <row r="785" spans="1:1" ht="13">
      <c r="A785" s="91"/>
    </row>
    <row r="786" spans="1:1" ht="13">
      <c r="A786" s="91"/>
    </row>
    <row r="787" spans="1:1" ht="13">
      <c r="A787" s="91"/>
    </row>
    <row r="788" spans="1:1" ht="13">
      <c r="A788" s="91"/>
    </row>
    <row r="789" spans="1:1" ht="13">
      <c r="A789" s="91"/>
    </row>
    <row r="790" spans="1:1" ht="13">
      <c r="A790" s="91"/>
    </row>
    <row r="791" spans="1:1" ht="13">
      <c r="A791" s="91"/>
    </row>
    <row r="792" spans="1:1" ht="13">
      <c r="A792" s="91"/>
    </row>
    <row r="793" spans="1:1" ht="13">
      <c r="A793" s="91"/>
    </row>
    <row r="794" spans="1:1" ht="13">
      <c r="A794" s="91"/>
    </row>
    <row r="795" spans="1:1" ht="13">
      <c r="A795" s="91"/>
    </row>
    <row r="796" spans="1:1" ht="13">
      <c r="A796" s="91"/>
    </row>
    <row r="797" spans="1:1" ht="13">
      <c r="A797" s="91"/>
    </row>
    <row r="798" spans="1:1" ht="13">
      <c r="A798" s="91"/>
    </row>
    <row r="799" spans="1:1" ht="13">
      <c r="A799" s="91"/>
    </row>
    <row r="800" spans="1:1" ht="13">
      <c r="A800" s="91"/>
    </row>
    <row r="801" spans="1:1" ht="13">
      <c r="A801" s="91"/>
    </row>
    <row r="802" spans="1:1" ht="13">
      <c r="A802" s="91"/>
    </row>
    <row r="803" spans="1:1" ht="13">
      <c r="A803" s="91"/>
    </row>
    <row r="804" spans="1:1" ht="13">
      <c r="A804" s="91"/>
    </row>
    <row r="805" spans="1:1" ht="13">
      <c r="A805" s="91"/>
    </row>
    <row r="806" spans="1:1" ht="13">
      <c r="A806" s="91"/>
    </row>
    <row r="807" spans="1:1" ht="13">
      <c r="A807" s="91"/>
    </row>
    <row r="808" spans="1:1" ht="13">
      <c r="A808" s="91"/>
    </row>
    <row r="809" spans="1:1" ht="13">
      <c r="A809" s="91"/>
    </row>
    <row r="810" spans="1:1" ht="13">
      <c r="A810" s="91"/>
    </row>
    <row r="811" spans="1:1" ht="13">
      <c r="A811" s="91"/>
    </row>
    <row r="812" spans="1:1" ht="13">
      <c r="A812" s="91"/>
    </row>
    <row r="813" spans="1:1" ht="13">
      <c r="A813" s="91"/>
    </row>
    <row r="814" spans="1:1" ht="13">
      <c r="A814" s="91"/>
    </row>
    <row r="815" spans="1:1" ht="13">
      <c r="A815" s="91"/>
    </row>
    <row r="816" spans="1:1" ht="13">
      <c r="A816" s="91"/>
    </row>
    <row r="817" spans="1:1" ht="13">
      <c r="A817" s="91"/>
    </row>
    <row r="818" spans="1:1" ht="13">
      <c r="A818" s="91"/>
    </row>
    <row r="819" spans="1:1" ht="13">
      <c r="A819" s="91"/>
    </row>
    <row r="820" spans="1:1" ht="13">
      <c r="A820" s="91"/>
    </row>
    <row r="821" spans="1:1" ht="13">
      <c r="A821" s="91"/>
    </row>
    <row r="822" spans="1:1" ht="13">
      <c r="A822" s="91"/>
    </row>
    <row r="823" spans="1:1" ht="13">
      <c r="A823" s="91"/>
    </row>
    <row r="824" spans="1:1" ht="13">
      <c r="A824" s="91"/>
    </row>
    <row r="825" spans="1:1" ht="13">
      <c r="A825" s="91"/>
    </row>
    <row r="826" spans="1:1" ht="13">
      <c r="A826" s="91"/>
    </row>
    <row r="827" spans="1:1" ht="13">
      <c r="A827" s="91"/>
    </row>
    <row r="828" spans="1:1" ht="13">
      <c r="A828" s="91"/>
    </row>
    <row r="829" spans="1:1" ht="13">
      <c r="A829" s="91"/>
    </row>
    <row r="830" spans="1:1" ht="13">
      <c r="A830" s="91"/>
    </row>
    <row r="831" spans="1:1" ht="13">
      <c r="A831" s="91"/>
    </row>
    <row r="832" spans="1:1" ht="13">
      <c r="A832" s="91"/>
    </row>
    <row r="833" spans="1:1" ht="13">
      <c r="A833" s="91"/>
    </row>
    <row r="834" spans="1:1" ht="13">
      <c r="A834" s="91"/>
    </row>
    <row r="835" spans="1:1" ht="13">
      <c r="A835" s="91"/>
    </row>
    <row r="836" spans="1:1" ht="13">
      <c r="A836" s="91"/>
    </row>
    <row r="837" spans="1:1" ht="13">
      <c r="A837" s="91"/>
    </row>
    <row r="838" spans="1:1" ht="13">
      <c r="A838" s="91"/>
    </row>
    <row r="839" spans="1:1" ht="13">
      <c r="A839" s="91"/>
    </row>
    <row r="840" spans="1:1" ht="13">
      <c r="A840" s="91"/>
    </row>
    <row r="841" spans="1:1" ht="13">
      <c r="A841" s="91"/>
    </row>
    <row r="842" spans="1:1" ht="13">
      <c r="A842" s="91"/>
    </row>
    <row r="843" spans="1:1" ht="13">
      <c r="A843" s="91"/>
    </row>
    <row r="844" spans="1:1" ht="13">
      <c r="A844" s="91"/>
    </row>
    <row r="845" spans="1:1" ht="13">
      <c r="A845" s="91"/>
    </row>
    <row r="846" spans="1:1" ht="13">
      <c r="A846" s="91"/>
    </row>
    <row r="847" spans="1:1" ht="13">
      <c r="A847" s="91"/>
    </row>
    <row r="848" spans="1:1" ht="13">
      <c r="A848" s="91"/>
    </row>
    <row r="849" spans="1:1" ht="13">
      <c r="A849" s="91"/>
    </row>
    <row r="850" spans="1:1" ht="13">
      <c r="A850" s="91"/>
    </row>
    <row r="851" spans="1:1" ht="13">
      <c r="A851" s="91"/>
    </row>
    <row r="852" spans="1:1" ht="13">
      <c r="A852" s="91"/>
    </row>
    <row r="853" spans="1:1" ht="13">
      <c r="A853" s="91"/>
    </row>
    <row r="854" spans="1:1" ht="13">
      <c r="A854" s="91"/>
    </row>
    <row r="855" spans="1:1" ht="13">
      <c r="A855" s="91"/>
    </row>
    <row r="856" spans="1:1" ht="13">
      <c r="A856" s="91"/>
    </row>
    <row r="857" spans="1:1" ht="13">
      <c r="A857" s="91"/>
    </row>
    <row r="858" spans="1:1" ht="13">
      <c r="A858" s="91"/>
    </row>
    <row r="859" spans="1:1" ht="13">
      <c r="A859" s="91"/>
    </row>
    <row r="860" spans="1:1" ht="13">
      <c r="A860" s="91"/>
    </row>
    <row r="861" spans="1:1" ht="13">
      <c r="A861" s="91"/>
    </row>
    <row r="862" spans="1:1" ht="13">
      <c r="A862" s="91"/>
    </row>
    <row r="863" spans="1:1" ht="13">
      <c r="A863" s="91"/>
    </row>
    <row r="864" spans="1:1" ht="13">
      <c r="A864" s="91"/>
    </row>
    <row r="865" spans="1:1" ht="13">
      <c r="A865" s="91"/>
    </row>
    <row r="866" spans="1:1" ht="13">
      <c r="A866" s="91"/>
    </row>
    <row r="867" spans="1:1" ht="13">
      <c r="A867" s="91"/>
    </row>
    <row r="868" spans="1:1" ht="13">
      <c r="A868" s="91"/>
    </row>
    <row r="869" spans="1:1" ht="13">
      <c r="A869" s="91"/>
    </row>
    <row r="870" spans="1:1" ht="13">
      <c r="A870" s="91"/>
    </row>
    <row r="871" spans="1:1" ht="13">
      <c r="A871" s="91"/>
    </row>
    <row r="872" spans="1:1" ht="13">
      <c r="A872" s="91"/>
    </row>
    <row r="873" spans="1:1" ht="13">
      <c r="A873" s="91"/>
    </row>
    <row r="874" spans="1:1" ht="13">
      <c r="A874" s="91"/>
    </row>
    <row r="875" spans="1:1" ht="13">
      <c r="A875" s="91"/>
    </row>
    <row r="876" spans="1:1" ht="13">
      <c r="A876" s="91"/>
    </row>
    <row r="877" spans="1:1" ht="13">
      <c r="A877" s="91"/>
    </row>
    <row r="878" spans="1:1" ht="13">
      <c r="A878" s="91"/>
    </row>
    <row r="879" spans="1:1" ht="13">
      <c r="A879" s="91"/>
    </row>
    <row r="880" spans="1:1" ht="13">
      <c r="A880" s="91"/>
    </row>
    <row r="881" spans="1:1" ht="13">
      <c r="A881" s="91"/>
    </row>
    <row r="882" spans="1:1" ht="13">
      <c r="A882" s="91"/>
    </row>
    <row r="883" spans="1:1" ht="13">
      <c r="A883" s="91"/>
    </row>
    <row r="884" spans="1:1" ht="13">
      <c r="A884" s="91"/>
    </row>
    <row r="885" spans="1:1" ht="13">
      <c r="A885" s="91"/>
    </row>
    <row r="886" spans="1:1" ht="13">
      <c r="A886" s="91"/>
    </row>
    <row r="887" spans="1:1" ht="13">
      <c r="A887" s="91"/>
    </row>
    <row r="888" spans="1:1" ht="13">
      <c r="A888" s="91"/>
    </row>
    <row r="889" spans="1:1" ht="13">
      <c r="A889" s="91"/>
    </row>
    <row r="890" spans="1:1" ht="13">
      <c r="A890" s="91"/>
    </row>
    <row r="891" spans="1:1" ht="13">
      <c r="A891" s="91"/>
    </row>
    <row r="892" spans="1:1" ht="13">
      <c r="A892" s="91"/>
    </row>
    <row r="893" spans="1:1" ht="13">
      <c r="A893" s="91"/>
    </row>
    <row r="894" spans="1:1" ht="13">
      <c r="A894" s="91"/>
    </row>
    <row r="895" spans="1:1" ht="13">
      <c r="A895" s="91"/>
    </row>
    <row r="896" spans="1:1" ht="13">
      <c r="A896" s="91"/>
    </row>
    <row r="897" spans="1:1" ht="13">
      <c r="A897" s="91"/>
    </row>
    <row r="898" spans="1:1" ht="13">
      <c r="A898" s="91"/>
    </row>
    <row r="899" spans="1:1" ht="13">
      <c r="A899" s="91"/>
    </row>
    <row r="900" spans="1:1" ht="13">
      <c r="A900" s="91"/>
    </row>
    <row r="901" spans="1:1" ht="13">
      <c r="A901" s="91"/>
    </row>
    <row r="902" spans="1:1" ht="13">
      <c r="A902" s="91"/>
    </row>
    <row r="903" spans="1:1" ht="13">
      <c r="A903" s="91"/>
    </row>
    <row r="904" spans="1:1" ht="13">
      <c r="A904" s="91"/>
    </row>
    <row r="905" spans="1:1" ht="13">
      <c r="A905" s="91"/>
    </row>
    <row r="906" spans="1:1" ht="13">
      <c r="A906" s="91"/>
    </row>
    <row r="907" spans="1:1" ht="13">
      <c r="A907" s="91"/>
    </row>
    <row r="908" spans="1:1" ht="13">
      <c r="A908" s="91"/>
    </row>
    <row r="909" spans="1:1" ht="13">
      <c r="A909" s="91"/>
    </row>
    <row r="910" spans="1:1" ht="13">
      <c r="A910" s="91"/>
    </row>
    <row r="911" spans="1:1" ht="13">
      <c r="A911" s="91"/>
    </row>
    <row r="912" spans="1:1" ht="13">
      <c r="A912" s="91"/>
    </row>
    <row r="913" spans="1:1" ht="13">
      <c r="A913" s="91"/>
    </row>
    <row r="914" spans="1:1" ht="13">
      <c r="A914" s="91"/>
    </row>
    <row r="915" spans="1:1" ht="13">
      <c r="A915" s="91"/>
    </row>
    <row r="916" spans="1:1" ht="13">
      <c r="A916" s="91"/>
    </row>
    <row r="917" spans="1:1" ht="13">
      <c r="A917" s="91"/>
    </row>
    <row r="918" spans="1:1" ht="13">
      <c r="A918" s="91"/>
    </row>
    <row r="919" spans="1:1" ht="13">
      <c r="A919" s="91"/>
    </row>
    <row r="920" spans="1:1" ht="13">
      <c r="A920" s="91"/>
    </row>
    <row r="921" spans="1:1" ht="13">
      <c r="A921" s="91"/>
    </row>
    <row r="922" spans="1:1" ht="13">
      <c r="A922" s="91"/>
    </row>
    <row r="923" spans="1:1" ht="13">
      <c r="A923" s="91"/>
    </row>
    <row r="924" spans="1:1" ht="13">
      <c r="A924" s="91"/>
    </row>
    <row r="925" spans="1:1" ht="13">
      <c r="A925" s="91"/>
    </row>
    <row r="926" spans="1:1" ht="13">
      <c r="A926" s="91"/>
    </row>
    <row r="927" spans="1:1" ht="13">
      <c r="A927" s="91"/>
    </row>
    <row r="928" spans="1:1" ht="13">
      <c r="A928" s="91"/>
    </row>
    <row r="929" spans="1:1" ht="13">
      <c r="A929" s="91"/>
    </row>
    <row r="930" spans="1:1" ht="13">
      <c r="A930" s="91"/>
    </row>
    <row r="931" spans="1:1" ht="13">
      <c r="A931" s="91"/>
    </row>
    <row r="932" spans="1:1" ht="13">
      <c r="A932" s="91"/>
    </row>
    <row r="933" spans="1:1" ht="13">
      <c r="A933" s="91"/>
    </row>
    <row r="934" spans="1:1" ht="13">
      <c r="A934" s="91"/>
    </row>
    <row r="935" spans="1:1" ht="13">
      <c r="A935" s="91"/>
    </row>
    <row r="936" spans="1:1" ht="13">
      <c r="A936" s="91"/>
    </row>
    <row r="937" spans="1:1" ht="13">
      <c r="A937" s="91"/>
    </row>
    <row r="938" spans="1:1" ht="13">
      <c r="A938" s="91"/>
    </row>
    <row r="939" spans="1:1" ht="13">
      <c r="A939" s="91"/>
    </row>
    <row r="940" spans="1:1" ht="13">
      <c r="A940" s="91"/>
    </row>
    <row r="941" spans="1:1" ht="13">
      <c r="A941" s="91"/>
    </row>
    <row r="942" spans="1:1" ht="13">
      <c r="A942" s="91"/>
    </row>
    <row r="943" spans="1:1" ht="13">
      <c r="A943" s="91"/>
    </row>
    <row r="944" spans="1:1" ht="13">
      <c r="A944" s="91"/>
    </row>
    <row r="945" spans="1:1" ht="13">
      <c r="A945" s="91"/>
    </row>
    <row r="946" spans="1:1" ht="13">
      <c r="A946" s="91"/>
    </row>
    <row r="947" spans="1:1" ht="13">
      <c r="A947" s="91"/>
    </row>
    <row r="948" spans="1:1" ht="13">
      <c r="A948" s="91"/>
    </row>
    <row r="949" spans="1:1" ht="13">
      <c r="A949" s="91"/>
    </row>
    <row r="950" spans="1:1" ht="13">
      <c r="A950" s="91"/>
    </row>
    <row r="951" spans="1:1" ht="13">
      <c r="A951" s="91"/>
    </row>
    <row r="952" spans="1:1" ht="13">
      <c r="A952" s="91"/>
    </row>
    <row r="953" spans="1:1" ht="13">
      <c r="A953" s="91"/>
    </row>
    <row r="954" spans="1:1" ht="13">
      <c r="A954" s="91"/>
    </row>
    <row r="955" spans="1:1" ht="13">
      <c r="A955" s="91"/>
    </row>
    <row r="956" spans="1:1" ht="13">
      <c r="A956" s="91"/>
    </row>
    <row r="957" spans="1:1" ht="13">
      <c r="A957" s="91"/>
    </row>
    <row r="958" spans="1:1" ht="13">
      <c r="A958" s="91"/>
    </row>
    <row r="959" spans="1:1" ht="13">
      <c r="A959" s="91"/>
    </row>
    <row r="960" spans="1:1" ht="13">
      <c r="A960" s="91"/>
    </row>
    <row r="961" spans="1:1" ht="13">
      <c r="A961" s="91"/>
    </row>
    <row r="962" spans="1:1" ht="13">
      <c r="A962" s="91"/>
    </row>
    <row r="963" spans="1:1" ht="13">
      <c r="A963" s="91"/>
    </row>
    <row r="964" spans="1:1" ht="13">
      <c r="A964" s="91"/>
    </row>
    <row r="965" spans="1:1" ht="13">
      <c r="A965" s="91"/>
    </row>
    <row r="966" spans="1:1" ht="13">
      <c r="A966" s="91"/>
    </row>
    <row r="967" spans="1:1" ht="13">
      <c r="A967" s="91"/>
    </row>
    <row r="968" spans="1:1" ht="13">
      <c r="A968" s="91"/>
    </row>
    <row r="969" spans="1:1" ht="13">
      <c r="A969" s="91"/>
    </row>
    <row r="970" spans="1:1" ht="13">
      <c r="A970" s="91"/>
    </row>
    <row r="971" spans="1:1" ht="13">
      <c r="A971" s="91"/>
    </row>
    <row r="972" spans="1:1" ht="13">
      <c r="A972" s="91"/>
    </row>
    <row r="973" spans="1:1" ht="13">
      <c r="A973" s="91"/>
    </row>
    <row r="974" spans="1:1" ht="13">
      <c r="A974" s="91"/>
    </row>
    <row r="975" spans="1:1" ht="13">
      <c r="A975" s="91"/>
    </row>
    <row r="976" spans="1:1" ht="13">
      <c r="A976" s="91"/>
    </row>
    <row r="977" spans="1:1" ht="13">
      <c r="A977" s="91"/>
    </row>
    <row r="978" spans="1:1" ht="13">
      <c r="A978" s="91"/>
    </row>
    <row r="979" spans="1:1" ht="13">
      <c r="A979" s="91"/>
    </row>
    <row r="980" spans="1:1" ht="13">
      <c r="A980" s="91"/>
    </row>
    <row r="981" spans="1:1" ht="13">
      <c r="A981" s="91"/>
    </row>
    <row r="982" spans="1:1" ht="13">
      <c r="A982" s="91"/>
    </row>
    <row r="983" spans="1:1" ht="13">
      <c r="A983" s="91"/>
    </row>
    <row r="984" spans="1:1" ht="13">
      <c r="A984" s="91"/>
    </row>
    <row r="985" spans="1:1" ht="13">
      <c r="A985" s="91"/>
    </row>
    <row r="986" spans="1:1" ht="13">
      <c r="A986" s="91"/>
    </row>
    <row r="987" spans="1:1" ht="13">
      <c r="A987" s="91"/>
    </row>
    <row r="988" spans="1:1" ht="13">
      <c r="A988" s="91"/>
    </row>
    <row r="989" spans="1:1" ht="13">
      <c r="A989" s="91"/>
    </row>
    <row r="990" spans="1:1" ht="13">
      <c r="A990" s="91"/>
    </row>
    <row r="991" spans="1:1" ht="13">
      <c r="A991" s="91"/>
    </row>
    <row r="992" spans="1:1" ht="13">
      <c r="A992" s="91"/>
    </row>
    <row r="993" spans="1:1" ht="13">
      <c r="A993" s="91"/>
    </row>
    <row r="994" spans="1:1" ht="13">
      <c r="A994" s="91"/>
    </row>
    <row r="995" spans="1:1" ht="13">
      <c r="A995" s="91"/>
    </row>
    <row r="996" spans="1:1" ht="13">
      <c r="A996" s="91"/>
    </row>
    <row r="997" spans="1:1" ht="13">
      <c r="A997" s="9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X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4" ht="15.75" customHeight="1">
      <c r="A1" s="179" t="s">
        <v>672</v>
      </c>
      <c r="B1" s="180" t="s">
        <v>706</v>
      </c>
      <c r="C1" s="180" t="s">
        <v>707</v>
      </c>
      <c r="D1" s="181" t="s">
        <v>708</v>
      </c>
      <c r="E1" s="182" t="s">
        <v>709</v>
      </c>
      <c r="F1" s="182" t="s">
        <v>710</v>
      </c>
      <c r="G1" s="181" t="s">
        <v>711</v>
      </c>
      <c r="H1" s="182" t="s">
        <v>712</v>
      </c>
      <c r="I1" s="182" t="s">
        <v>713</v>
      </c>
      <c r="J1" s="182" t="s">
        <v>714</v>
      </c>
      <c r="K1" s="182" t="s">
        <v>715</v>
      </c>
      <c r="L1" s="182" t="s">
        <v>716</v>
      </c>
      <c r="M1" s="182" t="s">
        <v>717</v>
      </c>
      <c r="N1" s="182" t="s">
        <v>718</v>
      </c>
      <c r="O1" s="182" t="s">
        <v>719</v>
      </c>
      <c r="P1" s="182" t="s">
        <v>720</v>
      </c>
      <c r="Q1" s="183" t="s">
        <v>721</v>
      </c>
      <c r="R1" s="184" t="s">
        <v>642</v>
      </c>
      <c r="S1" s="184" t="s">
        <v>722</v>
      </c>
      <c r="T1" s="184" t="s">
        <v>643</v>
      </c>
      <c r="U1" s="1" t="s">
        <v>723</v>
      </c>
      <c r="V1" s="1" t="s">
        <v>724</v>
      </c>
      <c r="W1" s="1" t="s">
        <v>725</v>
      </c>
      <c r="X1" s="184" t="s">
        <v>745</v>
      </c>
    </row>
    <row r="2" spans="1:24" ht="15.75" customHeight="1">
      <c r="A2" s="178">
        <v>1</v>
      </c>
      <c r="B2" s="191" t="s">
        <v>746</v>
      </c>
      <c r="C2" s="191" t="s">
        <v>730</v>
      </c>
      <c r="D2" s="192">
        <v>3</v>
      </c>
      <c r="E2" s="193">
        <v>45660</v>
      </c>
      <c r="F2" s="191" t="s">
        <v>743</v>
      </c>
      <c r="G2" s="194">
        <v>45659</v>
      </c>
      <c r="H2" s="191">
        <v>0</v>
      </c>
      <c r="I2" s="191">
        <v>2</v>
      </c>
      <c r="J2" s="191">
        <v>2</v>
      </c>
      <c r="K2" s="191">
        <v>0</v>
      </c>
      <c r="L2" s="191">
        <v>0</v>
      </c>
      <c r="M2" s="191">
        <v>0</v>
      </c>
      <c r="N2" s="191">
        <v>0</v>
      </c>
      <c r="O2" s="191">
        <v>0</v>
      </c>
      <c r="P2" s="191">
        <v>8</v>
      </c>
      <c r="Q2" s="191">
        <v>0</v>
      </c>
      <c r="R2" s="188"/>
      <c r="S2" s="188"/>
      <c r="T2" s="188"/>
      <c r="U2" s="188"/>
      <c r="V2" s="188"/>
      <c r="W2" s="186"/>
      <c r="X2" s="186"/>
    </row>
    <row r="3" spans="1:24" ht="15.75" customHeight="1">
      <c r="A3" s="178">
        <v>1</v>
      </c>
      <c r="B3" s="191" t="s">
        <v>747</v>
      </c>
      <c r="C3" s="191" t="s">
        <v>732</v>
      </c>
      <c r="D3" s="192">
        <v>2</v>
      </c>
      <c r="E3" s="193">
        <v>45659</v>
      </c>
      <c r="F3" s="191" t="s">
        <v>731</v>
      </c>
      <c r="G3" s="192" t="s">
        <v>731</v>
      </c>
      <c r="H3" s="191">
        <v>0</v>
      </c>
      <c r="I3" s="191">
        <v>0</v>
      </c>
      <c r="J3" s="191">
        <v>0</v>
      </c>
      <c r="K3" s="191">
        <v>1</v>
      </c>
      <c r="L3" s="191">
        <v>0</v>
      </c>
      <c r="M3" s="191">
        <v>0</v>
      </c>
      <c r="N3" s="191">
        <v>1</v>
      </c>
      <c r="O3" s="191">
        <v>1</v>
      </c>
      <c r="P3" s="191">
        <v>8</v>
      </c>
      <c r="Q3" s="191">
        <v>1</v>
      </c>
      <c r="R3" s="188"/>
      <c r="S3" s="188"/>
      <c r="T3" s="188"/>
      <c r="U3" s="188"/>
      <c r="V3" s="188"/>
      <c r="W3" s="186"/>
      <c r="X3" s="186"/>
    </row>
    <row r="4" spans="1:24" ht="15.75" customHeight="1">
      <c r="A4" s="178">
        <v>1</v>
      </c>
      <c r="B4" s="191" t="s">
        <v>748</v>
      </c>
      <c r="C4" s="191" t="s">
        <v>733</v>
      </c>
      <c r="D4" s="192">
        <v>0</v>
      </c>
      <c r="E4" s="191" t="s">
        <v>735</v>
      </c>
      <c r="F4" s="191" t="s">
        <v>735</v>
      </c>
      <c r="G4" s="192" t="s">
        <v>731</v>
      </c>
      <c r="H4" s="191">
        <v>0</v>
      </c>
      <c r="I4" s="191">
        <v>0</v>
      </c>
      <c r="J4" s="191">
        <v>0</v>
      </c>
      <c r="K4" s="191">
        <v>2</v>
      </c>
      <c r="L4" s="191">
        <v>1</v>
      </c>
      <c r="M4" s="191">
        <v>1</v>
      </c>
      <c r="N4" s="191">
        <v>0</v>
      </c>
      <c r="O4" s="191">
        <v>0</v>
      </c>
      <c r="P4" s="191">
        <v>10</v>
      </c>
      <c r="Q4" s="191">
        <v>1</v>
      </c>
      <c r="R4" s="188"/>
      <c r="S4" s="188"/>
      <c r="T4" s="188"/>
      <c r="U4" s="188"/>
      <c r="V4" s="188"/>
      <c r="W4" s="186"/>
      <c r="X4" s="186"/>
    </row>
    <row r="5" spans="1:24" ht="15.75" customHeight="1">
      <c r="A5" s="178">
        <v>1</v>
      </c>
      <c r="B5" s="191" t="s">
        <v>749</v>
      </c>
      <c r="C5" s="191" t="s">
        <v>736</v>
      </c>
      <c r="D5" s="192">
        <v>4</v>
      </c>
      <c r="E5" s="193">
        <v>45659</v>
      </c>
      <c r="F5" s="193">
        <v>45659</v>
      </c>
      <c r="G5" s="194">
        <v>45659</v>
      </c>
      <c r="H5" s="191">
        <v>0</v>
      </c>
      <c r="I5" s="191">
        <v>0</v>
      </c>
      <c r="J5" s="191">
        <v>0</v>
      </c>
      <c r="K5" s="191">
        <v>0</v>
      </c>
      <c r="L5" s="191">
        <v>0</v>
      </c>
      <c r="M5" s="191">
        <v>1</v>
      </c>
      <c r="N5" s="191">
        <v>0</v>
      </c>
      <c r="O5" s="191">
        <v>0</v>
      </c>
      <c r="P5" s="191">
        <v>8</v>
      </c>
      <c r="Q5" s="191">
        <v>1</v>
      </c>
      <c r="R5" s="188"/>
      <c r="S5" s="188"/>
      <c r="T5" s="188"/>
      <c r="U5" s="188"/>
      <c r="V5" s="188"/>
      <c r="W5" s="186"/>
      <c r="X5" s="186"/>
    </row>
    <row r="6" spans="1:24" ht="15.75" customHeight="1">
      <c r="A6" s="178">
        <v>1</v>
      </c>
      <c r="B6" s="191" t="s">
        <v>750</v>
      </c>
      <c r="C6" s="191" t="s">
        <v>737</v>
      </c>
      <c r="D6" s="192">
        <v>0</v>
      </c>
      <c r="E6" s="191" t="s">
        <v>731</v>
      </c>
      <c r="F6" s="191" t="s">
        <v>731</v>
      </c>
      <c r="G6" s="192" t="s">
        <v>731</v>
      </c>
      <c r="H6" s="191">
        <v>0</v>
      </c>
      <c r="I6" s="191">
        <v>1</v>
      </c>
      <c r="J6" s="191">
        <v>1</v>
      </c>
      <c r="K6" s="191">
        <v>0</v>
      </c>
      <c r="L6" s="191">
        <v>0</v>
      </c>
      <c r="M6" s="191">
        <v>1</v>
      </c>
      <c r="N6" s="191">
        <v>1</v>
      </c>
      <c r="O6" s="191">
        <v>0</v>
      </c>
      <c r="P6" s="191">
        <v>6</v>
      </c>
      <c r="Q6" s="191">
        <v>0</v>
      </c>
      <c r="R6" s="188"/>
      <c r="S6" s="188"/>
      <c r="T6" s="188"/>
      <c r="U6" s="188"/>
      <c r="V6" s="188"/>
      <c r="W6" s="186"/>
      <c r="X6" s="186"/>
    </row>
    <row r="7" spans="1:24" ht="15.75" customHeight="1">
      <c r="A7" s="178">
        <v>1</v>
      </c>
      <c r="B7" s="191">
        <v>5</v>
      </c>
      <c r="C7" s="191" t="s">
        <v>738</v>
      </c>
      <c r="D7" s="192">
        <v>1</v>
      </c>
      <c r="E7" s="191" t="s">
        <v>743</v>
      </c>
      <c r="F7" s="191" t="s">
        <v>743</v>
      </c>
      <c r="G7" s="194">
        <v>45659</v>
      </c>
      <c r="H7" s="191">
        <v>0</v>
      </c>
      <c r="I7" s="191">
        <v>0</v>
      </c>
      <c r="J7" s="191">
        <v>0</v>
      </c>
      <c r="K7" s="191">
        <v>0</v>
      </c>
      <c r="L7" s="191">
        <v>0</v>
      </c>
      <c r="M7" s="191">
        <v>0</v>
      </c>
      <c r="N7" s="191">
        <v>0</v>
      </c>
      <c r="O7" s="191">
        <v>1</v>
      </c>
      <c r="P7" s="191">
        <v>4</v>
      </c>
      <c r="Q7" s="191">
        <v>1</v>
      </c>
      <c r="R7" s="188"/>
      <c r="S7" s="188"/>
      <c r="T7" s="188"/>
      <c r="U7" s="188"/>
      <c r="V7" s="188"/>
      <c r="W7" s="186"/>
      <c r="X7" s="186"/>
    </row>
    <row r="8" spans="1:24" ht="15.75" customHeight="1">
      <c r="A8" s="178">
        <v>1</v>
      </c>
      <c r="B8" s="191">
        <v>6</v>
      </c>
      <c r="C8" s="191" t="s">
        <v>751</v>
      </c>
      <c r="D8" s="192">
        <v>0</v>
      </c>
      <c r="E8" s="191" t="s">
        <v>731</v>
      </c>
      <c r="F8" s="191" t="s">
        <v>731</v>
      </c>
      <c r="G8" s="192" t="s">
        <v>731</v>
      </c>
      <c r="H8" s="191">
        <v>0</v>
      </c>
      <c r="I8" s="191">
        <v>0</v>
      </c>
      <c r="J8" s="191">
        <v>0</v>
      </c>
      <c r="K8" s="191">
        <v>0</v>
      </c>
      <c r="L8" s="191">
        <v>0</v>
      </c>
      <c r="M8" s="191">
        <v>0</v>
      </c>
      <c r="N8" s="191">
        <v>0</v>
      </c>
      <c r="O8" s="191">
        <v>0</v>
      </c>
      <c r="P8" s="191">
        <v>0</v>
      </c>
      <c r="Q8" s="191">
        <v>0</v>
      </c>
      <c r="R8" s="188"/>
      <c r="S8" s="188"/>
      <c r="T8" s="188"/>
      <c r="U8" s="188"/>
      <c r="V8" s="188"/>
      <c r="W8" s="186"/>
      <c r="X8" s="186"/>
    </row>
    <row r="9" spans="1:24" ht="15.75" customHeight="1">
      <c r="A9" s="178">
        <v>1</v>
      </c>
      <c r="B9" s="191">
        <v>7</v>
      </c>
      <c r="C9" s="191" t="s">
        <v>739</v>
      </c>
      <c r="D9" s="192">
        <v>0</v>
      </c>
      <c r="E9" s="191" t="s">
        <v>731</v>
      </c>
      <c r="F9" s="191" t="s">
        <v>731</v>
      </c>
      <c r="G9" s="192" t="s">
        <v>731</v>
      </c>
      <c r="H9" s="191">
        <v>0</v>
      </c>
      <c r="I9" s="191">
        <v>0</v>
      </c>
      <c r="J9" s="191">
        <v>0</v>
      </c>
      <c r="K9" s="191">
        <v>0</v>
      </c>
      <c r="L9" s="191">
        <v>0</v>
      </c>
      <c r="M9" s="191">
        <v>0</v>
      </c>
      <c r="N9" s="191">
        <v>0</v>
      </c>
      <c r="O9" s="191">
        <v>0</v>
      </c>
      <c r="P9" s="191">
        <v>0</v>
      </c>
      <c r="Q9" s="191">
        <v>0</v>
      </c>
      <c r="R9" s="188"/>
      <c r="S9" s="188"/>
      <c r="T9" s="188"/>
      <c r="U9" s="188"/>
      <c r="V9" s="188"/>
      <c r="W9" s="186"/>
      <c r="X9" s="186"/>
    </row>
    <row r="10" spans="1:24" ht="15.75" customHeight="1">
      <c r="A10" s="178">
        <v>1</v>
      </c>
      <c r="B10" s="191">
        <v>21</v>
      </c>
      <c r="C10" s="191" t="s">
        <v>741</v>
      </c>
      <c r="D10" s="192">
        <v>0</v>
      </c>
      <c r="E10" s="191" t="s">
        <v>731</v>
      </c>
      <c r="F10" s="191" t="s">
        <v>731</v>
      </c>
      <c r="G10" s="192" t="s">
        <v>731</v>
      </c>
      <c r="H10" s="191">
        <v>0</v>
      </c>
      <c r="I10" s="191">
        <v>0</v>
      </c>
      <c r="J10" s="191">
        <v>0</v>
      </c>
      <c r="K10" s="191">
        <v>0</v>
      </c>
      <c r="L10" s="191">
        <v>0</v>
      </c>
      <c r="M10" s="191">
        <v>0</v>
      </c>
      <c r="N10" s="191">
        <v>0</v>
      </c>
      <c r="O10" s="191">
        <v>0</v>
      </c>
      <c r="P10" s="191">
        <v>2</v>
      </c>
      <c r="Q10" s="191">
        <v>0</v>
      </c>
      <c r="R10" s="188"/>
      <c r="S10" s="188"/>
      <c r="T10" s="188"/>
      <c r="U10" s="188"/>
      <c r="V10" s="188"/>
      <c r="W10" s="186"/>
      <c r="X10" s="186"/>
    </row>
    <row r="11" spans="1:24" ht="15.75" customHeight="1">
      <c r="A11" s="178">
        <v>1</v>
      </c>
      <c r="B11" s="195">
        <v>22</v>
      </c>
      <c r="C11" s="195" t="s">
        <v>742</v>
      </c>
      <c r="D11" s="196">
        <v>2</v>
      </c>
      <c r="E11" s="197">
        <v>45659</v>
      </c>
      <c r="F11" s="195" t="s">
        <v>731</v>
      </c>
      <c r="G11" s="196" t="s">
        <v>731</v>
      </c>
      <c r="H11" s="195">
        <v>0</v>
      </c>
      <c r="I11" s="195">
        <v>1</v>
      </c>
      <c r="J11" s="195">
        <v>1</v>
      </c>
      <c r="K11" s="195">
        <v>0</v>
      </c>
      <c r="L11" s="195">
        <v>1</v>
      </c>
      <c r="M11" s="195">
        <v>0</v>
      </c>
      <c r="N11" s="195">
        <v>0</v>
      </c>
      <c r="O11" s="195">
        <v>1</v>
      </c>
      <c r="P11" s="195">
        <v>4</v>
      </c>
      <c r="Q11" s="195">
        <v>1</v>
      </c>
      <c r="R11" s="188"/>
      <c r="S11" s="188"/>
      <c r="T11" s="188"/>
      <c r="U11" s="188"/>
      <c r="V11" s="188"/>
      <c r="W11" s="186"/>
      <c r="X11" s="186"/>
    </row>
    <row r="12" spans="1:24" ht="15.75" customHeight="1">
      <c r="A12" s="178">
        <v>2</v>
      </c>
      <c r="B12" s="191" t="s">
        <v>746</v>
      </c>
      <c r="C12" s="191" t="s">
        <v>730</v>
      </c>
      <c r="D12" s="192">
        <v>5</v>
      </c>
      <c r="E12" s="193">
        <v>45692</v>
      </c>
      <c r="F12" s="191" t="s">
        <v>743</v>
      </c>
      <c r="G12" s="194">
        <v>45659</v>
      </c>
      <c r="H12" s="191">
        <v>1</v>
      </c>
      <c r="I12" s="191">
        <v>3</v>
      </c>
      <c r="J12" s="191">
        <v>4</v>
      </c>
      <c r="K12" s="191">
        <v>1</v>
      </c>
      <c r="L12" s="191">
        <v>0</v>
      </c>
      <c r="M12" s="191">
        <v>1</v>
      </c>
      <c r="N12" s="191">
        <v>0</v>
      </c>
      <c r="O12" s="191">
        <v>2</v>
      </c>
      <c r="P12" s="191">
        <v>5</v>
      </c>
      <c r="Q12" s="191">
        <v>6</v>
      </c>
      <c r="R12" s="188"/>
      <c r="S12" s="188"/>
      <c r="T12" s="188"/>
      <c r="U12" s="188"/>
      <c r="V12" s="188"/>
      <c r="W12" s="186"/>
      <c r="X12" s="186"/>
    </row>
    <row r="13" spans="1:24" ht="15.75" customHeight="1">
      <c r="A13" s="178">
        <v>2</v>
      </c>
      <c r="B13" s="191" t="s">
        <v>747</v>
      </c>
      <c r="C13" s="191" t="s">
        <v>732</v>
      </c>
      <c r="D13" s="192">
        <v>2</v>
      </c>
      <c r="E13" s="193">
        <v>45659</v>
      </c>
      <c r="F13" s="191" t="s">
        <v>743</v>
      </c>
      <c r="G13" s="192" t="s">
        <v>731</v>
      </c>
      <c r="H13" s="191">
        <v>0</v>
      </c>
      <c r="I13" s="191">
        <v>2</v>
      </c>
      <c r="J13" s="191">
        <v>2</v>
      </c>
      <c r="K13" s="191">
        <v>0</v>
      </c>
      <c r="L13" s="191">
        <v>0</v>
      </c>
      <c r="M13" s="191">
        <v>1</v>
      </c>
      <c r="N13" s="191">
        <v>0</v>
      </c>
      <c r="O13" s="191">
        <v>1</v>
      </c>
      <c r="P13" s="191">
        <v>10</v>
      </c>
      <c r="Q13" s="191">
        <v>0</v>
      </c>
      <c r="R13" s="188"/>
      <c r="S13" s="188"/>
      <c r="T13" s="188"/>
      <c r="U13" s="188"/>
      <c r="V13" s="188"/>
      <c r="W13" s="186"/>
      <c r="X13" s="186"/>
    </row>
    <row r="14" spans="1:24" ht="15.75" customHeight="1">
      <c r="A14" s="178">
        <v>2</v>
      </c>
      <c r="B14" s="191" t="s">
        <v>748</v>
      </c>
      <c r="C14" s="191" t="s">
        <v>733</v>
      </c>
      <c r="D14" s="192">
        <v>0</v>
      </c>
      <c r="E14" s="191" t="s">
        <v>743</v>
      </c>
      <c r="F14" s="191" t="s">
        <v>731</v>
      </c>
      <c r="G14" s="192" t="s">
        <v>731</v>
      </c>
      <c r="H14" s="191">
        <v>0</v>
      </c>
      <c r="I14" s="191">
        <v>1</v>
      </c>
      <c r="J14" s="191">
        <v>1</v>
      </c>
      <c r="K14" s="191">
        <v>0</v>
      </c>
      <c r="L14" s="191">
        <v>0</v>
      </c>
      <c r="M14" s="191">
        <v>1</v>
      </c>
      <c r="N14" s="191">
        <v>0</v>
      </c>
      <c r="O14" s="191">
        <v>0</v>
      </c>
      <c r="P14" s="191">
        <v>5</v>
      </c>
      <c r="Q14" s="191">
        <v>-6</v>
      </c>
      <c r="R14" s="188"/>
      <c r="S14" s="188"/>
      <c r="T14" s="188"/>
      <c r="U14" s="188"/>
      <c r="V14" s="188"/>
      <c r="W14" s="186"/>
      <c r="X14" s="186"/>
    </row>
    <row r="15" spans="1:24" ht="15.75" customHeight="1">
      <c r="A15" s="178">
        <v>2</v>
      </c>
      <c r="B15" s="191" t="s">
        <v>749</v>
      </c>
      <c r="C15" s="191" t="s">
        <v>736</v>
      </c>
      <c r="D15" s="192">
        <v>0</v>
      </c>
      <c r="E15" s="191" t="s">
        <v>743</v>
      </c>
      <c r="F15" s="191" t="s">
        <v>743</v>
      </c>
      <c r="G15" s="192" t="s">
        <v>731</v>
      </c>
      <c r="H15" s="191">
        <v>0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5</v>
      </c>
      <c r="Q15" s="191">
        <v>-6</v>
      </c>
      <c r="R15" s="188"/>
      <c r="S15" s="188"/>
      <c r="T15" s="188"/>
      <c r="U15" s="188"/>
      <c r="V15" s="188"/>
      <c r="W15" s="186"/>
      <c r="X15" s="186"/>
    </row>
    <row r="16" spans="1:24" ht="15.75" customHeight="1">
      <c r="A16" s="178">
        <v>2</v>
      </c>
      <c r="B16" s="191" t="s">
        <v>750</v>
      </c>
      <c r="C16" s="191" t="s">
        <v>737</v>
      </c>
      <c r="D16" s="192">
        <v>0</v>
      </c>
      <c r="E16" s="191" t="s">
        <v>731</v>
      </c>
      <c r="F16" s="191" t="s">
        <v>731</v>
      </c>
      <c r="G16" s="192" t="s">
        <v>731</v>
      </c>
      <c r="H16" s="191">
        <v>0</v>
      </c>
      <c r="I16" s="191">
        <v>0</v>
      </c>
      <c r="J16" s="191">
        <v>0</v>
      </c>
      <c r="K16" s="191">
        <v>0</v>
      </c>
      <c r="L16" s="191">
        <v>2</v>
      </c>
      <c r="M16" s="191">
        <v>2</v>
      </c>
      <c r="N16" s="191">
        <v>0</v>
      </c>
      <c r="O16" s="191">
        <v>0</v>
      </c>
      <c r="P16" s="191">
        <v>2</v>
      </c>
      <c r="Q16" s="191">
        <v>-7</v>
      </c>
      <c r="R16" s="188"/>
      <c r="S16" s="188"/>
      <c r="T16" s="188"/>
      <c r="U16" s="188"/>
      <c r="V16" s="188"/>
      <c r="W16" s="186"/>
      <c r="X16" s="186"/>
    </row>
    <row r="17" spans="1:24" ht="15.75" customHeight="1">
      <c r="A17" s="178">
        <v>2</v>
      </c>
      <c r="B17" s="191">
        <v>5</v>
      </c>
      <c r="C17" s="191" t="s">
        <v>738</v>
      </c>
      <c r="D17" s="192">
        <v>2</v>
      </c>
      <c r="E17" s="191" t="s">
        <v>731</v>
      </c>
      <c r="F17" s="191" t="s">
        <v>731</v>
      </c>
      <c r="G17" s="194">
        <v>45690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1</v>
      </c>
      <c r="N17" s="191">
        <v>0</v>
      </c>
      <c r="O17" s="191">
        <v>0</v>
      </c>
      <c r="P17" s="191">
        <v>5</v>
      </c>
      <c r="Q17" s="191">
        <v>6</v>
      </c>
      <c r="R17" s="188"/>
      <c r="S17" s="188"/>
      <c r="T17" s="188"/>
      <c r="U17" s="188"/>
      <c r="V17" s="188"/>
      <c r="W17" s="186"/>
      <c r="X17" s="186"/>
    </row>
    <row r="18" spans="1:24" ht="15.75" customHeight="1">
      <c r="A18" s="178">
        <v>2</v>
      </c>
      <c r="B18" s="191">
        <v>6</v>
      </c>
      <c r="C18" s="191" t="s">
        <v>751</v>
      </c>
      <c r="D18" s="192">
        <v>1</v>
      </c>
      <c r="E18" s="191" t="s">
        <v>731</v>
      </c>
      <c r="F18" s="191" t="s">
        <v>731</v>
      </c>
      <c r="G18" s="194">
        <v>45659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1</v>
      </c>
      <c r="Q18" s="191">
        <v>1</v>
      </c>
      <c r="R18" s="188"/>
      <c r="S18" s="188"/>
      <c r="T18" s="188"/>
      <c r="U18" s="188"/>
      <c r="V18" s="188"/>
      <c r="W18" s="186"/>
      <c r="X18" s="186"/>
    </row>
    <row r="19" spans="1:24" ht="15.75" customHeight="1">
      <c r="A19" s="178">
        <v>2</v>
      </c>
      <c r="B19" s="191">
        <v>7</v>
      </c>
      <c r="C19" s="191" t="s">
        <v>739</v>
      </c>
      <c r="D19" s="192">
        <v>0</v>
      </c>
      <c r="E19" s="191" t="s">
        <v>743</v>
      </c>
      <c r="F19" s="191" t="s">
        <v>731</v>
      </c>
      <c r="G19" s="192" t="s">
        <v>731</v>
      </c>
      <c r="H19" s="191">
        <v>1</v>
      </c>
      <c r="I19" s="191">
        <v>0</v>
      </c>
      <c r="J19" s="191">
        <v>1</v>
      </c>
      <c r="K19" s="191">
        <v>0</v>
      </c>
      <c r="L19" s="191">
        <v>0</v>
      </c>
      <c r="M19" s="191">
        <v>0</v>
      </c>
      <c r="N19" s="191">
        <v>1</v>
      </c>
      <c r="O19" s="191">
        <v>0</v>
      </c>
      <c r="P19" s="191">
        <v>3</v>
      </c>
      <c r="Q19" s="191">
        <v>3</v>
      </c>
      <c r="R19" s="188"/>
      <c r="S19" s="188"/>
      <c r="T19" s="188"/>
      <c r="U19" s="188"/>
      <c r="V19" s="188"/>
      <c r="W19" s="186"/>
      <c r="X19" s="186"/>
    </row>
    <row r="20" spans="1:24" ht="15.75" customHeight="1">
      <c r="A20" s="178">
        <v>2</v>
      </c>
      <c r="B20" s="191">
        <v>21</v>
      </c>
      <c r="C20" s="191" t="s">
        <v>741</v>
      </c>
      <c r="D20" s="192">
        <v>4</v>
      </c>
      <c r="E20" s="193">
        <v>45659</v>
      </c>
      <c r="F20" s="193">
        <v>45659</v>
      </c>
      <c r="G20" s="194">
        <v>45659</v>
      </c>
      <c r="H20" s="191">
        <v>0</v>
      </c>
      <c r="I20" s="191">
        <v>2</v>
      </c>
      <c r="J20" s="191">
        <v>2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9</v>
      </c>
      <c r="Q20" s="191">
        <v>-1</v>
      </c>
      <c r="R20" s="188"/>
      <c r="S20" s="188"/>
      <c r="T20" s="188"/>
      <c r="U20" s="188"/>
      <c r="V20" s="188"/>
      <c r="W20" s="186"/>
      <c r="X20" s="186"/>
    </row>
    <row r="21" spans="1:24" ht="15.75" customHeight="1">
      <c r="A21" s="178">
        <v>2</v>
      </c>
      <c r="B21" s="195">
        <v>22</v>
      </c>
      <c r="C21" s="195" t="s">
        <v>742</v>
      </c>
      <c r="D21" s="196">
        <v>0</v>
      </c>
      <c r="E21" s="195" t="s">
        <v>743</v>
      </c>
      <c r="F21" s="195" t="s">
        <v>731</v>
      </c>
      <c r="G21" s="196" t="s">
        <v>731</v>
      </c>
      <c r="H21" s="195">
        <v>0</v>
      </c>
      <c r="I21" s="195">
        <v>1</v>
      </c>
      <c r="J21" s="195">
        <v>1</v>
      </c>
      <c r="K21" s="195">
        <v>0</v>
      </c>
      <c r="L21" s="195">
        <v>0</v>
      </c>
      <c r="M21" s="195">
        <v>0</v>
      </c>
      <c r="N21" s="195">
        <v>1</v>
      </c>
      <c r="O21" s="195">
        <v>0</v>
      </c>
      <c r="P21" s="195">
        <v>5</v>
      </c>
      <c r="Q21" s="195">
        <v>4</v>
      </c>
      <c r="R21" s="188"/>
      <c r="S21" s="188"/>
      <c r="T21" s="188"/>
      <c r="U21" s="188"/>
      <c r="V21" s="188"/>
      <c r="W21" s="186"/>
      <c r="X21" s="186"/>
    </row>
    <row r="22" spans="1:24" ht="15.75" customHeight="1">
      <c r="A22" s="178">
        <v>3</v>
      </c>
      <c r="B22" s="191" t="s">
        <v>746</v>
      </c>
      <c r="C22" s="191" t="s">
        <v>730</v>
      </c>
      <c r="D22" s="192">
        <v>4</v>
      </c>
      <c r="E22" s="193">
        <v>45691</v>
      </c>
      <c r="F22" s="191" t="s">
        <v>743</v>
      </c>
      <c r="G22" s="192" t="s">
        <v>744</v>
      </c>
      <c r="H22" s="191">
        <v>1</v>
      </c>
      <c r="I22" s="191">
        <v>0</v>
      </c>
      <c r="J22" s="191">
        <v>1</v>
      </c>
      <c r="K22" s="191">
        <v>2</v>
      </c>
      <c r="L22" s="191">
        <v>1</v>
      </c>
      <c r="M22" s="191">
        <v>0</v>
      </c>
      <c r="N22" s="191">
        <v>1</v>
      </c>
      <c r="O22" s="191">
        <v>0</v>
      </c>
      <c r="P22" s="191">
        <v>10</v>
      </c>
      <c r="Q22" s="191">
        <v>6</v>
      </c>
      <c r="R22" s="188"/>
      <c r="S22" s="188"/>
      <c r="T22" s="188"/>
      <c r="U22" s="188"/>
      <c r="V22" s="188"/>
      <c r="W22" s="186"/>
      <c r="X22" s="186"/>
    </row>
    <row r="23" spans="1:24" ht="15.75" customHeight="1">
      <c r="A23" s="178">
        <v>3</v>
      </c>
      <c r="B23" s="191" t="s">
        <v>747</v>
      </c>
      <c r="C23" s="191" t="s">
        <v>732</v>
      </c>
      <c r="D23" s="192">
        <v>2</v>
      </c>
      <c r="E23" s="193">
        <v>45659</v>
      </c>
      <c r="F23" s="191" t="s">
        <v>743</v>
      </c>
      <c r="G23" s="192" t="s">
        <v>731</v>
      </c>
      <c r="H23" s="191">
        <v>0</v>
      </c>
      <c r="I23" s="191">
        <v>1</v>
      </c>
      <c r="J23" s="191">
        <v>1</v>
      </c>
      <c r="K23" s="191">
        <v>1</v>
      </c>
      <c r="L23" s="191">
        <v>0</v>
      </c>
      <c r="M23" s="191">
        <v>0</v>
      </c>
      <c r="N23" s="191">
        <v>0</v>
      </c>
      <c r="O23" s="191">
        <v>0</v>
      </c>
      <c r="P23" s="191">
        <v>10</v>
      </c>
      <c r="Q23" s="191">
        <v>6</v>
      </c>
      <c r="R23" s="188"/>
      <c r="S23" s="188"/>
      <c r="T23" s="188"/>
      <c r="U23" s="188"/>
      <c r="V23" s="188"/>
      <c r="W23" s="186"/>
      <c r="X23" s="186"/>
    </row>
    <row r="24" spans="1:24" ht="15.75" customHeight="1">
      <c r="A24" s="178">
        <v>3</v>
      </c>
      <c r="B24" s="191" t="s">
        <v>748</v>
      </c>
      <c r="C24" s="191" t="s">
        <v>733</v>
      </c>
      <c r="D24" s="192">
        <v>0</v>
      </c>
      <c r="E24" s="191" t="s">
        <v>734</v>
      </c>
      <c r="F24" s="191" t="s">
        <v>744</v>
      </c>
      <c r="G24" s="192" t="s">
        <v>731</v>
      </c>
      <c r="H24" s="191">
        <v>0</v>
      </c>
      <c r="I24" s="191">
        <v>1</v>
      </c>
      <c r="J24" s="191">
        <v>1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6</v>
      </c>
      <c r="Q24" s="191">
        <v>4</v>
      </c>
      <c r="R24" s="188"/>
      <c r="S24" s="188"/>
      <c r="T24" s="188"/>
      <c r="U24" s="188"/>
      <c r="V24" s="188"/>
      <c r="W24" s="186"/>
      <c r="X24" s="186"/>
    </row>
    <row r="25" spans="1:24" ht="15.75" customHeight="1">
      <c r="A25" s="178">
        <v>3</v>
      </c>
      <c r="B25" s="191" t="s">
        <v>749</v>
      </c>
      <c r="C25" s="191" t="s">
        <v>736</v>
      </c>
      <c r="D25" s="192">
        <v>0</v>
      </c>
      <c r="E25" s="191" t="s">
        <v>743</v>
      </c>
      <c r="F25" s="191" t="s">
        <v>731</v>
      </c>
      <c r="G25" s="192" t="s">
        <v>731</v>
      </c>
      <c r="H25" s="191">
        <v>0</v>
      </c>
      <c r="I25" s="191">
        <v>1</v>
      </c>
      <c r="J25" s="191">
        <v>1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6</v>
      </c>
      <c r="Q25" s="191">
        <v>4</v>
      </c>
      <c r="R25" s="188"/>
      <c r="S25" s="188"/>
      <c r="T25" s="188"/>
      <c r="U25" s="188"/>
      <c r="V25" s="188"/>
      <c r="W25" s="186"/>
      <c r="X25" s="186"/>
    </row>
    <row r="26" spans="1:24" ht="15.75" customHeight="1">
      <c r="A26" s="178">
        <v>3</v>
      </c>
      <c r="B26" s="191" t="s">
        <v>750</v>
      </c>
      <c r="C26" s="191" t="s">
        <v>737</v>
      </c>
      <c r="D26" s="192">
        <v>5</v>
      </c>
      <c r="E26" s="193">
        <v>45694</v>
      </c>
      <c r="F26" s="191" t="s">
        <v>731</v>
      </c>
      <c r="G26" s="194">
        <v>45659</v>
      </c>
      <c r="H26" s="191">
        <v>2</v>
      </c>
      <c r="I26" s="191">
        <v>1</v>
      </c>
      <c r="J26" s="191">
        <v>3</v>
      </c>
      <c r="K26" s="191">
        <v>0</v>
      </c>
      <c r="L26" s="191">
        <v>1</v>
      </c>
      <c r="M26" s="191">
        <v>2</v>
      </c>
      <c r="N26" s="191">
        <v>0</v>
      </c>
      <c r="O26" s="191">
        <v>0</v>
      </c>
      <c r="P26" s="191">
        <v>7</v>
      </c>
      <c r="Q26" s="191">
        <v>8</v>
      </c>
      <c r="R26" s="188"/>
      <c r="S26" s="188"/>
      <c r="T26" s="188"/>
      <c r="U26" s="188"/>
      <c r="V26" s="188"/>
      <c r="W26" s="186"/>
      <c r="X26" s="186"/>
    </row>
    <row r="27" spans="1:24" ht="15.75" customHeight="1">
      <c r="A27" s="178">
        <v>3</v>
      </c>
      <c r="B27" s="191">
        <v>5</v>
      </c>
      <c r="C27" s="191" t="s">
        <v>738</v>
      </c>
      <c r="D27" s="192">
        <v>3</v>
      </c>
      <c r="E27" s="193">
        <v>45658</v>
      </c>
      <c r="F27" s="193">
        <v>45658</v>
      </c>
      <c r="G27" s="192" t="s">
        <v>731</v>
      </c>
      <c r="H27" s="191">
        <v>0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1</v>
      </c>
      <c r="O27" s="191">
        <v>1</v>
      </c>
      <c r="P27" s="191">
        <v>4</v>
      </c>
      <c r="Q27" s="191">
        <v>2</v>
      </c>
      <c r="R27" s="188"/>
      <c r="S27" s="188"/>
      <c r="T27" s="188"/>
      <c r="U27" s="188"/>
      <c r="V27" s="188"/>
      <c r="W27" s="186"/>
      <c r="X27" s="186"/>
    </row>
    <row r="28" spans="1:24" ht="15.75" customHeight="1">
      <c r="A28" s="178">
        <v>3</v>
      </c>
      <c r="B28" s="191">
        <v>6</v>
      </c>
      <c r="C28" s="191" t="s">
        <v>751</v>
      </c>
      <c r="D28" s="192">
        <v>0</v>
      </c>
      <c r="E28" s="191" t="s">
        <v>731</v>
      </c>
      <c r="F28" s="191" t="s">
        <v>731</v>
      </c>
      <c r="G28" s="192" t="s">
        <v>731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88"/>
      <c r="S28" s="188"/>
      <c r="T28" s="188"/>
      <c r="U28" s="188"/>
      <c r="V28" s="188"/>
      <c r="W28" s="186"/>
      <c r="X28" s="186"/>
    </row>
    <row r="29" spans="1:24" ht="15.75" customHeight="1">
      <c r="A29" s="178">
        <v>3</v>
      </c>
      <c r="B29" s="191">
        <v>7</v>
      </c>
      <c r="C29" s="191" t="s">
        <v>739</v>
      </c>
      <c r="D29" s="192">
        <v>0</v>
      </c>
      <c r="E29" s="191" t="s">
        <v>731</v>
      </c>
      <c r="F29" s="191" t="s">
        <v>731</v>
      </c>
      <c r="G29" s="192" t="s">
        <v>731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88"/>
      <c r="S29" s="188"/>
      <c r="T29" s="188"/>
      <c r="U29" s="188"/>
      <c r="V29" s="188"/>
      <c r="W29" s="186"/>
      <c r="X29" s="186"/>
    </row>
    <row r="30" spans="1:24" ht="15.75" customHeight="1">
      <c r="A30" s="178">
        <v>3</v>
      </c>
      <c r="B30" s="191">
        <v>21</v>
      </c>
      <c r="C30" s="191" t="s">
        <v>741</v>
      </c>
      <c r="D30" s="192">
        <v>0</v>
      </c>
      <c r="E30" s="191" t="s">
        <v>743</v>
      </c>
      <c r="F30" s="191" t="s">
        <v>731</v>
      </c>
      <c r="G30" s="192" t="s">
        <v>731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4</v>
      </c>
      <c r="Q30" s="191">
        <v>2</v>
      </c>
      <c r="R30" s="188"/>
      <c r="S30" s="188"/>
      <c r="T30" s="188"/>
      <c r="U30" s="188"/>
      <c r="V30" s="188"/>
      <c r="W30" s="186"/>
      <c r="X30" s="186"/>
    </row>
    <row r="31" spans="1:24" ht="15.75" customHeight="1">
      <c r="A31" s="178">
        <v>3</v>
      </c>
      <c r="B31" s="195">
        <v>22</v>
      </c>
      <c r="C31" s="195" t="s">
        <v>742</v>
      </c>
      <c r="D31" s="196">
        <v>0</v>
      </c>
      <c r="E31" s="195" t="s">
        <v>731</v>
      </c>
      <c r="F31" s="195" t="s">
        <v>731</v>
      </c>
      <c r="G31" s="196" t="s">
        <v>731</v>
      </c>
      <c r="H31" s="195">
        <v>0</v>
      </c>
      <c r="I31" s="195">
        <v>0</v>
      </c>
      <c r="J31" s="195">
        <v>0</v>
      </c>
      <c r="K31" s="195">
        <v>0</v>
      </c>
      <c r="L31" s="195">
        <v>1</v>
      </c>
      <c r="M31" s="195">
        <v>0</v>
      </c>
      <c r="N31" s="195">
        <v>0</v>
      </c>
      <c r="O31" s="195">
        <v>0</v>
      </c>
      <c r="P31" s="195">
        <v>3</v>
      </c>
      <c r="Q31" s="195">
        <v>-2</v>
      </c>
      <c r="R31" s="188"/>
      <c r="S31" s="188"/>
      <c r="T31" s="188"/>
      <c r="U31" s="188"/>
      <c r="V31" s="188"/>
      <c r="W31" s="186"/>
      <c r="X31" s="186"/>
    </row>
    <row r="32" spans="1:24" ht="15.75" customHeight="1">
      <c r="A32" s="178">
        <v>4</v>
      </c>
      <c r="B32" s="191" t="s">
        <v>746</v>
      </c>
      <c r="C32" s="191" t="s">
        <v>730</v>
      </c>
      <c r="D32" s="192">
        <v>4</v>
      </c>
      <c r="E32" s="193">
        <v>45690</v>
      </c>
      <c r="F32" s="191" t="s">
        <v>731</v>
      </c>
      <c r="G32" s="192" t="s">
        <v>731</v>
      </c>
      <c r="H32" s="191">
        <v>0</v>
      </c>
      <c r="I32" s="191">
        <v>0</v>
      </c>
      <c r="J32" s="191">
        <v>0</v>
      </c>
      <c r="K32" s="191">
        <v>3</v>
      </c>
      <c r="L32" s="191">
        <v>0</v>
      </c>
      <c r="M32" s="191">
        <v>0</v>
      </c>
      <c r="N32" s="191">
        <v>0</v>
      </c>
      <c r="O32" s="191">
        <v>0</v>
      </c>
      <c r="P32" s="191">
        <v>6</v>
      </c>
      <c r="Q32" s="191">
        <v>14</v>
      </c>
      <c r="R32" s="188"/>
      <c r="S32" s="188"/>
      <c r="T32" s="188"/>
      <c r="U32" s="188"/>
      <c r="V32" s="188"/>
      <c r="W32" s="186"/>
      <c r="X32" s="186"/>
    </row>
    <row r="33" spans="1:24" ht="15.75" customHeight="1">
      <c r="A33" s="178">
        <v>4</v>
      </c>
      <c r="B33" s="191" t="s">
        <v>747</v>
      </c>
      <c r="C33" s="191" t="s">
        <v>732</v>
      </c>
      <c r="D33" s="192">
        <v>6</v>
      </c>
      <c r="E33" s="193">
        <v>45720</v>
      </c>
      <c r="F33" s="191" t="s">
        <v>743</v>
      </c>
      <c r="G33" s="192" t="s">
        <v>731</v>
      </c>
      <c r="H33" s="191">
        <v>0</v>
      </c>
      <c r="I33" s="191">
        <v>0</v>
      </c>
      <c r="J33" s="191">
        <v>0</v>
      </c>
      <c r="K33" s="191">
        <v>1</v>
      </c>
      <c r="L33" s="191">
        <v>0</v>
      </c>
      <c r="M33" s="191">
        <v>0</v>
      </c>
      <c r="N33" s="191">
        <v>0</v>
      </c>
      <c r="O33" s="191">
        <v>1</v>
      </c>
      <c r="P33" s="191">
        <v>10</v>
      </c>
      <c r="Q33" s="191">
        <v>10</v>
      </c>
      <c r="R33" s="188"/>
      <c r="S33" s="188"/>
      <c r="T33" s="188"/>
      <c r="U33" s="188"/>
      <c r="V33" s="188"/>
      <c r="W33" s="186"/>
      <c r="X33" s="186"/>
    </row>
    <row r="34" spans="1:24" ht="15.75" customHeight="1">
      <c r="A34" s="178">
        <v>4</v>
      </c>
      <c r="B34" s="191" t="s">
        <v>748</v>
      </c>
      <c r="C34" s="191" t="s">
        <v>733</v>
      </c>
      <c r="D34" s="192">
        <v>6</v>
      </c>
      <c r="E34" s="193">
        <v>45690</v>
      </c>
      <c r="F34" s="191" t="s">
        <v>731</v>
      </c>
      <c r="G34" s="194">
        <v>45690</v>
      </c>
      <c r="H34" s="191">
        <v>0</v>
      </c>
      <c r="I34" s="191">
        <v>2</v>
      </c>
      <c r="J34" s="191">
        <v>2</v>
      </c>
      <c r="K34" s="191">
        <v>1</v>
      </c>
      <c r="L34" s="191">
        <v>0</v>
      </c>
      <c r="M34" s="191">
        <v>0</v>
      </c>
      <c r="N34" s="191">
        <v>0</v>
      </c>
      <c r="O34" s="191">
        <v>0</v>
      </c>
      <c r="P34" s="191">
        <v>6</v>
      </c>
      <c r="Q34" s="191">
        <v>14</v>
      </c>
      <c r="R34" s="188"/>
      <c r="S34" s="188"/>
      <c r="T34" s="188"/>
      <c r="U34" s="188"/>
      <c r="V34" s="188"/>
      <c r="W34" s="186"/>
      <c r="X34" s="186"/>
    </row>
    <row r="35" spans="1:24" ht="15.75" customHeight="1">
      <c r="A35" s="178">
        <v>4</v>
      </c>
      <c r="B35" s="191" t="s">
        <v>749</v>
      </c>
      <c r="C35" s="191" t="s">
        <v>736</v>
      </c>
      <c r="D35" s="192">
        <v>3</v>
      </c>
      <c r="E35" s="193">
        <v>45658</v>
      </c>
      <c r="F35" s="193">
        <v>45658</v>
      </c>
      <c r="G35" s="192" t="s">
        <v>731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4</v>
      </c>
      <c r="Q35" s="191">
        <v>-4</v>
      </c>
      <c r="R35" s="188"/>
      <c r="S35" s="188"/>
      <c r="T35" s="188"/>
      <c r="U35" s="188"/>
      <c r="V35" s="188"/>
      <c r="W35" s="186"/>
      <c r="X35" s="186"/>
    </row>
    <row r="36" spans="1:24" ht="15.75" customHeight="1">
      <c r="A36" s="178">
        <v>4</v>
      </c>
      <c r="B36" s="191" t="s">
        <v>750</v>
      </c>
      <c r="C36" s="191" t="s">
        <v>737</v>
      </c>
      <c r="D36" s="192">
        <v>5</v>
      </c>
      <c r="E36" s="193">
        <v>45693</v>
      </c>
      <c r="F36" s="191" t="s">
        <v>731</v>
      </c>
      <c r="G36" s="194">
        <v>45658</v>
      </c>
      <c r="H36" s="191">
        <v>1</v>
      </c>
      <c r="I36" s="191">
        <v>2</v>
      </c>
      <c r="J36" s="191">
        <v>3</v>
      </c>
      <c r="K36" s="191">
        <v>0</v>
      </c>
      <c r="L36" s="191">
        <v>0</v>
      </c>
      <c r="M36" s="191">
        <v>0</v>
      </c>
      <c r="N36" s="191">
        <v>1</v>
      </c>
      <c r="O36" s="191">
        <v>0</v>
      </c>
      <c r="P36" s="191">
        <v>8</v>
      </c>
      <c r="Q36" s="191">
        <v>6</v>
      </c>
      <c r="R36" s="188"/>
      <c r="S36" s="188"/>
      <c r="T36" s="188"/>
      <c r="U36" s="188"/>
      <c r="V36" s="188"/>
      <c r="W36" s="186"/>
      <c r="X36" s="186"/>
    </row>
    <row r="37" spans="1:24" ht="15.75" customHeight="1">
      <c r="A37" s="178">
        <v>4</v>
      </c>
      <c r="B37" s="191">
        <v>5</v>
      </c>
      <c r="C37" s="191" t="s">
        <v>738</v>
      </c>
      <c r="D37" s="192">
        <v>3</v>
      </c>
      <c r="E37" s="193">
        <v>45658</v>
      </c>
      <c r="F37" s="193">
        <v>45658</v>
      </c>
      <c r="G37" s="192" t="s">
        <v>731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1</v>
      </c>
      <c r="P37" s="191">
        <v>10</v>
      </c>
      <c r="Q37" s="191">
        <v>10</v>
      </c>
      <c r="R37" s="188"/>
      <c r="S37" s="188"/>
      <c r="T37" s="188"/>
      <c r="U37" s="188"/>
      <c r="V37" s="188"/>
      <c r="W37" s="186"/>
      <c r="X37" s="186"/>
    </row>
    <row r="38" spans="1:24" ht="15.75" customHeight="1">
      <c r="A38" s="178">
        <v>4</v>
      </c>
      <c r="B38" s="191">
        <v>6</v>
      </c>
      <c r="C38" s="191" t="s">
        <v>751</v>
      </c>
      <c r="D38" s="192">
        <v>0</v>
      </c>
      <c r="E38" s="191" t="s">
        <v>731</v>
      </c>
      <c r="F38" s="191" t="s">
        <v>731</v>
      </c>
      <c r="G38" s="192" t="s">
        <v>731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</row>
    <row r="39" spans="1:24" ht="15.75" customHeight="1">
      <c r="A39" s="178">
        <v>4</v>
      </c>
      <c r="B39" s="191">
        <v>7</v>
      </c>
      <c r="C39" s="191" t="s">
        <v>739</v>
      </c>
      <c r="D39" s="192">
        <v>2</v>
      </c>
      <c r="E39" s="193">
        <v>45659</v>
      </c>
      <c r="F39" s="191" t="s">
        <v>731</v>
      </c>
      <c r="G39" s="192" t="s">
        <v>731</v>
      </c>
      <c r="H39" s="191">
        <v>1</v>
      </c>
      <c r="I39" s="191">
        <v>1</v>
      </c>
      <c r="J39" s="191">
        <v>2</v>
      </c>
      <c r="K39" s="191">
        <v>0</v>
      </c>
      <c r="L39" s="191">
        <v>1</v>
      </c>
      <c r="M39" s="191">
        <v>0</v>
      </c>
      <c r="N39" s="191">
        <v>0</v>
      </c>
      <c r="O39" s="191">
        <v>0</v>
      </c>
      <c r="P39" s="191">
        <v>2</v>
      </c>
      <c r="Q39" s="191">
        <v>4</v>
      </c>
    </row>
    <row r="40" spans="1:24" ht="15.75" customHeight="1">
      <c r="A40" s="178">
        <v>4</v>
      </c>
      <c r="B40" s="191">
        <v>21</v>
      </c>
      <c r="C40" s="191" t="s">
        <v>741</v>
      </c>
      <c r="D40" s="192">
        <v>0</v>
      </c>
      <c r="E40" s="191" t="s">
        <v>735</v>
      </c>
      <c r="F40" s="191" t="s">
        <v>743</v>
      </c>
      <c r="G40" s="192" t="s">
        <v>731</v>
      </c>
      <c r="H40" s="191">
        <v>1</v>
      </c>
      <c r="I40" s="191">
        <v>1</v>
      </c>
      <c r="J40" s="191">
        <v>2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4</v>
      </c>
      <c r="Q40" s="191">
        <v>-4</v>
      </c>
    </row>
    <row r="41" spans="1:24" ht="15.75" customHeight="1">
      <c r="A41" s="178">
        <v>4</v>
      </c>
      <c r="B41" s="195">
        <v>22</v>
      </c>
      <c r="C41" s="195" t="s">
        <v>742</v>
      </c>
      <c r="D41" s="196">
        <v>0</v>
      </c>
      <c r="E41" s="195" t="s">
        <v>731</v>
      </c>
      <c r="F41" s="195" t="s">
        <v>731</v>
      </c>
      <c r="G41" s="196" t="s">
        <v>731</v>
      </c>
      <c r="H41" s="195">
        <v>0</v>
      </c>
      <c r="I41" s="195">
        <v>0</v>
      </c>
      <c r="J41" s="195">
        <v>0</v>
      </c>
      <c r="K41" s="195">
        <v>0</v>
      </c>
      <c r="L41" s="195">
        <v>0</v>
      </c>
      <c r="M41" s="195">
        <v>0</v>
      </c>
      <c r="N41" s="195">
        <v>0</v>
      </c>
      <c r="O41" s="195">
        <v>0</v>
      </c>
      <c r="P41" s="195">
        <v>0</v>
      </c>
      <c r="Q41" s="195">
        <v>0</v>
      </c>
    </row>
    <row r="42" spans="1:24" ht="15.75" customHeight="1">
      <c r="A42" s="91"/>
      <c r="E42" s="187"/>
      <c r="F42" s="187"/>
      <c r="G42" s="187"/>
    </row>
    <row r="43" spans="1:24" ht="15.75" customHeight="1">
      <c r="A43" s="91"/>
      <c r="E43" s="187"/>
      <c r="F43" s="187"/>
      <c r="G43" s="187"/>
    </row>
    <row r="44" spans="1:24" ht="15.75" customHeight="1">
      <c r="A44" s="91"/>
      <c r="E44" s="187"/>
      <c r="F44" s="187"/>
      <c r="G44" s="187"/>
    </row>
    <row r="45" spans="1:24" ht="15.75" customHeight="1">
      <c r="A45" s="91"/>
      <c r="E45" s="187"/>
      <c r="F45" s="187"/>
      <c r="G45" s="187"/>
    </row>
    <row r="46" spans="1:24" ht="15.75" customHeight="1">
      <c r="A46" s="91"/>
      <c r="E46" s="187"/>
      <c r="F46" s="187"/>
      <c r="G46" s="187"/>
    </row>
    <row r="47" spans="1:24" ht="15.75" customHeight="1">
      <c r="A47" s="91"/>
      <c r="E47" s="187"/>
      <c r="F47" s="187"/>
      <c r="G47" s="187"/>
    </row>
    <row r="48" spans="1:24" ht="15.75" customHeight="1">
      <c r="A48" s="91"/>
      <c r="E48" s="187"/>
      <c r="F48" s="187"/>
      <c r="G48" s="187"/>
    </row>
    <row r="49" spans="1:7" ht="15.75" customHeight="1">
      <c r="A49" s="91"/>
      <c r="E49" s="187"/>
      <c r="F49" s="187"/>
      <c r="G49" s="187"/>
    </row>
    <row r="50" spans="1:7" ht="15.75" customHeight="1">
      <c r="A50" s="91"/>
      <c r="E50" s="187"/>
      <c r="F50" s="187"/>
      <c r="G50" s="187"/>
    </row>
    <row r="51" spans="1:7" ht="15.75" customHeight="1">
      <c r="A51" s="91"/>
      <c r="E51" s="187"/>
      <c r="F51" s="187"/>
      <c r="G51" s="187"/>
    </row>
    <row r="52" spans="1:7" ht="15.75" customHeight="1">
      <c r="A52" s="91"/>
      <c r="E52" s="187"/>
      <c r="F52" s="187"/>
      <c r="G52" s="187"/>
    </row>
    <row r="53" spans="1:7" ht="13">
      <c r="A53" s="91"/>
    </row>
    <row r="54" spans="1:7" ht="13">
      <c r="A54" s="91"/>
    </row>
    <row r="55" spans="1:7" ht="13">
      <c r="A55" s="91"/>
    </row>
    <row r="56" spans="1:7" ht="13">
      <c r="A56" s="91"/>
    </row>
    <row r="57" spans="1:7" ht="13">
      <c r="A57" s="91"/>
    </row>
    <row r="58" spans="1:7" ht="13">
      <c r="A58" s="91"/>
    </row>
    <row r="59" spans="1:7" ht="13">
      <c r="A59" s="91"/>
    </row>
    <row r="60" spans="1:7" ht="13">
      <c r="A60" s="91"/>
    </row>
    <row r="61" spans="1:7" ht="13">
      <c r="A61" s="91"/>
    </row>
    <row r="62" spans="1:7" ht="13">
      <c r="A62" s="91"/>
    </row>
    <row r="63" spans="1:7" ht="13">
      <c r="A63" s="91"/>
    </row>
    <row r="64" spans="1:7" ht="13">
      <c r="A64" s="91"/>
    </row>
    <row r="65" spans="1:1" ht="13">
      <c r="A65" s="91"/>
    </row>
    <row r="66" spans="1:1" ht="13">
      <c r="A66" s="91"/>
    </row>
    <row r="67" spans="1:1" ht="13">
      <c r="A67" s="91"/>
    </row>
    <row r="68" spans="1:1" ht="13">
      <c r="A68" s="91"/>
    </row>
    <row r="69" spans="1:1" ht="13">
      <c r="A69" s="91"/>
    </row>
    <row r="70" spans="1:1" ht="13">
      <c r="A70" s="91"/>
    </row>
    <row r="71" spans="1:1" ht="13">
      <c r="A71" s="91"/>
    </row>
    <row r="72" spans="1:1" ht="13">
      <c r="A72" s="91"/>
    </row>
    <row r="73" spans="1:1" ht="13">
      <c r="A73" s="91"/>
    </row>
    <row r="74" spans="1:1" ht="13">
      <c r="A74" s="91"/>
    </row>
    <row r="75" spans="1:1" ht="13">
      <c r="A75" s="91"/>
    </row>
    <row r="76" spans="1:1" ht="13">
      <c r="A76" s="91"/>
    </row>
    <row r="77" spans="1:1" ht="13">
      <c r="A77" s="91"/>
    </row>
    <row r="78" spans="1:1" ht="13">
      <c r="A78" s="91"/>
    </row>
    <row r="79" spans="1:1" ht="13">
      <c r="A79" s="91"/>
    </row>
    <row r="80" spans="1:1" ht="13">
      <c r="A80" s="91"/>
    </row>
    <row r="81" spans="1:1" ht="13">
      <c r="A81" s="91"/>
    </row>
    <row r="82" spans="1:1" ht="13">
      <c r="A82" s="91"/>
    </row>
    <row r="83" spans="1:1" ht="13">
      <c r="A83" s="91"/>
    </row>
    <row r="84" spans="1:1" ht="13">
      <c r="A84" s="91"/>
    </row>
    <row r="85" spans="1:1" ht="13">
      <c r="A85" s="91"/>
    </row>
    <row r="86" spans="1:1" ht="13">
      <c r="A86" s="91"/>
    </row>
    <row r="87" spans="1:1" ht="13">
      <c r="A87" s="91"/>
    </row>
    <row r="88" spans="1:1" ht="13">
      <c r="A88" s="91"/>
    </row>
    <row r="89" spans="1:1" ht="13">
      <c r="A89" s="91"/>
    </row>
    <row r="90" spans="1:1" ht="13">
      <c r="A90" s="91"/>
    </row>
    <row r="91" spans="1:1" ht="13">
      <c r="A91" s="91"/>
    </row>
    <row r="92" spans="1:1" ht="13">
      <c r="A92" s="91"/>
    </row>
    <row r="93" spans="1:1" ht="13">
      <c r="A93" s="91"/>
    </row>
    <row r="94" spans="1:1" ht="13">
      <c r="A94" s="91"/>
    </row>
    <row r="95" spans="1:1" ht="13">
      <c r="A95" s="91"/>
    </row>
    <row r="96" spans="1:1" ht="13">
      <c r="A96" s="91"/>
    </row>
    <row r="97" spans="1:1" ht="13">
      <c r="A97" s="91"/>
    </row>
    <row r="98" spans="1:1" ht="13">
      <c r="A98" s="91"/>
    </row>
    <row r="99" spans="1:1" ht="13">
      <c r="A99" s="91"/>
    </row>
    <row r="100" spans="1:1" ht="13">
      <c r="A100" s="91"/>
    </row>
    <row r="101" spans="1:1" ht="13">
      <c r="A101" s="91"/>
    </row>
    <row r="102" spans="1:1" ht="13">
      <c r="A102" s="91"/>
    </row>
    <row r="103" spans="1:1" ht="13">
      <c r="A103" s="91"/>
    </row>
    <row r="104" spans="1:1" ht="13">
      <c r="A104" s="91"/>
    </row>
    <row r="105" spans="1:1" ht="13">
      <c r="A105" s="91"/>
    </row>
    <row r="106" spans="1:1" ht="13">
      <c r="A106" s="91"/>
    </row>
    <row r="107" spans="1:1" ht="13">
      <c r="A107" s="91"/>
    </row>
    <row r="108" spans="1:1" ht="13">
      <c r="A108" s="91"/>
    </row>
    <row r="109" spans="1:1" ht="13">
      <c r="A109" s="91"/>
    </row>
    <row r="110" spans="1:1" ht="13">
      <c r="A110" s="91"/>
    </row>
    <row r="111" spans="1:1" ht="13">
      <c r="A111" s="91"/>
    </row>
    <row r="112" spans="1:1" ht="13">
      <c r="A112" s="91"/>
    </row>
    <row r="113" spans="1:1" ht="13">
      <c r="A113" s="91"/>
    </row>
    <row r="114" spans="1:1" ht="13">
      <c r="A114" s="91"/>
    </row>
    <row r="115" spans="1:1" ht="13">
      <c r="A115" s="91"/>
    </row>
    <row r="116" spans="1:1" ht="13">
      <c r="A116" s="91"/>
    </row>
    <row r="117" spans="1:1" ht="13">
      <c r="A117" s="91"/>
    </row>
    <row r="118" spans="1:1" ht="13">
      <c r="A118" s="91"/>
    </row>
    <row r="119" spans="1:1" ht="13">
      <c r="A119" s="91"/>
    </row>
    <row r="120" spans="1:1" ht="13">
      <c r="A120" s="91"/>
    </row>
    <row r="121" spans="1:1" ht="13">
      <c r="A121" s="91"/>
    </row>
    <row r="122" spans="1:1" ht="13">
      <c r="A122" s="91"/>
    </row>
    <row r="123" spans="1:1" ht="13">
      <c r="A123" s="91"/>
    </row>
    <row r="124" spans="1:1" ht="13">
      <c r="A124" s="91"/>
    </row>
    <row r="125" spans="1:1" ht="13">
      <c r="A125" s="91"/>
    </row>
    <row r="126" spans="1:1" ht="13">
      <c r="A126" s="91"/>
    </row>
    <row r="127" spans="1:1" ht="13">
      <c r="A127" s="91"/>
    </row>
    <row r="128" spans="1:1" ht="13">
      <c r="A128" s="91"/>
    </row>
    <row r="129" spans="1:1" ht="13">
      <c r="A129" s="91"/>
    </row>
    <row r="130" spans="1:1" ht="13">
      <c r="A130" s="91"/>
    </row>
    <row r="131" spans="1:1" ht="13">
      <c r="A131" s="91"/>
    </row>
    <row r="132" spans="1:1" ht="13">
      <c r="A132" s="91"/>
    </row>
    <row r="133" spans="1:1" ht="13">
      <c r="A133" s="91"/>
    </row>
    <row r="134" spans="1:1" ht="13">
      <c r="A134" s="91"/>
    </row>
    <row r="135" spans="1:1" ht="13">
      <c r="A135" s="91"/>
    </row>
    <row r="136" spans="1:1" ht="13">
      <c r="A136" s="91"/>
    </row>
    <row r="137" spans="1:1" ht="13">
      <c r="A137" s="91"/>
    </row>
    <row r="138" spans="1:1" ht="13">
      <c r="A138" s="91"/>
    </row>
    <row r="139" spans="1:1" ht="13">
      <c r="A139" s="91"/>
    </row>
    <row r="140" spans="1:1" ht="13">
      <c r="A140" s="91"/>
    </row>
    <row r="141" spans="1:1" ht="13">
      <c r="A141" s="91"/>
    </row>
    <row r="142" spans="1:1" ht="13">
      <c r="A142" s="91"/>
    </row>
    <row r="143" spans="1:1" ht="13">
      <c r="A143" s="91"/>
    </row>
    <row r="144" spans="1:1" ht="13">
      <c r="A144" s="91"/>
    </row>
    <row r="145" spans="1:1" ht="13">
      <c r="A145" s="91"/>
    </row>
    <row r="146" spans="1:1" ht="13">
      <c r="A146" s="91"/>
    </row>
    <row r="147" spans="1:1" ht="13">
      <c r="A147" s="91"/>
    </row>
    <row r="148" spans="1:1" ht="13">
      <c r="A148" s="91"/>
    </row>
    <row r="149" spans="1:1" ht="13">
      <c r="A149" s="91"/>
    </row>
    <row r="150" spans="1:1" ht="13">
      <c r="A150" s="91"/>
    </row>
    <row r="151" spans="1:1" ht="13">
      <c r="A151" s="91"/>
    </row>
    <row r="152" spans="1:1" ht="13">
      <c r="A152" s="91"/>
    </row>
    <row r="153" spans="1:1" ht="13">
      <c r="A153" s="91"/>
    </row>
    <row r="154" spans="1:1" ht="13">
      <c r="A154" s="91"/>
    </row>
    <row r="155" spans="1:1" ht="13">
      <c r="A155" s="91"/>
    </row>
    <row r="156" spans="1:1" ht="13">
      <c r="A156" s="91"/>
    </row>
    <row r="157" spans="1:1" ht="13">
      <c r="A157" s="91"/>
    </row>
    <row r="158" spans="1:1" ht="13">
      <c r="A158" s="91"/>
    </row>
    <row r="159" spans="1:1" ht="13">
      <c r="A159" s="91"/>
    </row>
    <row r="160" spans="1:1" ht="13">
      <c r="A160" s="91"/>
    </row>
    <row r="161" spans="1:1" ht="13">
      <c r="A161" s="91"/>
    </row>
    <row r="162" spans="1:1" ht="13">
      <c r="A162" s="91"/>
    </row>
    <row r="163" spans="1:1" ht="13">
      <c r="A163" s="91"/>
    </row>
    <row r="164" spans="1:1" ht="13">
      <c r="A164" s="91"/>
    </row>
    <row r="165" spans="1:1" ht="13">
      <c r="A165" s="91"/>
    </row>
    <row r="166" spans="1:1" ht="13">
      <c r="A166" s="91"/>
    </row>
    <row r="167" spans="1:1" ht="13">
      <c r="A167" s="91"/>
    </row>
    <row r="168" spans="1:1" ht="13">
      <c r="A168" s="91"/>
    </row>
    <row r="169" spans="1:1" ht="13">
      <c r="A169" s="91"/>
    </row>
    <row r="170" spans="1:1" ht="13">
      <c r="A170" s="91"/>
    </row>
    <row r="171" spans="1:1" ht="13">
      <c r="A171" s="91"/>
    </row>
    <row r="172" spans="1:1" ht="13">
      <c r="A172" s="91"/>
    </row>
    <row r="173" spans="1:1" ht="13">
      <c r="A173" s="91"/>
    </row>
    <row r="174" spans="1:1" ht="13">
      <c r="A174" s="91"/>
    </row>
    <row r="175" spans="1:1" ht="13">
      <c r="A175" s="91"/>
    </row>
    <row r="176" spans="1:1" ht="13">
      <c r="A176" s="91"/>
    </row>
    <row r="177" spans="1:1" ht="13">
      <c r="A177" s="91"/>
    </row>
    <row r="178" spans="1:1" ht="13">
      <c r="A178" s="91"/>
    </row>
    <row r="179" spans="1:1" ht="13">
      <c r="A179" s="91"/>
    </row>
    <row r="180" spans="1:1" ht="13">
      <c r="A180" s="91"/>
    </row>
    <row r="181" spans="1:1" ht="13">
      <c r="A181" s="91"/>
    </row>
    <row r="182" spans="1:1" ht="13">
      <c r="A182" s="91"/>
    </row>
    <row r="183" spans="1:1" ht="13">
      <c r="A183" s="91"/>
    </row>
    <row r="184" spans="1:1" ht="13">
      <c r="A184" s="91"/>
    </row>
    <row r="185" spans="1:1" ht="13">
      <c r="A185" s="91"/>
    </row>
    <row r="186" spans="1:1" ht="13">
      <c r="A186" s="91"/>
    </row>
    <row r="187" spans="1:1" ht="13">
      <c r="A187" s="91"/>
    </row>
    <row r="188" spans="1:1" ht="13">
      <c r="A188" s="91"/>
    </row>
    <row r="189" spans="1:1" ht="13">
      <c r="A189" s="91"/>
    </row>
    <row r="190" spans="1:1" ht="13">
      <c r="A190" s="91"/>
    </row>
    <row r="191" spans="1:1" ht="13">
      <c r="A191" s="91"/>
    </row>
    <row r="192" spans="1:1" ht="13">
      <c r="A192" s="91"/>
    </row>
    <row r="193" spans="1:1" ht="13">
      <c r="A193" s="91"/>
    </row>
    <row r="194" spans="1:1" ht="13">
      <c r="A194" s="91"/>
    </row>
    <row r="195" spans="1:1" ht="13">
      <c r="A195" s="91"/>
    </row>
    <row r="196" spans="1:1" ht="13">
      <c r="A196" s="91"/>
    </row>
    <row r="197" spans="1:1" ht="13">
      <c r="A197" s="91"/>
    </row>
    <row r="198" spans="1:1" ht="13">
      <c r="A198" s="91"/>
    </row>
    <row r="199" spans="1:1" ht="13">
      <c r="A199" s="91"/>
    </row>
    <row r="200" spans="1:1" ht="13">
      <c r="A200" s="91"/>
    </row>
    <row r="201" spans="1:1" ht="13">
      <c r="A201" s="91"/>
    </row>
    <row r="202" spans="1:1" ht="13">
      <c r="A202" s="91"/>
    </row>
    <row r="203" spans="1:1" ht="13">
      <c r="A203" s="91"/>
    </row>
    <row r="204" spans="1:1" ht="13">
      <c r="A204" s="91"/>
    </row>
    <row r="205" spans="1:1" ht="13">
      <c r="A205" s="91"/>
    </row>
    <row r="206" spans="1:1" ht="13">
      <c r="A206" s="91"/>
    </row>
    <row r="207" spans="1:1" ht="13">
      <c r="A207" s="91"/>
    </row>
    <row r="208" spans="1:1" ht="13">
      <c r="A208" s="91"/>
    </row>
    <row r="209" spans="1:1" ht="13">
      <c r="A209" s="91"/>
    </row>
    <row r="210" spans="1:1" ht="13">
      <c r="A210" s="91"/>
    </row>
    <row r="211" spans="1:1" ht="13">
      <c r="A211" s="91"/>
    </row>
    <row r="212" spans="1:1" ht="13">
      <c r="A212" s="91"/>
    </row>
    <row r="213" spans="1:1" ht="13">
      <c r="A213" s="91"/>
    </row>
    <row r="214" spans="1:1" ht="13">
      <c r="A214" s="91"/>
    </row>
    <row r="215" spans="1:1" ht="13">
      <c r="A215" s="91"/>
    </row>
    <row r="216" spans="1:1" ht="13">
      <c r="A216" s="91"/>
    </row>
    <row r="217" spans="1:1" ht="13">
      <c r="A217" s="91"/>
    </row>
    <row r="218" spans="1:1" ht="13">
      <c r="A218" s="91"/>
    </row>
    <row r="219" spans="1:1" ht="13">
      <c r="A219" s="91"/>
    </row>
    <row r="220" spans="1:1" ht="13">
      <c r="A220" s="91"/>
    </row>
    <row r="221" spans="1:1" ht="13">
      <c r="A221" s="91"/>
    </row>
    <row r="222" spans="1:1" ht="13">
      <c r="A222" s="91"/>
    </row>
    <row r="223" spans="1:1" ht="13">
      <c r="A223" s="91"/>
    </row>
    <row r="224" spans="1:1" ht="13">
      <c r="A224" s="91"/>
    </row>
    <row r="225" spans="1:1" ht="13">
      <c r="A225" s="91"/>
    </row>
    <row r="226" spans="1:1" ht="13">
      <c r="A226" s="91"/>
    </row>
    <row r="227" spans="1:1" ht="13">
      <c r="A227" s="91"/>
    </row>
    <row r="228" spans="1:1" ht="13">
      <c r="A228" s="91"/>
    </row>
    <row r="229" spans="1:1" ht="13">
      <c r="A229" s="91"/>
    </row>
    <row r="230" spans="1:1" ht="13">
      <c r="A230" s="91"/>
    </row>
    <row r="231" spans="1:1" ht="13">
      <c r="A231" s="91"/>
    </row>
    <row r="232" spans="1:1" ht="13">
      <c r="A232" s="91"/>
    </row>
    <row r="233" spans="1:1" ht="13">
      <c r="A233" s="91"/>
    </row>
    <row r="234" spans="1:1" ht="13">
      <c r="A234" s="91"/>
    </row>
    <row r="235" spans="1:1" ht="13">
      <c r="A235" s="91"/>
    </row>
    <row r="236" spans="1:1" ht="13">
      <c r="A236" s="91"/>
    </row>
    <row r="237" spans="1:1" ht="13">
      <c r="A237" s="91"/>
    </row>
    <row r="238" spans="1:1" ht="13">
      <c r="A238" s="91"/>
    </row>
    <row r="239" spans="1:1" ht="13">
      <c r="A239" s="91"/>
    </row>
    <row r="240" spans="1:1" ht="13">
      <c r="A240" s="91"/>
    </row>
    <row r="241" spans="1:1" ht="13">
      <c r="A241" s="91"/>
    </row>
    <row r="242" spans="1:1" ht="13">
      <c r="A242" s="91"/>
    </row>
    <row r="243" spans="1:1" ht="13">
      <c r="A243" s="91"/>
    </row>
    <row r="244" spans="1:1" ht="13">
      <c r="A244" s="91"/>
    </row>
    <row r="245" spans="1:1" ht="13">
      <c r="A245" s="91"/>
    </row>
    <row r="246" spans="1:1" ht="13">
      <c r="A246" s="91"/>
    </row>
    <row r="247" spans="1:1" ht="13">
      <c r="A247" s="91"/>
    </row>
    <row r="248" spans="1:1" ht="13">
      <c r="A248" s="91"/>
    </row>
    <row r="249" spans="1:1" ht="13">
      <c r="A249" s="91"/>
    </row>
    <row r="250" spans="1:1" ht="13">
      <c r="A250" s="91"/>
    </row>
    <row r="251" spans="1:1" ht="13">
      <c r="A251" s="91"/>
    </row>
    <row r="252" spans="1:1" ht="13">
      <c r="A252" s="91"/>
    </row>
    <row r="253" spans="1:1" ht="13">
      <c r="A253" s="91"/>
    </row>
    <row r="254" spans="1:1" ht="13">
      <c r="A254" s="91"/>
    </row>
    <row r="255" spans="1:1" ht="13">
      <c r="A255" s="91"/>
    </row>
    <row r="256" spans="1:1" ht="13">
      <c r="A256" s="91"/>
    </row>
    <row r="257" spans="1:1" ht="13">
      <c r="A257" s="91"/>
    </row>
    <row r="258" spans="1:1" ht="13">
      <c r="A258" s="91"/>
    </row>
    <row r="259" spans="1:1" ht="13">
      <c r="A259" s="91"/>
    </row>
    <row r="260" spans="1:1" ht="13">
      <c r="A260" s="91"/>
    </row>
    <row r="261" spans="1:1" ht="13">
      <c r="A261" s="91"/>
    </row>
    <row r="262" spans="1:1" ht="13">
      <c r="A262" s="91"/>
    </row>
    <row r="263" spans="1:1" ht="13">
      <c r="A263" s="91"/>
    </row>
    <row r="264" spans="1:1" ht="13">
      <c r="A264" s="91"/>
    </row>
    <row r="265" spans="1:1" ht="13">
      <c r="A265" s="91"/>
    </row>
    <row r="266" spans="1:1" ht="13">
      <c r="A266" s="91"/>
    </row>
    <row r="267" spans="1:1" ht="13">
      <c r="A267" s="91"/>
    </row>
    <row r="268" spans="1:1" ht="13">
      <c r="A268" s="91"/>
    </row>
    <row r="269" spans="1:1" ht="13">
      <c r="A269" s="91"/>
    </row>
    <row r="270" spans="1:1" ht="13">
      <c r="A270" s="91"/>
    </row>
    <row r="271" spans="1:1" ht="13">
      <c r="A271" s="91"/>
    </row>
    <row r="272" spans="1:1" ht="13">
      <c r="A272" s="91"/>
    </row>
    <row r="273" spans="1:1" ht="13">
      <c r="A273" s="91"/>
    </row>
    <row r="274" spans="1:1" ht="13">
      <c r="A274" s="91"/>
    </row>
    <row r="275" spans="1:1" ht="13">
      <c r="A275" s="91"/>
    </row>
    <row r="276" spans="1:1" ht="13">
      <c r="A276" s="91"/>
    </row>
    <row r="277" spans="1:1" ht="13">
      <c r="A277" s="91"/>
    </row>
    <row r="278" spans="1:1" ht="13">
      <c r="A278" s="91"/>
    </row>
    <row r="279" spans="1:1" ht="13">
      <c r="A279" s="91"/>
    </row>
    <row r="280" spans="1:1" ht="13">
      <c r="A280" s="91"/>
    </row>
    <row r="281" spans="1:1" ht="13">
      <c r="A281" s="91"/>
    </row>
    <row r="282" spans="1:1" ht="13">
      <c r="A282" s="91"/>
    </row>
    <row r="283" spans="1:1" ht="13">
      <c r="A283" s="91"/>
    </row>
    <row r="284" spans="1:1" ht="13">
      <c r="A284" s="91"/>
    </row>
    <row r="285" spans="1:1" ht="13">
      <c r="A285" s="91"/>
    </row>
    <row r="286" spans="1:1" ht="13">
      <c r="A286" s="91"/>
    </row>
    <row r="287" spans="1:1" ht="13">
      <c r="A287" s="91"/>
    </row>
    <row r="288" spans="1:1" ht="13">
      <c r="A288" s="91"/>
    </row>
    <row r="289" spans="1:1" ht="13">
      <c r="A289" s="91"/>
    </row>
    <row r="290" spans="1:1" ht="13">
      <c r="A290" s="91"/>
    </row>
    <row r="291" spans="1:1" ht="13">
      <c r="A291" s="91"/>
    </row>
    <row r="292" spans="1:1" ht="13">
      <c r="A292" s="91"/>
    </row>
    <row r="293" spans="1:1" ht="13">
      <c r="A293" s="91"/>
    </row>
    <row r="294" spans="1:1" ht="13">
      <c r="A294" s="91"/>
    </row>
    <row r="295" spans="1:1" ht="13">
      <c r="A295" s="91"/>
    </row>
    <row r="296" spans="1:1" ht="13">
      <c r="A296" s="91"/>
    </row>
    <row r="297" spans="1:1" ht="13">
      <c r="A297" s="91"/>
    </row>
    <row r="298" spans="1:1" ht="13">
      <c r="A298" s="91"/>
    </row>
    <row r="299" spans="1:1" ht="13">
      <c r="A299" s="91"/>
    </row>
    <row r="300" spans="1:1" ht="13">
      <c r="A300" s="91"/>
    </row>
    <row r="301" spans="1:1" ht="13">
      <c r="A301" s="91"/>
    </row>
    <row r="302" spans="1:1" ht="13">
      <c r="A302" s="91"/>
    </row>
    <row r="303" spans="1:1" ht="13">
      <c r="A303" s="91"/>
    </row>
    <row r="304" spans="1:1" ht="13">
      <c r="A304" s="91"/>
    </row>
    <row r="305" spans="1:1" ht="13">
      <c r="A305" s="91"/>
    </row>
    <row r="306" spans="1:1" ht="13">
      <c r="A306" s="91"/>
    </row>
    <row r="307" spans="1:1" ht="13">
      <c r="A307" s="91"/>
    </row>
    <row r="308" spans="1:1" ht="13">
      <c r="A308" s="91"/>
    </row>
    <row r="309" spans="1:1" ht="13">
      <c r="A309" s="91"/>
    </row>
    <row r="310" spans="1:1" ht="13">
      <c r="A310" s="91"/>
    </row>
    <row r="311" spans="1:1" ht="13">
      <c r="A311" s="91"/>
    </row>
    <row r="312" spans="1:1" ht="13">
      <c r="A312" s="91"/>
    </row>
    <row r="313" spans="1:1" ht="13">
      <c r="A313" s="91"/>
    </row>
    <row r="314" spans="1:1" ht="13">
      <c r="A314" s="91"/>
    </row>
    <row r="315" spans="1:1" ht="13">
      <c r="A315" s="91"/>
    </row>
    <row r="316" spans="1:1" ht="13">
      <c r="A316" s="91"/>
    </row>
    <row r="317" spans="1:1" ht="13">
      <c r="A317" s="91"/>
    </row>
    <row r="318" spans="1:1" ht="13">
      <c r="A318" s="91"/>
    </row>
    <row r="319" spans="1:1" ht="13">
      <c r="A319" s="91"/>
    </row>
    <row r="320" spans="1:1" ht="13">
      <c r="A320" s="91"/>
    </row>
    <row r="321" spans="1:1" ht="13">
      <c r="A321" s="91"/>
    </row>
    <row r="322" spans="1:1" ht="13">
      <c r="A322" s="91"/>
    </row>
    <row r="323" spans="1:1" ht="13">
      <c r="A323" s="91"/>
    </row>
    <row r="324" spans="1:1" ht="13">
      <c r="A324" s="91"/>
    </row>
    <row r="325" spans="1:1" ht="13">
      <c r="A325" s="91"/>
    </row>
    <row r="326" spans="1:1" ht="13">
      <c r="A326" s="91"/>
    </row>
    <row r="327" spans="1:1" ht="13">
      <c r="A327" s="91"/>
    </row>
    <row r="328" spans="1:1" ht="13">
      <c r="A328" s="91"/>
    </row>
    <row r="329" spans="1:1" ht="13">
      <c r="A329" s="91"/>
    </row>
    <row r="330" spans="1:1" ht="13">
      <c r="A330" s="91"/>
    </row>
    <row r="331" spans="1:1" ht="13">
      <c r="A331" s="91"/>
    </row>
    <row r="332" spans="1:1" ht="13">
      <c r="A332" s="91"/>
    </row>
    <row r="333" spans="1:1" ht="13">
      <c r="A333" s="91"/>
    </row>
    <row r="334" spans="1:1" ht="13">
      <c r="A334" s="91"/>
    </row>
    <row r="335" spans="1:1" ht="13">
      <c r="A335" s="91"/>
    </row>
    <row r="336" spans="1:1" ht="13">
      <c r="A336" s="91"/>
    </row>
    <row r="337" spans="1:1" ht="13">
      <c r="A337" s="91"/>
    </row>
    <row r="338" spans="1:1" ht="13">
      <c r="A338" s="91"/>
    </row>
    <row r="339" spans="1:1" ht="13">
      <c r="A339" s="91"/>
    </row>
    <row r="340" spans="1:1" ht="13">
      <c r="A340" s="91"/>
    </row>
    <row r="341" spans="1:1" ht="13">
      <c r="A341" s="91"/>
    </row>
    <row r="342" spans="1:1" ht="13">
      <c r="A342" s="91"/>
    </row>
    <row r="343" spans="1:1" ht="13">
      <c r="A343" s="91"/>
    </row>
    <row r="344" spans="1:1" ht="13">
      <c r="A344" s="91"/>
    </row>
    <row r="345" spans="1:1" ht="13">
      <c r="A345" s="91"/>
    </row>
    <row r="346" spans="1:1" ht="13">
      <c r="A346" s="91"/>
    </row>
    <row r="347" spans="1:1" ht="13">
      <c r="A347" s="91"/>
    </row>
    <row r="348" spans="1:1" ht="13">
      <c r="A348" s="91"/>
    </row>
    <row r="349" spans="1:1" ht="13">
      <c r="A349" s="91"/>
    </row>
    <row r="350" spans="1:1" ht="13">
      <c r="A350" s="91"/>
    </row>
    <row r="351" spans="1:1" ht="13">
      <c r="A351" s="91"/>
    </row>
    <row r="352" spans="1:1" ht="13">
      <c r="A352" s="91"/>
    </row>
    <row r="353" spans="1:1" ht="13">
      <c r="A353" s="91"/>
    </row>
    <row r="354" spans="1:1" ht="13">
      <c r="A354" s="91"/>
    </row>
    <row r="355" spans="1:1" ht="13">
      <c r="A355" s="91"/>
    </row>
    <row r="356" spans="1:1" ht="13">
      <c r="A356" s="91"/>
    </row>
    <row r="357" spans="1:1" ht="13">
      <c r="A357" s="91"/>
    </row>
    <row r="358" spans="1:1" ht="13">
      <c r="A358" s="91"/>
    </row>
    <row r="359" spans="1:1" ht="13">
      <c r="A359" s="91"/>
    </row>
    <row r="360" spans="1:1" ht="13">
      <c r="A360" s="91"/>
    </row>
    <row r="361" spans="1:1" ht="13">
      <c r="A361" s="91"/>
    </row>
    <row r="362" spans="1:1" ht="13">
      <c r="A362" s="91"/>
    </row>
    <row r="363" spans="1:1" ht="13">
      <c r="A363" s="91"/>
    </row>
    <row r="364" spans="1:1" ht="13">
      <c r="A364" s="91"/>
    </row>
    <row r="365" spans="1:1" ht="13">
      <c r="A365" s="91"/>
    </row>
    <row r="366" spans="1:1" ht="13">
      <c r="A366" s="91"/>
    </row>
    <row r="367" spans="1:1" ht="13">
      <c r="A367" s="91"/>
    </row>
    <row r="368" spans="1:1" ht="13">
      <c r="A368" s="91"/>
    </row>
    <row r="369" spans="1:1" ht="13">
      <c r="A369" s="91"/>
    </row>
    <row r="370" spans="1:1" ht="13">
      <c r="A370" s="91"/>
    </row>
    <row r="371" spans="1:1" ht="13">
      <c r="A371" s="91"/>
    </row>
    <row r="372" spans="1:1" ht="13">
      <c r="A372" s="91"/>
    </row>
    <row r="373" spans="1:1" ht="13">
      <c r="A373" s="91"/>
    </row>
    <row r="374" spans="1:1" ht="13">
      <c r="A374" s="91"/>
    </row>
    <row r="375" spans="1:1" ht="13">
      <c r="A375" s="91"/>
    </row>
    <row r="376" spans="1:1" ht="13">
      <c r="A376" s="91"/>
    </row>
    <row r="377" spans="1:1" ht="13">
      <c r="A377" s="91"/>
    </row>
    <row r="378" spans="1:1" ht="13">
      <c r="A378" s="91"/>
    </row>
    <row r="379" spans="1:1" ht="13">
      <c r="A379" s="91"/>
    </row>
    <row r="380" spans="1:1" ht="13">
      <c r="A380" s="91"/>
    </row>
    <row r="381" spans="1:1" ht="13">
      <c r="A381" s="91"/>
    </row>
    <row r="382" spans="1:1" ht="13">
      <c r="A382" s="91"/>
    </row>
    <row r="383" spans="1:1" ht="13">
      <c r="A383" s="91"/>
    </row>
    <row r="384" spans="1:1" ht="13">
      <c r="A384" s="91"/>
    </row>
    <row r="385" spans="1:1" ht="13">
      <c r="A385" s="91"/>
    </row>
    <row r="386" spans="1:1" ht="13">
      <c r="A386" s="91"/>
    </row>
    <row r="387" spans="1:1" ht="13">
      <c r="A387" s="91"/>
    </row>
    <row r="388" spans="1:1" ht="13">
      <c r="A388" s="91"/>
    </row>
    <row r="389" spans="1:1" ht="13">
      <c r="A389" s="91"/>
    </row>
    <row r="390" spans="1:1" ht="13">
      <c r="A390" s="91"/>
    </row>
    <row r="391" spans="1:1" ht="13">
      <c r="A391" s="91"/>
    </row>
    <row r="392" spans="1:1" ht="13">
      <c r="A392" s="91"/>
    </row>
    <row r="393" spans="1:1" ht="13">
      <c r="A393" s="91"/>
    </row>
    <row r="394" spans="1:1" ht="13">
      <c r="A394" s="91"/>
    </row>
    <row r="395" spans="1:1" ht="13">
      <c r="A395" s="91"/>
    </row>
    <row r="396" spans="1:1" ht="13">
      <c r="A396" s="91"/>
    </row>
    <row r="397" spans="1:1" ht="13">
      <c r="A397" s="91"/>
    </row>
    <row r="398" spans="1:1" ht="13">
      <c r="A398" s="91"/>
    </row>
    <row r="399" spans="1:1" ht="13">
      <c r="A399" s="91"/>
    </row>
    <row r="400" spans="1:1" ht="13">
      <c r="A400" s="91"/>
    </row>
    <row r="401" spans="1:1" ht="13">
      <c r="A401" s="91"/>
    </row>
    <row r="402" spans="1:1" ht="13">
      <c r="A402" s="91"/>
    </row>
    <row r="403" spans="1:1" ht="13">
      <c r="A403" s="91"/>
    </row>
    <row r="404" spans="1:1" ht="13">
      <c r="A404" s="91"/>
    </row>
    <row r="405" spans="1:1" ht="13">
      <c r="A405" s="91"/>
    </row>
    <row r="406" spans="1:1" ht="13">
      <c r="A406" s="91"/>
    </row>
    <row r="407" spans="1:1" ht="13">
      <c r="A407" s="91"/>
    </row>
    <row r="408" spans="1:1" ht="13">
      <c r="A408" s="91"/>
    </row>
    <row r="409" spans="1:1" ht="13">
      <c r="A409" s="91"/>
    </row>
    <row r="410" spans="1:1" ht="13">
      <c r="A410" s="91"/>
    </row>
    <row r="411" spans="1:1" ht="13">
      <c r="A411" s="91"/>
    </row>
    <row r="412" spans="1:1" ht="13">
      <c r="A412" s="91"/>
    </row>
    <row r="413" spans="1:1" ht="13">
      <c r="A413" s="91"/>
    </row>
    <row r="414" spans="1:1" ht="13">
      <c r="A414" s="91"/>
    </row>
    <row r="415" spans="1:1" ht="13">
      <c r="A415" s="91"/>
    </row>
    <row r="416" spans="1:1" ht="13">
      <c r="A416" s="91"/>
    </row>
    <row r="417" spans="1:1" ht="13">
      <c r="A417" s="91"/>
    </row>
    <row r="418" spans="1:1" ht="13">
      <c r="A418" s="91"/>
    </row>
    <row r="419" spans="1:1" ht="13">
      <c r="A419" s="91"/>
    </row>
    <row r="420" spans="1:1" ht="13">
      <c r="A420" s="91"/>
    </row>
    <row r="421" spans="1:1" ht="13">
      <c r="A421" s="91"/>
    </row>
    <row r="422" spans="1:1" ht="13">
      <c r="A422" s="91"/>
    </row>
    <row r="423" spans="1:1" ht="13">
      <c r="A423" s="91"/>
    </row>
    <row r="424" spans="1:1" ht="13">
      <c r="A424" s="91"/>
    </row>
    <row r="425" spans="1:1" ht="13">
      <c r="A425" s="91"/>
    </row>
    <row r="426" spans="1:1" ht="13">
      <c r="A426" s="91"/>
    </row>
    <row r="427" spans="1:1" ht="13">
      <c r="A427" s="91"/>
    </row>
    <row r="428" spans="1:1" ht="13">
      <c r="A428" s="91"/>
    </row>
    <row r="429" spans="1:1" ht="13">
      <c r="A429" s="91"/>
    </row>
    <row r="430" spans="1:1" ht="13">
      <c r="A430" s="91"/>
    </row>
    <row r="431" spans="1:1" ht="13">
      <c r="A431" s="91"/>
    </row>
    <row r="432" spans="1:1" ht="13">
      <c r="A432" s="91"/>
    </row>
    <row r="433" spans="1:1" ht="13">
      <c r="A433" s="91"/>
    </row>
    <row r="434" spans="1:1" ht="13">
      <c r="A434" s="91"/>
    </row>
    <row r="435" spans="1:1" ht="13">
      <c r="A435" s="91"/>
    </row>
    <row r="436" spans="1:1" ht="13">
      <c r="A436" s="91"/>
    </row>
    <row r="437" spans="1:1" ht="13">
      <c r="A437" s="91"/>
    </row>
    <row r="438" spans="1:1" ht="13">
      <c r="A438" s="91"/>
    </row>
    <row r="439" spans="1:1" ht="13">
      <c r="A439" s="91"/>
    </row>
    <row r="440" spans="1:1" ht="13">
      <c r="A440" s="91"/>
    </row>
    <row r="441" spans="1:1" ht="13">
      <c r="A441" s="91"/>
    </row>
    <row r="442" spans="1:1" ht="13">
      <c r="A442" s="91"/>
    </row>
    <row r="443" spans="1:1" ht="13">
      <c r="A443" s="91"/>
    </row>
    <row r="444" spans="1:1" ht="13">
      <c r="A444" s="91"/>
    </row>
    <row r="445" spans="1:1" ht="13">
      <c r="A445" s="91"/>
    </row>
    <row r="446" spans="1:1" ht="13">
      <c r="A446" s="91"/>
    </row>
    <row r="447" spans="1:1" ht="13">
      <c r="A447" s="91"/>
    </row>
    <row r="448" spans="1:1" ht="13">
      <c r="A448" s="91"/>
    </row>
    <row r="449" spans="1:1" ht="13">
      <c r="A449" s="91"/>
    </row>
    <row r="450" spans="1:1" ht="13">
      <c r="A450" s="91"/>
    </row>
    <row r="451" spans="1:1" ht="13">
      <c r="A451" s="91"/>
    </row>
    <row r="452" spans="1:1" ht="13">
      <c r="A452" s="91"/>
    </row>
    <row r="453" spans="1:1" ht="13">
      <c r="A453" s="91"/>
    </row>
    <row r="454" spans="1:1" ht="13">
      <c r="A454" s="91"/>
    </row>
    <row r="455" spans="1:1" ht="13">
      <c r="A455" s="91"/>
    </row>
    <row r="456" spans="1:1" ht="13">
      <c r="A456" s="91"/>
    </row>
    <row r="457" spans="1:1" ht="13">
      <c r="A457" s="91"/>
    </row>
    <row r="458" spans="1:1" ht="13">
      <c r="A458" s="91"/>
    </row>
    <row r="459" spans="1:1" ht="13">
      <c r="A459" s="91"/>
    </row>
    <row r="460" spans="1:1" ht="13">
      <c r="A460" s="91"/>
    </row>
    <row r="461" spans="1:1" ht="13">
      <c r="A461" s="91"/>
    </row>
    <row r="462" spans="1:1" ht="13">
      <c r="A462" s="91"/>
    </row>
    <row r="463" spans="1:1" ht="13">
      <c r="A463" s="91"/>
    </row>
    <row r="464" spans="1:1" ht="13">
      <c r="A464" s="91"/>
    </row>
    <row r="465" spans="1:1" ht="13">
      <c r="A465" s="91"/>
    </row>
    <row r="466" spans="1:1" ht="13">
      <c r="A466" s="91"/>
    </row>
    <row r="467" spans="1:1" ht="13">
      <c r="A467" s="91"/>
    </row>
    <row r="468" spans="1:1" ht="13">
      <c r="A468" s="91"/>
    </row>
    <row r="469" spans="1:1" ht="13">
      <c r="A469" s="91"/>
    </row>
    <row r="470" spans="1:1" ht="13">
      <c r="A470" s="91"/>
    </row>
    <row r="471" spans="1:1" ht="13">
      <c r="A471" s="91"/>
    </row>
    <row r="472" spans="1:1" ht="13">
      <c r="A472" s="91"/>
    </row>
    <row r="473" spans="1:1" ht="13">
      <c r="A473" s="91"/>
    </row>
    <row r="474" spans="1:1" ht="13">
      <c r="A474" s="91"/>
    </row>
    <row r="475" spans="1:1" ht="13">
      <c r="A475" s="91"/>
    </row>
    <row r="476" spans="1:1" ht="13">
      <c r="A476" s="91"/>
    </row>
    <row r="477" spans="1:1" ht="13">
      <c r="A477" s="91"/>
    </row>
    <row r="478" spans="1:1" ht="13">
      <c r="A478" s="91"/>
    </row>
    <row r="479" spans="1:1" ht="13">
      <c r="A479" s="91"/>
    </row>
    <row r="480" spans="1:1" ht="13">
      <c r="A480" s="91"/>
    </row>
    <row r="481" spans="1:1" ht="13">
      <c r="A481" s="91"/>
    </row>
    <row r="482" spans="1:1" ht="13">
      <c r="A482" s="91"/>
    </row>
    <row r="483" spans="1:1" ht="13">
      <c r="A483" s="91"/>
    </row>
    <row r="484" spans="1:1" ht="13">
      <c r="A484" s="91"/>
    </row>
    <row r="485" spans="1:1" ht="13">
      <c r="A485" s="91"/>
    </row>
    <row r="486" spans="1:1" ht="13">
      <c r="A486" s="91"/>
    </row>
    <row r="487" spans="1:1" ht="13">
      <c r="A487" s="91"/>
    </row>
    <row r="488" spans="1:1" ht="13">
      <c r="A488" s="91"/>
    </row>
    <row r="489" spans="1:1" ht="13">
      <c r="A489" s="91"/>
    </row>
    <row r="490" spans="1:1" ht="13">
      <c r="A490" s="91"/>
    </row>
    <row r="491" spans="1:1" ht="13">
      <c r="A491" s="91"/>
    </row>
    <row r="492" spans="1:1" ht="13">
      <c r="A492" s="91"/>
    </row>
    <row r="493" spans="1:1" ht="13">
      <c r="A493" s="91"/>
    </row>
    <row r="494" spans="1:1" ht="13">
      <c r="A494" s="91"/>
    </row>
    <row r="495" spans="1:1" ht="13">
      <c r="A495" s="91"/>
    </row>
    <row r="496" spans="1:1" ht="13">
      <c r="A496" s="91"/>
    </row>
    <row r="497" spans="1:1" ht="13">
      <c r="A497" s="91"/>
    </row>
    <row r="498" spans="1:1" ht="13">
      <c r="A498" s="91"/>
    </row>
    <row r="499" spans="1:1" ht="13">
      <c r="A499" s="91"/>
    </row>
    <row r="500" spans="1:1" ht="13">
      <c r="A500" s="91"/>
    </row>
    <row r="501" spans="1:1" ht="13">
      <c r="A501" s="91"/>
    </row>
    <row r="502" spans="1:1" ht="13">
      <c r="A502" s="91"/>
    </row>
    <row r="503" spans="1:1" ht="13">
      <c r="A503" s="91"/>
    </row>
    <row r="504" spans="1:1" ht="13">
      <c r="A504" s="91"/>
    </row>
    <row r="505" spans="1:1" ht="13">
      <c r="A505" s="91"/>
    </row>
    <row r="506" spans="1:1" ht="13">
      <c r="A506" s="91"/>
    </row>
    <row r="507" spans="1:1" ht="13">
      <c r="A507" s="91"/>
    </row>
    <row r="508" spans="1:1" ht="13">
      <c r="A508" s="91"/>
    </row>
    <row r="509" spans="1:1" ht="13">
      <c r="A509" s="91"/>
    </row>
    <row r="510" spans="1:1" ht="13">
      <c r="A510" s="91"/>
    </row>
    <row r="511" spans="1:1" ht="13">
      <c r="A511" s="91"/>
    </row>
    <row r="512" spans="1:1" ht="13">
      <c r="A512" s="91"/>
    </row>
    <row r="513" spans="1:1" ht="13">
      <c r="A513" s="91"/>
    </row>
    <row r="514" spans="1:1" ht="13">
      <c r="A514" s="91"/>
    </row>
    <row r="515" spans="1:1" ht="13">
      <c r="A515" s="91"/>
    </row>
    <row r="516" spans="1:1" ht="13">
      <c r="A516" s="91"/>
    </row>
    <row r="517" spans="1:1" ht="13">
      <c r="A517" s="91"/>
    </row>
    <row r="518" spans="1:1" ht="13">
      <c r="A518" s="91"/>
    </row>
    <row r="519" spans="1:1" ht="13">
      <c r="A519" s="91"/>
    </row>
    <row r="520" spans="1:1" ht="13">
      <c r="A520" s="91"/>
    </row>
    <row r="521" spans="1:1" ht="13">
      <c r="A521" s="91"/>
    </row>
    <row r="522" spans="1:1" ht="13">
      <c r="A522" s="91"/>
    </row>
    <row r="523" spans="1:1" ht="13">
      <c r="A523" s="91"/>
    </row>
    <row r="524" spans="1:1" ht="13">
      <c r="A524" s="91"/>
    </row>
    <row r="525" spans="1:1" ht="13">
      <c r="A525" s="91"/>
    </row>
    <row r="526" spans="1:1" ht="13">
      <c r="A526" s="91"/>
    </row>
    <row r="527" spans="1:1" ht="13">
      <c r="A527" s="91"/>
    </row>
    <row r="528" spans="1:1" ht="13">
      <c r="A528" s="91"/>
    </row>
    <row r="529" spans="1:1" ht="13">
      <c r="A529" s="91"/>
    </row>
    <row r="530" spans="1:1" ht="13">
      <c r="A530" s="91"/>
    </row>
    <row r="531" spans="1:1" ht="13">
      <c r="A531" s="91"/>
    </row>
    <row r="532" spans="1:1" ht="13">
      <c r="A532" s="91"/>
    </row>
    <row r="533" spans="1:1" ht="13">
      <c r="A533" s="91"/>
    </row>
    <row r="534" spans="1:1" ht="13">
      <c r="A534" s="91"/>
    </row>
    <row r="535" spans="1:1" ht="13">
      <c r="A535" s="91"/>
    </row>
    <row r="536" spans="1:1" ht="13">
      <c r="A536" s="91"/>
    </row>
    <row r="537" spans="1:1" ht="13">
      <c r="A537" s="91"/>
    </row>
    <row r="538" spans="1:1" ht="13">
      <c r="A538" s="91"/>
    </row>
    <row r="539" spans="1:1" ht="13">
      <c r="A539" s="91"/>
    </row>
    <row r="540" spans="1:1" ht="13">
      <c r="A540" s="91"/>
    </row>
    <row r="541" spans="1:1" ht="13">
      <c r="A541" s="91"/>
    </row>
    <row r="542" spans="1:1" ht="13">
      <c r="A542" s="91"/>
    </row>
    <row r="543" spans="1:1" ht="13">
      <c r="A543" s="91"/>
    </row>
    <row r="544" spans="1:1" ht="13">
      <c r="A544" s="91"/>
    </row>
    <row r="545" spans="1:1" ht="13">
      <c r="A545" s="91"/>
    </row>
    <row r="546" spans="1:1" ht="13">
      <c r="A546" s="91"/>
    </row>
    <row r="547" spans="1:1" ht="13">
      <c r="A547" s="91"/>
    </row>
    <row r="548" spans="1:1" ht="13">
      <c r="A548" s="91"/>
    </row>
    <row r="549" spans="1:1" ht="13">
      <c r="A549" s="91"/>
    </row>
    <row r="550" spans="1:1" ht="13">
      <c r="A550" s="91"/>
    </row>
    <row r="551" spans="1:1" ht="13">
      <c r="A551" s="91"/>
    </row>
    <row r="552" spans="1:1" ht="13">
      <c r="A552" s="91"/>
    </row>
    <row r="553" spans="1:1" ht="13">
      <c r="A553" s="91"/>
    </row>
    <row r="554" spans="1:1" ht="13">
      <c r="A554" s="91"/>
    </row>
    <row r="555" spans="1:1" ht="13">
      <c r="A555" s="91"/>
    </row>
    <row r="556" spans="1:1" ht="13">
      <c r="A556" s="91"/>
    </row>
    <row r="557" spans="1:1" ht="13">
      <c r="A557" s="91"/>
    </row>
    <row r="558" spans="1:1" ht="13">
      <c r="A558" s="91"/>
    </row>
    <row r="559" spans="1:1" ht="13">
      <c r="A559" s="91"/>
    </row>
    <row r="560" spans="1:1" ht="13">
      <c r="A560" s="91"/>
    </row>
    <row r="561" spans="1:1" ht="13">
      <c r="A561" s="91"/>
    </row>
    <row r="562" spans="1:1" ht="13">
      <c r="A562" s="91"/>
    </row>
    <row r="563" spans="1:1" ht="13">
      <c r="A563" s="91"/>
    </row>
    <row r="564" spans="1:1" ht="13">
      <c r="A564" s="91"/>
    </row>
    <row r="565" spans="1:1" ht="13">
      <c r="A565" s="91"/>
    </row>
    <row r="566" spans="1:1" ht="13">
      <c r="A566" s="91"/>
    </row>
    <row r="567" spans="1:1" ht="13">
      <c r="A567" s="91"/>
    </row>
    <row r="568" spans="1:1" ht="13">
      <c r="A568" s="91"/>
    </row>
    <row r="569" spans="1:1" ht="13">
      <c r="A569" s="91"/>
    </row>
    <row r="570" spans="1:1" ht="13">
      <c r="A570" s="91"/>
    </row>
    <row r="571" spans="1:1" ht="13">
      <c r="A571" s="91"/>
    </row>
    <row r="572" spans="1:1" ht="13">
      <c r="A572" s="91"/>
    </row>
    <row r="573" spans="1:1" ht="13">
      <c r="A573" s="91"/>
    </row>
    <row r="574" spans="1:1" ht="13">
      <c r="A574" s="91"/>
    </row>
    <row r="575" spans="1:1" ht="13">
      <c r="A575" s="91"/>
    </row>
    <row r="576" spans="1:1" ht="13">
      <c r="A576" s="91"/>
    </row>
    <row r="577" spans="1:1" ht="13">
      <c r="A577" s="91"/>
    </row>
    <row r="578" spans="1:1" ht="13">
      <c r="A578" s="91"/>
    </row>
    <row r="579" spans="1:1" ht="13">
      <c r="A579" s="91"/>
    </row>
    <row r="580" spans="1:1" ht="13">
      <c r="A580" s="91"/>
    </row>
    <row r="581" spans="1:1" ht="13">
      <c r="A581" s="91"/>
    </row>
    <row r="582" spans="1:1" ht="13">
      <c r="A582" s="91"/>
    </row>
    <row r="583" spans="1:1" ht="13">
      <c r="A583" s="91"/>
    </row>
    <row r="584" spans="1:1" ht="13">
      <c r="A584" s="91"/>
    </row>
    <row r="585" spans="1:1" ht="13">
      <c r="A585" s="91"/>
    </row>
    <row r="586" spans="1:1" ht="13">
      <c r="A586" s="91"/>
    </row>
    <row r="587" spans="1:1" ht="13">
      <c r="A587" s="91"/>
    </row>
    <row r="588" spans="1:1" ht="13">
      <c r="A588" s="91"/>
    </row>
    <row r="589" spans="1:1" ht="13">
      <c r="A589" s="91"/>
    </row>
    <row r="590" spans="1:1" ht="13">
      <c r="A590" s="91"/>
    </row>
    <row r="591" spans="1:1" ht="13">
      <c r="A591" s="91"/>
    </row>
    <row r="592" spans="1:1" ht="13">
      <c r="A592" s="91"/>
    </row>
    <row r="593" spans="1:1" ht="13">
      <c r="A593" s="91"/>
    </row>
    <row r="594" spans="1:1" ht="13">
      <c r="A594" s="91"/>
    </row>
    <row r="595" spans="1:1" ht="13">
      <c r="A595" s="91"/>
    </row>
    <row r="596" spans="1:1" ht="13">
      <c r="A596" s="91"/>
    </row>
    <row r="597" spans="1:1" ht="13">
      <c r="A597" s="91"/>
    </row>
    <row r="598" spans="1:1" ht="13">
      <c r="A598" s="91"/>
    </row>
    <row r="599" spans="1:1" ht="13">
      <c r="A599" s="91"/>
    </row>
    <row r="600" spans="1:1" ht="13">
      <c r="A600" s="91"/>
    </row>
    <row r="601" spans="1:1" ht="13">
      <c r="A601" s="91"/>
    </row>
    <row r="602" spans="1:1" ht="13">
      <c r="A602" s="91"/>
    </row>
    <row r="603" spans="1:1" ht="13">
      <c r="A603" s="91"/>
    </row>
    <row r="604" spans="1:1" ht="13">
      <c r="A604" s="91"/>
    </row>
    <row r="605" spans="1:1" ht="13">
      <c r="A605" s="91"/>
    </row>
    <row r="606" spans="1:1" ht="13">
      <c r="A606" s="91"/>
    </row>
    <row r="607" spans="1:1" ht="13">
      <c r="A607" s="91"/>
    </row>
    <row r="608" spans="1:1" ht="13">
      <c r="A608" s="91"/>
    </row>
    <row r="609" spans="1:1" ht="13">
      <c r="A609" s="91"/>
    </row>
    <row r="610" spans="1:1" ht="13">
      <c r="A610" s="91"/>
    </row>
    <row r="611" spans="1:1" ht="13">
      <c r="A611" s="91"/>
    </row>
    <row r="612" spans="1:1" ht="13">
      <c r="A612" s="91"/>
    </row>
    <row r="613" spans="1:1" ht="13">
      <c r="A613" s="91"/>
    </row>
    <row r="614" spans="1:1" ht="13">
      <c r="A614" s="91"/>
    </row>
    <row r="615" spans="1:1" ht="13">
      <c r="A615" s="91"/>
    </row>
    <row r="616" spans="1:1" ht="13">
      <c r="A616" s="91"/>
    </row>
    <row r="617" spans="1:1" ht="13">
      <c r="A617" s="91"/>
    </row>
    <row r="618" spans="1:1" ht="13">
      <c r="A618" s="91"/>
    </row>
    <row r="619" spans="1:1" ht="13">
      <c r="A619" s="91"/>
    </row>
    <row r="620" spans="1:1" ht="13">
      <c r="A620" s="91"/>
    </row>
    <row r="621" spans="1:1" ht="13">
      <c r="A621" s="91"/>
    </row>
    <row r="622" spans="1:1" ht="13">
      <c r="A622" s="91"/>
    </row>
    <row r="623" spans="1:1" ht="13">
      <c r="A623" s="91"/>
    </row>
    <row r="624" spans="1:1" ht="13">
      <c r="A624" s="91"/>
    </row>
    <row r="625" spans="1:1" ht="13">
      <c r="A625" s="91"/>
    </row>
    <row r="626" spans="1:1" ht="13">
      <c r="A626" s="91"/>
    </row>
    <row r="627" spans="1:1" ht="13">
      <c r="A627" s="91"/>
    </row>
    <row r="628" spans="1:1" ht="13">
      <c r="A628" s="91"/>
    </row>
    <row r="629" spans="1:1" ht="13">
      <c r="A629" s="91"/>
    </row>
    <row r="630" spans="1:1" ht="13">
      <c r="A630" s="91"/>
    </row>
    <row r="631" spans="1:1" ht="13">
      <c r="A631" s="91"/>
    </row>
    <row r="632" spans="1:1" ht="13">
      <c r="A632" s="91"/>
    </row>
    <row r="633" spans="1:1" ht="13">
      <c r="A633" s="91"/>
    </row>
    <row r="634" spans="1:1" ht="13">
      <c r="A634" s="91"/>
    </row>
    <row r="635" spans="1:1" ht="13">
      <c r="A635" s="91"/>
    </row>
    <row r="636" spans="1:1" ht="13">
      <c r="A636" s="91"/>
    </row>
    <row r="637" spans="1:1" ht="13">
      <c r="A637" s="91"/>
    </row>
    <row r="638" spans="1:1" ht="13">
      <c r="A638" s="91"/>
    </row>
    <row r="639" spans="1:1" ht="13">
      <c r="A639" s="91"/>
    </row>
    <row r="640" spans="1:1" ht="13">
      <c r="A640" s="91"/>
    </row>
    <row r="641" spans="1:1" ht="13">
      <c r="A641" s="91"/>
    </row>
    <row r="642" spans="1:1" ht="13">
      <c r="A642" s="91"/>
    </row>
    <row r="643" spans="1:1" ht="13">
      <c r="A643" s="91"/>
    </row>
    <row r="644" spans="1:1" ht="13">
      <c r="A644" s="91"/>
    </row>
    <row r="645" spans="1:1" ht="13">
      <c r="A645" s="91"/>
    </row>
    <row r="646" spans="1:1" ht="13">
      <c r="A646" s="91"/>
    </row>
    <row r="647" spans="1:1" ht="13">
      <c r="A647" s="91"/>
    </row>
    <row r="648" spans="1:1" ht="13">
      <c r="A648" s="91"/>
    </row>
    <row r="649" spans="1:1" ht="13">
      <c r="A649" s="91"/>
    </row>
    <row r="650" spans="1:1" ht="13">
      <c r="A650" s="91"/>
    </row>
    <row r="651" spans="1:1" ht="13">
      <c r="A651" s="91"/>
    </row>
    <row r="652" spans="1:1" ht="13">
      <c r="A652" s="91"/>
    </row>
    <row r="653" spans="1:1" ht="13">
      <c r="A653" s="91"/>
    </row>
    <row r="654" spans="1:1" ht="13">
      <c r="A654" s="91"/>
    </row>
    <row r="655" spans="1:1" ht="13">
      <c r="A655" s="91"/>
    </row>
    <row r="656" spans="1:1" ht="13">
      <c r="A656" s="91"/>
    </row>
    <row r="657" spans="1:1" ht="13">
      <c r="A657" s="91"/>
    </row>
    <row r="658" spans="1:1" ht="13">
      <c r="A658" s="91"/>
    </row>
    <row r="659" spans="1:1" ht="13">
      <c r="A659" s="91"/>
    </row>
    <row r="660" spans="1:1" ht="13">
      <c r="A660" s="91"/>
    </row>
    <row r="661" spans="1:1" ht="13">
      <c r="A661" s="91"/>
    </row>
    <row r="662" spans="1:1" ht="13">
      <c r="A662" s="91"/>
    </row>
    <row r="663" spans="1:1" ht="13">
      <c r="A663" s="91"/>
    </row>
    <row r="664" spans="1:1" ht="13">
      <c r="A664" s="91"/>
    </row>
    <row r="665" spans="1:1" ht="13">
      <c r="A665" s="91"/>
    </row>
    <row r="666" spans="1:1" ht="13">
      <c r="A666" s="91"/>
    </row>
    <row r="667" spans="1:1" ht="13">
      <c r="A667" s="91"/>
    </row>
    <row r="668" spans="1:1" ht="13">
      <c r="A668" s="91"/>
    </row>
    <row r="669" spans="1:1" ht="13">
      <c r="A669" s="91"/>
    </row>
    <row r="670" spans="1:1" ht="13">
      <c r="A670" s="91"/>
    </row>
    <row r="671" spans="1:1" ht="13">
      <c r="A671" s="91"/>
    </row>
    <row r="672" spans="1:1" ht="13">
      <c r="A672" s="91"/>
    </row>
    <row r="673" spans="1:1" ht="13">
      <c r="A673" s="91"/>
    </row>
    <row r="674" spans="1:1" ht="13">
      <c r="A674" s="91"/>
    </row>
    <row r="675" spans="1:1" ht="13">
      <c r="A675" s="91"/>
    </row>
    <row r="676" spans="1:1" ht="13">
      <c r="A676" s="91"/>
    </row>
    <row r="677" spans="1:1" ht="13">
      <c r="A677" s="91"/>
    </row>
    <row r="678" spans="1:1" ht="13">
      <c r="A678" s="91"/>
    </row>
    <row r="679" spans="1:1" ht="13">
      <c r="A679" s="91"/>
    </row>
    <row r="680" spans="1:1" ht="13">
      <c r="A680" s="91"/>
    </row>
    <row r="681" spans="1:1" ht="13">
      <c r="A681" s="91"/>
    </row>
    <row r="682" spans="1:1" ht="13">
      <c r="A682" s="91"/>
    </row>
    <row r="683" spans="1:1" ht="13">
      <c r="A683" s="91"/>
    </row>
    <row r="684" spans="1:1" ht="13">
      <c r="A684" s="91"/>
    </row>
    <row r="685" spans="1:1" ht="13">
      <c r="A685" s="91"/>
    </row>
    <row r="686" spans="1:1" ht="13">
      <c r="A686" s="91"/>
    </row>
    <row r="687" spans="1:1" ht="13">
      <c r="A687" s="91"/>
    </row>
    <row r="688" spans="1:1" ht="13">
      <c r="A688" s="91"/>
    </row>
    <row r="689" spans="1:1" ht="13">
      <c r="A689" s="91"/>
    </row>
    <row r="690" spans="1:1" ht="13">
      <c r="A690" s="91"/>
    </row>
    <row r="691" spans="1:1" ht="13">
      <c r="A691" s="91"/>
    </row>
    <row r="692" spans="1:1" ht="13">
      <c r="A692" s="91"/>
    </row>
    <row r="693" spans="1:1" ht="13">
      <c r="A693" s="91"/>
    </row>
    <row r="694" spans="1:1" ht="13">
      <c r="A694" s="91"/>
    </row>
    <row r="695" spans="1:1" ht="13">
      <c r="A695" s="91"/>
    </row>
    <row r="696" spans="1:1" ht="13">
      <c r="A696" s="91"/>
    </row>
    <row r="697" spans="1:1" ht="13">
      <c r="A697" s="91"/>
    </row>
    <row r="698" spans="1:1" ht="13">
      <c r="A698" s="91"/>
    </row>
    <row r="699" spans="1:1" ht="13">
      <c r="A699" s="91"/>
    </row>
    <row r="700" spans="1:1" ht="13">
      <c r="A700" s="91"/>
    </row>
    <row r="701" spans="1:1" ht="13">
      <c r="A701" s="91"/>
    </row>
    <row r="702" spans="1:1" ht="13">
      <c r="A702" s="91"/>
    </row>
    <row r="703" spans="1:1" ht="13">
      <c r="A703" s="91"/>
    </row>
    <row r="704" spans="1:1" ht="13">
      <c r="A704" s="91"/>
    </row>
    <row r="705" spans="1:1" ht="13">
      <c r="A705" s="91"/>
    </row>
    <row r="706" spans="1:1" ht="13">
      <c r="A706" s="91"/>
    </row>
    <row r="707" spans="1:1" ht="13">
      <c r="A707" s="91"/>
    </row>
    <row r="708" spans="1:1" ht="13">
      <c r="A708" s="91"/>
    </row>
    <row r="709" spans="1:1" ht="13">
      <c r="A709" s="91"/>
    </row>
    <row r="710" spans="1:1" ht="13">
      <c r="A710" s="91"/>
    </row>
    <row r="711" spans="1:1" ht="13">
      <c r="A711" s="91"/>
    </row>
    <row r="712" spans="1:1" ht="13">
      <c r="A712" s="91"/>
    </row>
    <row r="713" spans="1:1" ht="13">
      <c r="A713" s="91"/>
    </row>
    <row r="714" spans="1:1" ht="13">
      <c r="A714" s="91"/>
    </row>
    <row r="715" spans="1:1" ht="13">
      <c r="A715" s="91"/>
    </row>
    <row r="716" spans="1:1" ht="13">
      <c r="A716" s="91"/>
    </row>
    <row r="717" spans="1:1" ht="13">
      <c r="A717" s="91"/>
    </row>
    <row r="718" spans="1:1" ht="13">
      <c r="A718" s="91"/>
    </row>
    <row r="719" spans="1:1" ht="13">
      <c r="A719" s="91"/>
    </row>
    <row r="720" spans="1:1" ht="13">
      <c r="A720" s="91"/>
    </row>
    <row r="721" spans="1:1" ht="13">
      <c r="A721" s="91"/>
    </row>
    <row r="722" spans="1:1" ht="13">
      <c r="A722" s="91"/>
    </row>
    <row r="723" spans="1:1" ht="13">
      <c r="A723" s="91"/>
    </row>
    <row r="724" spans="1:1" ht="13">
      <c r="A724" s="91"/>
    </row>
    <row r="725" spans="1:1" ht="13">
      <c r="A725" s="91"/>
    </row>
    <row r="726" spans="1:1" ht="13">
      <c r="A726" s="91"/>
    </row>
    <row r="727" spans="1:1" ht="13">
      <c r="A727" s="91"/>
    </row>
    <row r="728" spans="1:1" ht="13">
      <c r="A728" s="91"/>
    </row>
    <row r="729" spans="1:1" ht="13">
      <c r="A729" s="91"/>
    </row>
    <row r="730" spans="1:1" ht="13">
      <c r="A730" s="91"/>
    </row>
    <row r="731" spans="1:1" ht="13">
      <c r="A731" s="91"/>
    </row>
    <row r="732" spans="1:1" ht="13">
      <c r="A732" s="91"/>
    </row>
    <row r="733" spans="1:1" ht="13">
      <c r="A733" s="91"/>
    </row>
    <row r="734" spans="1:1" ht="13">
      <c r="A734" s="91"/>
    </row>
    <row r="735" spans="1:1" ht="13">
      <c r="A735" s="91"/>
    </row>
    <row r="736" spans="1:1" ht="13">
      <c r="A736" s="91"/>
    </row>
    <row r="737" spans="1:1" ht="13">
      <c r="A737" s="91"/>
    </row>
    <row r="738" spans="1:1" ht="13">
      <c r="A738" s="91"/>
    </row>
    <row r="739" spans="1:1" ht="13">
      <c r="A739" s="91"/>
    </row>
    <row r="740" spans="1:1" ht="13">
      <c r="A740" s="91"/>
    </row>
    <row r="741" spans="1:1" ht="13">
      <c r="A741" s="91"/>
    </row>
    <row r="742" spans="1:1" ht="13">
      <c r="A742" s="91"/>
    </row>
    <row r="743" spans="1:1" ht="13">
      <c r="A743" s="91"/>
    </row>
    <row r="744" spans="1:1" ht="13">
      <c r="A744" s="91"/>
    </row>
    <row r="745" spans="1:1" ht="13">
      <c r="A745" s="91"/>
    </row>
    <row r="746" spans="1:1" ht="13">
      <c r="A746" s="91"/>
    </row>
    <row r="747" spans="1:1" ht="13">
      <c r="A747" s="91"/>
    </row>
    <row r="748" spans="1:1" ht="13">
      <c r="A748" s="91"/>
    </row>
    <row r="749" spans="1:1" ht="13">
      <c r="A749" s="91"/>
    </row>
    <row r="750" spans="1:1" ht="13">
      <c r="A750" s="91"/>
    </row>
    <row r="751" spans="1:1" ht="13">
      <c r="A751" s="91"/>
    </row>
    <row r="752" spans="1:1" ht="13">
      <c r="A752" s="91"/>
    </row>
    <row r="753" spans="1:1" ht="13">
      <c r="A753" s="91"/>
    </row>
    <row r="754" spans="1:1" ht="13">
      <c r="A754" s="91"/>
    </row>
    <row r="755" spans="1:1" ht="13">
      <c r="A755" s="91"/>
    </row>
    <row r="756" spans="1:1" ht="13">
      <c r="A756" s="91"/>
    </row>
    <row r="757" spans="1:1" ht="13">
      <c r="A757" s="91"/>
    </row>
    <row r="758" spans="1:1" ht="13">
      <c r="A758" s="91"/>
    </row>
    <row r="759" spans="1:1" ht="13">
      <c r="A759" s="91"/>
    </row>
    <row r="760" spans="1:1" ht="13">
      <c r="A760" s="91"/>
    </row>
    <row r="761" spans="1:1" ht="13">
      <c r="A761" s="91"/>
    </row>
    <row r="762" spans="1:1" ht="13">
      <c r="A762" s="91"/>
    </row>
    <row r="763" spans="1:1" ht="13">
      <c r="A763" s="91"/>
    </row>
    <row r="764" spans="1:1" ht="13">
      <c r="A764" s="91"/>
    </row>
    <row r="765" spans="1:1" ht="13">
      <c r="A765" s="91"/>
    </row>
    <row r="766" spans="1:1" ht="13">
      <c r="A766" s="91"/>
    </row>
    <row r="767" spans="1:1" ht="13">
      <c r="A767" s="91"/>
    </row>
    <row r="768" spans="1:1" ht="13">
      <c r="A768" s="91"/>
    </row>
    <row r="769" spans="1:1" ht="13">
      <c r="A769" s="91"/>
    </row>
    <row r="770" spans="1:1" ht="13">
      <c r="A770" s="91"/>
    </row>
    <row r="771" spans="1:1" ht="13">
      <c r="A771" s="91"/>
    </row>
    <row r="772" spans="1:1" ht="13">
      <c r="A772" s="91"/>
    </row>
    <row r="773" spans="1:1" ht="13">
      <c r="A773" s="91"/>
    </row>
    <row r="774" spans="1:1" ht="13">
      <c r="A774" s="91"/>
    </row>
    <row r="775" spans="1:1" ht="13">
      <c r="A775" s="91"/>
    </row>
    <row r="776" spans="1:1" ht="13">
      <c r="A776" s="91"/>
    </row>
    <row r="777" spans="1:1" ht="13">
      <c r="A777" s="91"/>
    </row>
    <row r="778" spans="1:1" ht="13">
      <c r="A778" s="91"/>
    </row>
    <row r="779" spans="1:1" ht="13">
      <c r="A779" s="91"/>
    </row>
    <row r="780" spans="1:1" ht="13">
      <c r="A780" s="91"/>
    </row>
    <row r="781" spans="1:1" ht="13">
      <c r="A781" s="91"/>
    </row>
    <row r="782" spans="1:1" ht="13">
      <c r="A782" s="91"/>
    </row>
    <row r="783" spans="1:1" ht="13">
      <c r="A783" s="91"/>
    </row>
    <row r="784" spans="1:1" ht="13">
      <c r="A784" s="91"/>
    </row>
    <row r="785" spans="1:1" ht="13">
      <c r="A785" s="91"/>
    </row>
    <row r="786" spans="1:1" ht="13">
      <c r="A786" s="91"/>
    </row>
    <row r="787" spans="1:1" ht="13">
      <c r="A787" s="91"/>
    </row>
    <row r="788" spans="1:1" ht="13">
      <c r="A788" s="91"/>
    </row>
    <row r="789" spans="1:1" ht="13">
      <c r="A789" s="91"/>
    </row>
    <row r="790" spans="1:1" ht="13">
      <c r="A790" s="91"/>
    </row>
    <row r="791" spans="1:1" ht="13">
      <c r="A791" s="91"/>
    </row>
    <row r="792" spans="1:1" ht="13">
      <c r="A792" s="91"/>
    </row>
    <row r="793" spans="1:1" ht="13">
      <c r="A793" s="91"/>
    </row>
    <row r="794" spans="1:1" ht="13">
      <c r="A794" s="91"/>
    </row>
    <row r="795" spans="1:1" ht="13">
      <c r="A795" s="91"/>
    </row>
    <row r="796" spans="1:1" ht="13">
      <c r="A796" s="91"/>
    </row>
    <row r="797" spans="1:1" ht="13">
      <c r="A797" s="91"/>
    </row>
    <row r="798" spans="1:1" ht="13">
      <c r="A798" s="91"/>
    </row>
    <row r="799" spans="1:1" ht="13">
      <c r="A799" s="91"/>
    </row>
    <row r="800" spans="1:1" ht="13">
      <c r="A800" s="91"/>
    </row>
    <row r="801" spans="1:1" ht="13">
      <c r="A801" s="91"/>
    </row>
    <row r="802" spans="1:1" ht="13">
      <c r="A802" s="91"/>
    </row>
    <row r="803" spans="1:1" ht="13">
      <c r="A803" s="91"/>
    </row>
    <row r="804" spans="1:1" ht="13">
      <c r="A804" s="91"/>
    </row>
    <row r="805" spans="1:1" ht="13">
      <c r="A805" s="91"/>
    </row>
    <row r="806" spans="1:1" ht="13">
      <c r="A806" s="91"/>
    </row>
    <row r="807" spans="1:1" ht="13">
      <c r="A807" s="91"/>
    </row>
    <row r="808" spans="1:1" ht="13">
      <c r="A808" s="91"/>
    </row>
    <row r="809" spans="1:1" ht="13">
      <c r="A809" s="91"/>
    </row>
    <row r="810" spans="1:1" ht="13">
      <c r="A810" s="91"/>
    </row>
    <row r="811" spans="1:1" ht="13">
      <c r="A811" s="91"/>
    </row>
    <row r="812" spans="1:1" ht="13">
      <c r="A812" s="91"/>
    </row>
    <row r="813" spans="1:1" ht="13">
      <c r="A813" s="91"/>
    </row>
    <row r="814" spans="1:1" ht="13">
      <c r="A814" s="91"/>
    </row>
    <row r="815" spans="1:1" ht="13">
      <c r="A815" s="91"/>
    </row>
    <row r="816" spans="1:1" ht="13">
      <c r="A816" s="91"/>
    </row>
    <row r="817" spans="1:1" ht="13">
      <c r="A817" s="91"/>
    </row>
    <row r="818" spans="1:1" ht="13">
      <c r="A818" s="91"/>
    </row>
    <row r="819" spans="1:1" ht="13">
      <c r="A819" s="91"/>
    </row>
    <row r="820" spans="1:1" ht="13">
      <c r="A820" s="91"/>
    </row>
    <row r="821" spans="1:1" ht="13">
      <c r="A821" s="91"/>
    </row>
    <row r="822" spans="1:1" ht="13">
      <c r="A822" s="91"/>
    </row>
    <row r="823" spans="1:1" ht="13">
      <c r="A823" s="91"/>
    </row>
    <row r="824" spans="1:1" ht="13">
      <c r="A824" s="91"/>
    </row>
    <row r="825" spans="1:1" ht="13">
      <c r="A825" s="91"/>
    </row>
    <row r="826" spans="1:1" ht="13">
      <c r="A826" s="91"/>
    </row>
    <row r="827" spans="1:1" ht="13">
      <c r="A827" s="91"/>
    </row>
    <row r="828" spans="1:1" ht="13">
      <c r="A828" s="91"/>
    </row>
    <row r="829" spans="1:1" ht="13">
      <c r="A829" s="91"/>
    </row>
    <row r="830" spans="1:1" ht="13">
      <c r="A830" s="91"/>
    </row>
    <row r="831" spans="1:1" ht="13">
      <c r="A831" s="91"/>
    </row>
    <row r="832" spans="1:1" ht="13">
      <c r="A832" s="91"/>
    </row>
    <row r="833" spans="1:1" ht="13">
      <c r="A833" s="91"/>
    </row>
    <row r="834" spans="1:1" ht="13">
      <c r="A834" s="91"/>
    </row>
    <row r="835" spans="1:1" ht="13">
      <c r="A835" s="91"/>
    </row>
    <row r="836" spans="1:1" ht="13">
      <c r="A836" s="91"/>
    </row>
    <row r="837" spans="1:1" ht="13">
      <c r="A837" s="91"/>
    </row>
    <row r="838" spans="1:1" ht="13">
      <c r="A838" s="91"/>
    </row>
    <row r="839" spans="1:1" ht="13">
      <c r="A839" s="91"/>
    </row>
    <row r="840" spans="1:1" ht="13">
      <c r="A840" s="91"/>
    </row>
    <row r="841" spans="1:1" ht="13">
      <c r="A841" s="91"/>
    </row>
    <row r="842" spans="1:1" ht="13">
      <c r="A842" s="91"/>
    </row>
    <row r="843" spans="1:1" ht="13">
      <c r="A843" s="91"/>
    </row>
    <row r="844" spans="1:1" ht="13">
      <c r="A844" s="91"/>
    </row>
    <row r="845" spans="1:1" ht="13">
      <c r="A845" s="91"/>
    </row>
    <row r="846" spans="1:1" ht="13">
      <c r="A846" s="91"/>
    </row>
    <row r="847" spans="1:1" ht="13">
      <c r="A847" s="91"/>
    </row>
    <row r="848" spans="1:1" ht="13">
      <c r="A848" s="91"/>
    </row>
    <row r="849" spans="1:1" ht="13">
      <c r="A849" s="91"/>
    </row>
    <row r="850" spans="1:1" ht="13">
      <c r="A850" s="91"/>
    </row>
    <row r="851" spans="1:1" ht="13">
      <c r="A851" s="91"/>
    </row>
    <row r="852" spans="1:1" ht="13">
      <c r="A852" s="91"/>
    </row>
    <row r="853" spans="1:1" ht="13">
      <c r="A853" s="91"/>
    </row>
    <row r="854" spans="1:1" ht="13">
      <c r="A854" s="91"/>
    </row>
    <row r="855" spans="1:1" ht="13">
      <c r="A855" s="91"/>
    </row>
    <row r="856" spans="1:1" ht="13">
      <c r="A856" s="91"/>
    </row>
    <row r="857" spans="1:1" ht="13">
      <c r="A857" s="91"/>
    </row>
    <row r="858" spans="1:1" ht="13">
      <c r="A858" s="91"/>
    </row>
    <row r="859" spans="1:1" ht="13">
      <c r="A859" s="91"/>
    </row>
    <row r="860" spans="1:1" ht="13">
      <c r="A860" s="91"/>
    </row>
    <row r="861" spans="1:1" ht="13">
      <c r="A861" s="91"/>
    </row>
    <row r="862" spans="1:1" ht="13">
      <c r="A862" s="91"/>
    </row>
    <row r="863" spans="1:1" ht="13">
      <c r="A863" s="91"/>
    </row>
    <row r="864" spans="1:1" ht="13">
      <c r="A864" s="91"/>
    </row>
    <row r="865" spans="1:1" ht="13">
      <c r="A865" s="91"/>
    </row>
    <row r="866" spans="1:1" ht="13">
      <c r="A866" s="91"/>
    </row>
    <row r="867" spans="1:1" ht="13">
      <c r="A867" s="91"/>
    </row>
    <row r="868" spans="1:1" ht="13">
      <c r="A868" s="91"/>
    </row>
    <row r="869" spans="1:1" ht="13">
      <c r="A869" s="91"/>
    </row>
    <row r="870" spans="1:1" ht="13">
      <c r="A870" s="91"/>
    </row>
    <row r="871" spans="1:1" ht="13">
      <c r="A871" s="91"/>
    </row>
    <row r="872" spans="1:1" ht="13">
      <c r="A872" s="91"/>
    </row>
    <row r="873" spans="1:1" ht="13">
      <c r="A873" s="91"/>
    </row>
    <row r="874" spans="1:1" ht="13">
      <c r="A874" s="91"/>
    </row>
    <row r="875" spans="1:1" ht="13">
      <c r="A875" s="91"/>
    </row>
    <row r="876" spans="1:1" ht="13">
      <c r="A876" s="91"/>
    </row>
    <row r="877" spans="1:1" ht="13">
      <c r="A877" s="91"/>
    </row>
    <row r="878" spans="1:1" ht="13">
      <c r="A878" s="91"/>
    </row>
    <row r="879" spans="1:1" ht="13">
      <c r="A879" s="91"/>
    </row>
    <row r="880" spans="1:1" ht="13">
      <c r="A880" s="91"/>
    </row>
    <row r="881" spans="1:1" ht="13">
      <c r="A881" s="91"/>
    </row>
    <row r="882" spans="1:1" ht="13">
      <c r="A882" s="91"/>
    </row>
    <row r="883" spans="1:1" ht="13">
      <c r="A883" s="91"/>
    </row>
    <row r="884" spans="1:1" ht="13">
      <c r="A884" s="91"/>
    </row>
    <row r="885" spans="1:1" ht="13">
      <c r="A885" s="91"/>
    </row>
    <row r="886" spans="1:1" ht="13">
      <c r="A886" s="91"/>
    </row>
    <row r="887" spans="1:1" ht="13">
      <c r="A887" s="91"/>
    </row>
    <row r="888" spans="1:1" ht="13">
      <c r="A888" s="91"/>
    </row>
    <row r="889" spans="1:1" ht="13">
      <c r="A889" s="91"/>
    </row>
    <row r="890" spans="1:1" ht="13">
      <c r="A890" s="91"/>
    </row>
    <row r="891" spans="1:1" ht="13">
      <c r="A891" s="91"/>
    </row>
    <row r="892" spans="1:1" ht="13">
      <c r="A892" s="91"/>
    </row>
    <row r="893" spans="1:1" ht="13">
      <c r="A893" s="91"/>
    </row>
    <row r="894" spans="1:1" ht="13">
      <c r="A894" s="91"/>
    </row>
    <row r="895" spans="1:1" ht="13">
      <c r="A895" s="91"/>
    </row>
    <row r="896" spans="1:1" ht="13">
      <c r="A896" s="91"/>
    </row>
    <row r="897" spans="1:1" ht="13">
      <c r="A897" s="91"/>
    </row>
    <row r="898" spans="1:1" ht="13">
      <c r="A898" s="91"/>
    </row>
    <row r="899" spans="1:1" ht="13">
      <c r="A899" s="91"/>
    </row>
    <row r="900" spans="1:1" ht="13">
      <c r="A900" s="91"/>
    </row>
    <row r="901" spans="1:1" ht="13">
      <c r="A901" s="91"/>
    </row>
    <row r="902" spans="1:1" ht="13">
      <c r="A902" s="91"/>
    </row>
    <row r="903" spans="1:1" ht="13">
      <c r="A903" s="91"/>
    </row>
    <row r="904" spans="1:1" ht="13">
      <c r="A904" s="91"/>
    </row>
    <row r="905" spans="1:1" ht="13">
      <c r="A905" s="91"/>
    </row>
    <row r="906" spans="1:1" ht="13">
      <c r="A906" s="91"/>
    </row>
    <row r="907" spans="1:1" ht="13">
      <c r="A907" s="91"/>
    </row>
    <row r="908" spans="1:1" ht="13">
      <c r="A908" s="91"/>
    </row>
    <row r="909" spans="1:1" ht="13">
      <c r="A909" s="91"/>
    </row>
    <row r="910" spans="1:1" ht="13">
      <c r="A910" s="91"/>
    </row>
    <row r="911" spans="1:1" ht="13">
      <c r="A911" s="91"/>
    </row>
    <row r="912" spans="1:1" ht="13">
      <c r="A912" s="91"/>
    </row>
    <row r="913" spans="1:1" ht="13">
      <c r="A913" s="91"/>
    </row>
    <row r="914" spans="1:1" ht="13">
      <c r="A914" s="91"/>
    </row>
    <row r="915" spans="1:1" ht="13">
      <c r="A915" s="91"/>
    </row>
    <row r="916" spans="1:1" ht="13">
      <c r="A916" s="91"/>
    </row>
    <row r="917" spans="1:1" ht="13">
      <c r="A917" s="91"/>
    </row>
    <row r="918" spans="1:1" ht="13">
      <c r="A918" s="91"/>
    </row>
    <row r="919" spans="1:1" ht="13">
      <c r="A919" s="91"/>
    </row>
    <row r="920" spans="1:1" ht="13">
      <c r="A920" s="91"/>
    </row>
    <row r="921" spans="1:1" ht="13">
      <c r="A921" s="91"/>
    </row>
    <row r="922" spans="1:1" ht="13">
      <c r="A922" s="91"/>
    </row>
    <row r="923" spans="1:1" ht="13">
      <c r="A923" s="91"/>
    </row>
    <row r="924" spans="1:1" ht="13">
      <c r="A924" s="91"/>
    </row>
    <row r="925" spans="1:1" ht="13">
      <c r="A925" s="91"/>
    </row>
    <row r="926" spans="1:1" ht="13">
      <c r="A926" s="91"/>
    </row>
    <row r="927" spans="1:1" ht="13">
      <c r="A927" s="91"/>
    </row>
    <row r="928" spans="1:1" ht="13">
      <c r="A928" s="91"/>
    </row>
    <row r="929" spans="1:1" ht="13">
      <c r="A929" s="91"/>
    </row>
    <row r="930" spans="1:1" ht="13">
      <c r="A930" s="91"/>
    </row>
    <row r="931" spans="1:1" ht="13">
      <c r="A931" s="91"/>
    </row>
    <row r="932" spans="1:1" ht="13">
      <c r="A932" s="91"/>
    </row>
    <row r="933" spans="1:1" ht="13">
      <c r="A933" s="91"/>
    </row>
    <row r="934" spans="1:1" ht="13">
      <c r="A934" s="91"/>
    </row>
    <row r="935" spans="1:1" ht="13">
      <c r="A935" s="91"/>
    </row>
    <row r="936" spans="1:1" ht="13">
      <c r="A936" s="91"/>
    </row>
    <row r="937" spans="1:1" ht="13">
      <c r="A937" s="91"/>
    </row>
    <row r="938" spans="1:1" ht="13">
      <c r="A938" s="91"/>
    </row>
    <row r="939" spans="1:1" ht="13">
      <c r="A939" s="91"/>
    </row>
    <row r="940" spans="1:1" ht="13">
      <c r="A940" s="91"/>
    </row>
    <row r="941" spans="1:1" ht="13">
      <c r="A941" s="91"/>
    </row>
    <row r="942" spans="1:1" ht="13">
      <c r="A942" s="91"/>
    </row>
    <row r="943" spans="1:1" ht="13">
      <c r="A943" s="91"/>
    </row>
    <row r="944" spans="1:1" ht="13">
      <c r="A944" s="91"/>
    </row>
    <row r="945" spans="1:1" ht="13">
      <c r="A945" s="91"/>
    </row>
    <row r="946" spans="1:1" ht="13">
      <c r="A946" s="91"/>
    </row>
    <row r="947" spans="1:1" ht="13">
      <c r="A947" s="91"/>
    </row>
    <row r="948" spans="1:1" ht="13">
      <c r="A948" s="91"/>
    </row>
    <row r="949" spans="1:1" ht="13">
      <c r="A949" s="91"/>
    </row>
    <row r="950" spans="1:1" ht="13">
      <c r="A950" s="91"/>
    </row>
    <row r="951" spans="1:1" ht="13">
      <c r="A951" s="91"/>
    </row>
    <row r="952" spans="1:1" ht="13">
      <c r="A952" s="91"/>
    </row>
    <row r="953" spans="1:1" ht="13">
      <c r="A953" s="91"/>
    </row>
    <row r="954" spans="1:1" ht="13">
      <c r="A954" s="91"/>
    </row>
    <row r="955" spans="1:1" ht="13">
      <c r="A955" s="91"/>
    </row>
    <row r="956" spans="1:1" ht="13">
      <c r="A956" s="91"/>
    </row>
    <row r="957" spans="1:1" ht="13">
      <c r="A957" s="91"/>
    </row>
    <row r="958" spans="1:1" ht="13">
      <c r="A958" s="91"/>
    </row>
    <row r="959" spans="1:1" ht="13">
      <c r="A959" s="91"/>
    </row>
    <row r="960" spans="1:1" ht="13">
      <c r="A960" s="91"/>
    </row>
    <row r="961" spans="1:1" ht="13">
      <c r="A961" s="91"/>
    </row>
    <row r="962" spans="1:1" ht="13">
      <c r="A962" s="91"/>
    </row>
    <row r="963" spans="1:1" ht="13">
      <c r="A963" s="91"/>
    </row>
    <row r="964" spans="1:1" ht="13">
      <c r="A964" s="91"/>
    </row>
    <row r="965" spans="1:1" ht="13">
      <c r="A965" s="91"/>
    </row>
    <row r="966" spans="1:1" ht="13">
      <c r="A966" s="91"/>
    </row>
    <row r="967" spans="1:1" ht="13">
      <c r="A967" s="91"/>
    </row>
    <row r="968" spans="1:1" ht="13">
      <c r="A968" s="91"/>
    </row>
    <row r="969" spans="1:1" ht="13">
      <c r="A969" s="91"/>
    </row>
    <row r="970" spans="1:1" ht="13">
      <c r="A970" s="91"/>
    </row>
    <row r="971" spans="1:1" ht="13">
      <c r="A971" s="91"/>
    </row>
    <row r="972" spans="1:1" ht="13">
      <c r="A972" s="91"/>
    </row>
    <row r="973" spans="1:1" ht="13">
      <c r="A973" s="91"/>
    </row>
    <row r="974" spans="1:1" ht="13">
      <c r="A974" s="91"/>
    </row>
    <row r="975" spans="1:1" ht="13">
      <c r="A975" s="91"/>
    </row>
    <row r="976" spans="1:1" ht="13">
      <c r="A976" s="91"/>
    </row>
    <row r="977" spans="1:1" ht="13">
      <c r="A977" s="91"/>
    </row>
    <row r="978" spans="1:1" ht="13">
      <c r="A978" s="91"/>
    </row>
    <row r="979" spans="1:1" ht="13">
      <c r="A979" s="91"/>
    </row>
    <row r="980" spans="1:1" ht="13">
      <c r="A980" s="91"/>
    </row>
    <row r="981" spans="1:1" ht="13">
      <c r="A981" s="91"/>
    </row>
    <row r="982" spans="1:1" ht="13">
      <c r="A982" s="91"/>
    </row>
    <row r="983" spans="1:1" ht="13">
      <c r="A983" s="91"/>
    </row>
    <row r="984" spans="1:1" ht="13">
      <c r="A984" s="91"/>
    </row>
    <row r="985" spans="1:1" ht="13">
      <c r="A985" s="91"/>
    </row>
    <row r="986" spans="1:1" ht="13">
      <c r="A986" s="91"/>
    </row>
    <row r="987" spans="1:1" ht="13">
      <c r="A987" s="91"/>
    </row>
    <row r="988" spans="1:1" ht="13">
      <c r="A988" s="91"/>
    </row>
    <row r="989" spans="1:1" ht="13">
      <c r="A989" s="91"/>
    </row>
    <row r="990" spans="1:1" ht="13">
      <c r="A990" s="91"/>
    </row>
    <row r="991" spans="1:1" ht="13">
      <c r="A991" s="91"/>
    </row>
    <row r="992" spans="1:1" ht="13">
      <c r="A992" s="91"/>
    </row>
    <row r="993" spans="1:1" ht="13">
      <c r="A993" s="9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X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4" ht="15.75" customHeight="1">
      <c r="A1" s="179" t="s">
        <v>672</v>
      </c>
      <c r="B1" s="180" t="s">
        <v>706</v>
      </c>
      <c r="C1" s="180" t="s">
        <v>707</v>
      </c>
      <c r="D1" s="181" t="s">
        <v>708</v>
      </c>
      <c r="E1" s="182" t="s">
        <v>709</v>
      </c>
      <c r="F1" s="182" t="s">
        <v>710</v>
      </c>
      <c r="G1" s="181" t="s">
        <v>711</v>
      </c>
      <c r="H1" s="182" t="s">
        <v>712</v>
      </c>
      <c r="I1" s="182" t="s">
        <v>713</v>
      </c>
      <c r="J1" s="182" t="s">
        <v>714</v>
      </c>
      <c r="K1" s="182" t="s">
        <v>715</v>
      </c>
      <c r="L1" s="182" t="s">
        <v>716</v>
      </c>
      <c r="M1" s="182" t="s">
        <v>717</v>
      </c>
      <c r="N1" s="182" t="s">
        <v>718</v>
      </c>
      <c r="O1" s="182" t="s">
        <v>719</v>
      </c>
      <c r="P1" s="182" t="s">
        <v>720</v>
      </c>
      <c r="Q1" s="183" t="s">
        <v>721</v>
      </c>
      <c r="R1" s="184" t="s">
        <v>642</v>
      </c>
      <c r="S1" s="184" t="s">
        <v>722</v>
      </c>
      <c r="T1" s="184" t="s">
        <v>643</v>
      </c>
      <c r="U1" s="1" t="s">
        <v>723</v>
      </c>
      <c r="V1" s="1" t="s">
        <v>724</v>
      </c>
      <c r="W1" s="1" t="s">
        <v>725</v>
      </c>
      <c r="X1" s="184" t="s">
        <v>745</v>
      </c>
    </row>
    <row r="2" spans="1:24" ht="15.75" customHeight="1">
      <c r="A2" s="178"/>
      <c r="B2" s="198" t="s">
        <v>706</v>
      </c>
      <c r="C2" s="198" t="s">
        <v>707</v>
      </c>
      <c r="D2" s="199" t="s">
        <v>708</v>
      </c>
      <c r="E2" s="200" t="s">
        <v>709</v>
      </c>
      <c r="F2" s="200" t="s">
        <v>710</v>
      </c>
      <c r="G2" s="199" t="s">
        <v>711</v>
      </c>
      <c r="H2" s="200" t="s">
        <v>712</v>
      </c>
      <c r="I2" s="200" t="s">
        <v>713</v>
      </c>
      <c r="J2" s="200" t="s">
        <v>714</v>
      </c>
      <c r="K2" s="200" t="s">
        <v>715</v>
      </c>
      <c r="L2" s="200" t="s">
        <v>716</v>
      </c>
      <c r="M2" s="200" t="s">
        <v>717</v>
      </c>
      <c r="N2" s="200" t="s">
        <v>718</v>
      </c>
      <c r="O2" s="200" t="s">
        <v>719</v>
      </c>
      <c r="P2" s="200" t="s">
        <v>720</v>
      </c>
      <c r="Q2" s="200" t="s">
        <v>778</v>
      </c>
      <c r="R2" s="188"/>
      <c r="S2" s="188"/>
      <c r="T2" s="188"/>
      <c r="U2" s="188"/>
      <c r="V2" s="188"/>
      <c r="W2" s="186"/>
      <c r="X2" s="186"/>
    </row>
    <row r="3" spans="1:24" ht="15.75" customHeight="1">
      <c r="A3" s="178"/>
      <c r="B3" s="201" t="s">
        <v>747</v>
      </c>
      <c r="C3" s="201" t="s">
        <v>732</v>
      </c>
      <c r="D3" s="202">
        <v>5</v>
      </c>
      <c r="E3" s="203">
        <v>45692</v>
      </c>
      <c r="F3" s="203">
        <v>45659</v>
      </c>
      <c r="G3" s="202" t="s">
        <v>731</v>
      </c>
      <c r="H3" s="201">
        <v>0</v>
      </c>
      <c r="I3" s="201">
        <v>1</v>
      </c>
      <c r="J3" s="201">
        <v>1</v>
      </c>
      <c r="K3" s="201">
        <v>0</v>
      </c>
      <c r="L3" s="201">
        <v>0</v>
      </c>
      <c r="M3" s="201">
        <v>0</v>
      </c>
      <c r="N3" s="201">
        <v>0</v>
      </c>
      <c r="O3" s="201">
        <v>0</v>
      </c>
      <c r="P3" s="201">
        <v>10</v>
      </c>
      <c r="Q3" s="201">
        <v>2</v>
      </c>
      <c r="R3" s="188"/>
      <c r="S3" s="188"/>
      <c r="T3" s="188"/>
      <c r="U3" s="188"/>
      <c r="V3" s="188"/>
      <c r="W3" s="186"/>
      <c r="X3" s="186"/>
    </row>
    <row r="4" spans="1:24" ht="15.75" customHeight="1">
      <c r="A4" s="178"/>
      <c r="B4" s="201" t="s">
        <v>752</v>
      </c>
      <c r="C4" s="201" t="s">
        <v>738</v>
      </c>
      <c r="D4" s="202">
        <v>1</v>
      </c>
      <c r="E4" s="201" t="s">
        <v>731</v>
      </c>
      <c r="F4" s="201" t="s">
        <v>731</v>
      </c>
      <c r="G4" s="204">
        <v>45659</v>
      </c>
      <c r="H4" s="201">
        <v>0</v>
      </c>
      <c r="I4" s="201">
        <v>1</v>
      </c>
      <c r="J4" s="201">
        <v>1</v>
      </c>
      <c r="K4" s="201">
        <v>0</v>
      </c>
      <c r="L4" s="201">
        <v>1</v>
      </c>
      <c r="M4" s="201">
        <v>1</v>
      </c>
      <c r="N4" s="201">
        <v>0</v>
      </c>
      <c r="O4" s="201">
        <v>1</v>
      </c>
      <c r="P4" s="201">
        <v>8</v>
      </c>
      <c r="Q4" s="201">
        <v>-7</v>
      </c>
      <c r="R4" s="188"/>
      <c r="S4" s="188"/>
      <c r="T4" s="188"/>
      <c r="U4" s="188"/>
      <c r="V4" s="188"/>
      <c r="W4" s="186"/>
      <c r="X4" s="186"/>
    </row>
    <row r="5" spans="1:24" ht="15.75" customHeight="1">
      <c r="A5" s="178"/>
      <c r="B5" s="201" t="s">
        <v>748</v>
      </c>
      <c r="C5" s="201" t="s">
        <v>733</v>
      </c>
      <c r="D5" s="202">
        <v>5</v>
      </c>
      <c r="E5" s="203">
        <v>45692</v>
      </c>
      <c r="F5" s="201" t="s">
        <v>743</v>
      </c>
      <c r="G5" s="204">
        <v>45658</v>
      </c>
      <c r="H5" s="201">
        <v>0</v>
      </c>
      <c r="I5" s="201">
        <v>0</v>
      </c>
      <c r="J5" s="201">
        <v>0</v>
      </c>
      <c r="K5" s="201">
        <v>1</v>
      </c>
      <c r="L5" s="201">
        <v>1</v>
      </c>
      <c r="M5" s="201">
        <v>1</v>
      </c>
      <c r="N5" s="201">
        <v>0</v>
      </c>
      <c r="O5" s="201">
        <v>0</v>
      </c>
      <c r="P5" s="201">
        <v>8</v>
      </c>
      <c r="Q5" s="201">
        <v>2</v>
      </c>
      <c r="R5" s="188"/>
      <c r="S5" s="188"/>
      <c r="T5" s="188"/>
      <c r="U5" s="188"/>
      <c r="V5" s="188"/>
      <c r="W5" s="186"/>
      <c r="X5" s="186"/>
    </row>
    <row r="6" spans="1:24" ht="15.75" customHeight="1">
      <c r="A6" s="178"/>
      <c r="B6" s="201" t="s">
        <v>749</v>
      </c>
      <c r="C6" s="201" t="s">
        <v>736</v>
      </c>
      <c r="D6" s="202">
        <v>4</v>
      </c>
      <c r="E6" s="203">
        <v>45659</v>
      </c>
      <c r="F6" s="201" t="s">
        <v>743</v>
      </c>
      <c r="G6" s="204">
        <v>45690</v>
      </c>
      <c r="H6" s="201">
        <v>0</v>
      </c>
      <c r="I6" s="201">
        <v>3</v>
      </c>
      <c r="J6" s="201">
        <v>3</v>
      </c>
      <c r="K6" s="201">
        <v>2</v>
      </c>
      <c r="L6" s="201">
        <v>0</v>
      </c>
      <c r="M6" s="201">
        <v>3</v>
      </c>
      <c r="N6" s="201">
        <v>0</v>
      </c>
      <c r="O6" s="201">
        <v>1</v>
      </c>
      <c r="P6" s="201">
        <v>8</v>
      </c>
      <c r="Q6" s="201">
        <v>2</v>
      </c>
      <c r="R6" s="188"/>
      <c r="S6" s="188"/>
      <c r="T6" s="188"/>
      <c r="U6" s="188"/>
      <c r="V6" s="188"/>
      <c r="W6" s="186"/>
      <c r="X6" s="186"/>
    </row>
    <row r="7" spans="1:24" ht="15.75" customHeight="1">
      <c r="A7" s="178"/>
      <c r="B7" s="201" t="s">
        <v>750</v>
      </c>
      <c r="C7" s="201" t="s">
        <v>737</v>
      </c>
      <c r="D7" s="202">
        <v>0</v>
      </c>
      <c r="E7" s="201" t="s">
        <v>731</v>
      </c>
      <c r="F7" s="201" t="s">
        <v>731</v>
      </c>
      <c r="G7" s="202" t="s">
        <v>731</v>
      </c>
      <c r="H7" s="201">
        <v>0</v>
      </c>
      <c r="I7" s="201">
        <v>1</v>
      </c>
      <c r="J7" s="201">
        <v>1</v>
      </c>
      <c r="K7" s="201">
        <v>0</v>
      </c>
      <c r="L7" s="201">
        <v>0</v>
      </c>
      <c r="M7" s="201">
        <v>0</v>
      </c>
      <c r="N7" s="201">
        <v>0</v>
      </c>
      <c r="O7" s="201">
        <v>0</v>
      </c>
      <c r="P7" s="201">
        <v>6</v>
      </c>
      <c r="Q7" s="201">
        <v>-8</v>
      </c>
      <c r="R7" s="188"/>
      <c r="S7" s="188"/>
      <c r="T7" s="188"/>
      <c r="U7" s="188"/>
      <c r="V7" s="188"/>
      <c r="W7" s="186"/>
      <c r="X7" s="186"/>
    </row>
    <row r="8" spans="1:24" ht="15.75" customHeight="1">
      <c r="A8" s="178"/>
      <c r="B8" s="201">
        <v>1</v>
      </c>
      <c r="C8" s="201" t="s">
        <v>730</v>
      </c>
      <c r="D8" s="202">
        <v>0</v>
      </c>
      <c r="E8" s="201" t="s">
        <v>731</v>
      </c>
      <c r="F8" s="201" t="s">
        <v>731</v>
      </c>
      <c r="G8" s="202" t="s">
        <v>731</v>
      </c>
      <c r="H8" s="201">
        <v>0</v>
      </c>
      <c r="I8" s="201">
        <v>0</v>
      </c>
      <c r="J8" s="201">
        <v>0</v>
      </c>
      <c r="K8" s="201">
        <v>0</v>
      </c>
      <c r="L8" s="201">
        <v>0</v>
      </c>
      <c r="M8" s="201">
        <v>0</v>
      </c>
      <c r="N8" s="201">
        <v>0</v>
      </c>
      <c r="O8" s="201">
        <v>0</v>
      </c>
      <c r="P8" s="201">
        <v>0</v>
      </c>
      <c r="Q8" s="201">
        <v>0</v>
      </c>
      <c r="R8" s="188"/>
      <c r="S8" s="188"/>
      <c r="T8" s="188"/>
      <c r="U8" s="188"/>
      <c r="V8" s="188"/>
      <c r="W8" s="186"/>
      <c r="X8" s="186"/>
    </row>
    <row r="9" spans="1:24" ht="15.75" customHeight="1">
      <c r="A9" s="178"/>
      <c r="B9" s="201">
        <v>6</v>
      </c>
      <c r="C9" s="201" t="s">
        <v>751</v>
      </c>
      <c r="D9" s="202">
        <v>0</v>
      </c>
      <c r="E9" s="201" t="s">
        <v>731</v>
      </c>
      <c r="F9" s="201" t="s">
        <v>731</v>
      </c>
      <c r="G9" s="202" t="s">
        <v>731</v>
      </c>
      <c r="H9" s="201">
        <v>0</v>
      </c>
      <c r="I9" s="201">
        <v>0</v>
      </c>
      <c r="J9" s="201">
        <v>0</v>
      </c>
      <c r="K9" s="201">
        <v>0</v>
      </c>
      <c r="L9" s="201">
        <v>0</v>
      </c>
      <c r="M9" s="201">
        <v>0</v>
      </c>
      <c r="N9" s="201">
        <v>0</v>
      </c>
      <c r="O9" s="201">
        <v>0</v>
      </c>
      <c r="P9" s="201">
        <v>0</v>
      </c>
      <c r="Q9" s="201">
        <v>0</v>
      </c>
      <c r="R9" s="188"/>
      <c r="S9" s="188"/>
      <c r="T9" s="188"/>
      <c r="U9" s="188"/>
      <c r="V9" s="188"/>
      <c r="W9" s="186"/>
      <c r="X9" s="186"/>
    </row>
    <row r="10" spans="1:24" ht="15.75" customHeight="1">
      <c r="A10" s="178"/>
      <c r="B10" s="201">
        <v>7</v>
      </c>
      <c r="C10" s="201" t="s">
        <v>739</v>
      </c>
      <c r="D10" s="202">
        <v>0</v>
      </c>
      <c r="E10" s="201" t="s">
        <v>731</v>
      </c>
      <c r="F10" s="201" t="s">
        <v>731</v>
      </c>
      <c r="G10" s="202" t="s">
        <v>731</v>
      </c>
      <c r="H10" s="201">
        <v>0</v>
      </c>
      <c r="I10" s="201">
        <v>1</v>
      </c>
      <c r="J10" s="201">
        <v>1</v>
      </c>
      <c r="K10" s="201">
        <v>0</v>
      </c>
      <c r="L10" s="201">
        <v>1</v>
      </c>
      <c r="M10" s="201">
        <v>1</v>
      </c>
      <c r="N10" s="201">
        <v>0</v>
      </c>
      <c r="O10" s="201">
        <v>0</v>
      </c>
      <c r="P10" s="201">
        <v>2</v>
      </c>
      <c r="Q10" s="201">
        <v>9</v>
      </c>
      <c r="R10" s="188"/>
      <c r="S10" s="188"/>
      <c r="T10" s="188"/>
      <c r="U10" s="188"/>
      <c r="V10" s="188"/>
      <c r="W10" s="186"/>
      <c r="X10" s="186"/>
    </row>
    <row r="11" spans="1:24" ht="15.75" customHeight="1">
      <c r="A11" s="178"/>
      <c r="B11" s="201">
        <v>12</v>
      </c>
      <c r="C11" s="201" t="s">
        <v>740</v>
      </c>
      <c r="D11" s="202">
        <v>1</v>
      </c>
      <c r="E11" s="201" t="s">
        <v>743</v>
      </c>
      <c r="F11" s="201" t="s">
        <v>743</v>
      </c>
      <c r="G11" s="204">
        <v>45659</v>
      </c>
      <c r="H11" s="201">
        <v>0</v>
      </c>
      <c r="I11" s="201">
        <v>0</v>
      </c>
      <c r="J11" s="201">
        <v>0</v>
      </c>
      <c r="K11" s="201">
        <v>0</v>
      </c>
      <c r="L11" s="201">
        <v>0</v>
      </c>
      <c r="M11" s="201">
        <v>0</v>
      </c>
      <c r="N11" s="201">
        <v>0</v>
      </c>
      <c r="O11" s="201">
        <v>0</v>
      </c>
      <c r="P11" s="201">
        <v>2</v>
      </c>
      <c r="Q11" s="201">
        <v>0</v>
      </c>
      <c r="R11" s="188"/>
      <c r="S11" s="188"/>
      <c r="T11" s="188"/>
      <c r="U11" s="188"/>
      <c r="V11" s="188"/>
      <c r="W11" s="186"/>
      <c r="X11" s="186"/>
    </row>
    <row r="12" spans="1:24" ht="15.75" customHeight="1">
      <c r="A12" s="178"/>
      <c r="B12" s="201">
        <v>21</v>
      </c>
      <c r="C12" s="201" t="s">
        <v>741</v>
      </c>
      <c r="D12" s="202">
        <v>0</v>
      </c>
      <c r="E12" s="201" t="s">
        <v>731</v>
      </c>
      <c r="F12" s="201" t="s">
        <v>731</v>
      </c>
      <c r="G12" s="202" t="s">
        <v>731</v>
      </c>
      <c r="H12" s="201">
        <v>1</v>
      </c>
      <c r="I12" s="201">
        <v>0</v>
      </c>
      <c r="J12" s="201">
        <v>1</v>
      </c>
      <c r="K12" s="201">
        <v>1</v>
      </c>
      <c r="L12" s="201">
        <v>0</v>
      </c>
      <c r="M12" s="201">
        <v>0</v>
      </c>
      <c r="N12" s="201">
        <v>0</v>
      </c>
      <c r="O12" s="201">
        <v>0</v>
      </c>
      <c r="P12" s="201">
        <v>3</v>
      </c>
      <c r="Q12" s="201">
        <v>9</v>
      </c>
      <c r="R12" s="188"/>
      <c r="S12" s="188"/>
      <c r="T12" s="188"/>
      <c r="U12" s="188"/>
      <c r="V12" s="188"/>
      <c r="W12" s="186"/>
      <c r="X12" s="186"/>
    </row>
    <row r="13" spans="1:24" ht="15.75" customHeight="1">
      <c r="A13" s="178"/>
      <c r="B13" s="201">
        <v>22</v>
      </c>
      <c r="C13" s="201" t="s">
        <v>742</v>
      </c>
      <c r="D13" s="202">
        <v>0</v>
      </c>
      <c r="E13" s="201" t="s">
        <v>743</v>
      </c>
      <c r="F13" s="201" t="s">
        <v>731</v>
      </c>
      <c r="G13" s="202" t="s">
        <v>731</v>
      </c>
      <c r="H13" s="201">
        <v>0</v>
      </c>
      <c r="I13" s="201">
        <v>0</v>
      </c>
      <c r="J13" s="201">
        <v>0</v>
      </c>
      <c r="K13" s="201">
        <v>0</v>
      </c>
      <c r="L13" s="201">
        <v>1</v>
      </c>
      <c r="M13" s="201">
        <v>0</v>
      </c>
      <c r="N13" s="201">
        <v>0</v>
      </c>
      <c r="O13" s="201">
        <v>0</v>
      </c>
      <c r="P13" s="201">
        <v>2</v>
      </c>
      <c r="Q13" s="201">
        <v>1</v>
      </c>
      <c r="R13" s="188"/>
      <c r="S13" s="188"/>
      <c r="T13" s="188"/>
      <c r="U13" s="188"/>
      <c r="V13" s="188"/>
      <c r="W13" s="186"/>
      <c r="X13" s="186"/>
    </row>
    <row r="14" spans="1:24" ht="15.75" customHeight="1">
      <c r="A14" s="178"/>
      <c r="B14" s="205">
        <v>23</v>
      </c>
      <c r="C14" s="205" t="s">
        <v>753</v>
      </c>
      <c r="D14" s="206">
        <v>0</v>
      </c>
      <c r="E14" s="205" t="s">
        <v>731</v>
      </c>
      <c r="F14" s="205" t="s">
        <v>731</v>
      </c>
      <c r="G14" s="206" t="s">
        <v>731</v>
      </c>
      <c r="H14" s="205">
        <v>0</v>
      </c>
      <c r="I14" s="205">
        <v>0</v>
      </c>
      <c r="J14" s="205">
        <v>0</v>
      </c>
      <c r="K14" s="205">
        <v>0</v>
      </c>
      <c r="L14" s="205">
        <v>0</v>
      </c>
      <c r="M14" s="205">
        <v>0</v>
      </c>
      <c r="N14" s="205">
        <v>0</v>
      </c>
      <c r="O14" s="205">
        <v>0</v>
      </c>
      <c r="P14" s="205">
        <v>0</v>
      </c>
      <c r="Q14" s="205">
        <v>0</v>
      </c>
      <c r="R14" s="188"/>
      <c r="S14" s="188"/>
      <c r="T14" s="188"/>
      <c r="U14" s="188"/>
      <c r="V14" s="188"/>
      <c r="W14" s="186"/>
      <c r="X14" s="186"/>
    </row>
    <row r="15" spans="1:24" ht="15.75" customHeight="1">
      <c r="A15" s="178"/>
      <c r="B15" s="201" t="s">
        <v>747</v>
      </c>
      <c r="C15" s="201" t="s">
        <v>732</v>
      </c>
      <c r="D15" s="202">
        <v>0</v>
      </c>
      <c r="E15" s="201" t="s">
        <v>734</v>
      </c>
      <c r="F15" s="201" t="s">
        <v>735</v>
      </c>
      <c r="G15" s="202" t="s">
        <v>731</v>
      </c>
      <c r="H15" s="201">
        <v>0</v>
      </c>
      <c r="I15" s="201">
        <v>2</v>
      </c>
      <c r="J15" s="201">
        <v>2</v>
      </c>
      <c r="K15" s="201">
        <v>0</v>
      </c>
      <c r="L15" s="201">
        <v>0</v>
      </c>
      <c r="M15" s="201">
        <v>0</v>
      </c>
      <c r="N15" s="201">
        <v>0</v>
      </c>
      <c r="O15" s="201">
        <v>0</v>
      </c>
      <c r="P15" s="201">
        <v>8</v>
      </c>
      <c r="Q15" s="201">
        <v>-4</v>
      </c>
      <c r="R15" s="188"/>
      <c r="S15" s="188"/>
      <c r="T15" s="188"/>
      <c r="U15" s="188"/>
      <c r="V15" s="188"/>
      <c r="W15" s="186"/>
      <c r="X15" s="186"/>
    </row>
    <row r="16" spans="1:24" ht="15.75" customHeight="1">
      <c r="A16" s="178"/>
      <c r="B16" s="201" t="s">
        <v>752</v>
      </c>
      <c r="C16" s="201" t="s">
        <v>738</v>
      </c>
      <c r="D16" s="202">
        <v>0</v>
      </c>
      <c r="E16" s="201" t="s">
        <v>743</v>
      </c>
      <c r="F16" s="201" t="s">
        <v>731</v>
      </c>
      <c r="G16" s="202" t="s">
        <v>731</v>
      </c>
      <c r="H16" s="201">
        <v>0</v>
      </c>
      <c r="I16" s="201">
        <v>0</v>
      </c>
      <c r="J16" s="201">
        <v>0</v>
      </c>
      <c r="K16" s="201">
        <v>1</v>
      </c>
      <c r="L16" s="201">
        <v>0</v>
      </c>
      <c r="M16" s="201">
        <v>1</v>
      </c>
      <c r="N16" s="201">
        <v>0</v>
      </c>
      <c r="O16" s="201">
        <v>0</v>
      </c>
      <c r="P16" s="201">
        <v>7</v>
      </c>
      <c r="Q16" s="201">
        <v>-4</v>
      </c>
      <c r="R16" s="188"/>
      <c r="S16" s="188"/>
      <c r="T16" s="188"/>
      <c r="U16" s="188"/>
      <c r="V16" s="188"/>
      <c r="W16" s="186"/>
      <c r="X16" s="186"/>
    </row>
    <row r="17" spans="1:24" ht="15.75" customHeight="1">
      <c r="A17" s="178"/>
      <c r="B17" s="201" t="s">
        <v>748</v>
      </c>
      <c r="C17" s="201" t="s">
        <v>733</v>
      </c>
      <c r="D17" s="202">
        <v>4</v>
      </c>
      <c r="E17" s="203">
        <v>45660</v>
      </c>
      <c r="F17" s="201" t="s">
        <v>743</v>
      </c>
      <c r="G17" s="204">
        <v>45690</v>
      </c>
      <c r="H17" s="201">
        <v>1</v>
      </c>
      <c r="I17" s="201">
        <v>3</v>
      </c>
      <c r="J17" s="201">
        <v>4</v>
      </c>
      <c r="K17" s="201">
        <v>1</v>
      </c>
      <c r="L17" s="201">
        <v>0</v>
      </c>
      <c r="M17" s="201">
        <v>0</v>
      </c>
      <c r="N17" s="201">
        <v>0</v>
      </c>
      <c r="O17" s="201">
        <v>1</v>
      </c>
      <c r="P17" s="201">
        <v>10</v>
      </c>
      <c r="Q17" s="201">
        <v>-2</v>
      </c>
      <c r="R17" s="188"/>
      <c r="S17" s="188"/>
      <c r="T17" s="188"/>
      <c r="U17" s="188"/>
      <c r="V17" s="188"/>
      <c r="W17" s="186"/>
      <c r="X17" s="186"/>
    </row>
    <row r="18" spans="1:24" ht="15.75" customHeight="1">
      <c r="A18" s="178"/>
      <c r="B18" s="201" t="s">
        <v>749</v>
      </c>
      <c r="C18" s="201" t="s">
        <v>736</v>
      </c>
      <c r="D18" s="202">
        <v>0</v>
      </c>
      <c r="E18" s="201" t="s">
        <v>731</v>
      </c>
      <c r="F18" s="201" t="s">
        <v>731</v>
      </c>
      <c r="G18" s="202" t="s">
        <v>731</v>
      </c>
      <c r="H18" s="201">
        <v>0</v>
      </c>
      <c r="I18" s="201">
        <v>0</v>
      </c>
      <c r="J18" s="201">
        <v>0</v>
      </c>
      <c r="K18" s="201">
        <v>0</v>
      </c>
      <c r="L18" s="201">
        <v>1</v>
      </c>
      <c r="M18" s="201">
        <v>2</v>
      </c>
      <c r="N18" s="201">
        <v>0</v>
      </c>
      <c r="O18" s="201">
        <v>0</v>
      </c>
      <c r="P18" s="201">
        <v>6</v>
      </c>
      <c r="Q18" s="201">
        <v>-1</v>
      </c>
      <c r="R18" s="188"/>
      <c r="S18" s="188"/>
      <c r="T18" s="188"/>
      <c r="U18" s="188"/>
      <c r="V18" s="188"/>
      <c r="W18" s="186"/>
      <c r="X18" s="186"/>
    </row>
    <row r="19" spans="1:24" ht="15.75" customHeight="1">
      <c r="A19" s="178"/>
      <c r="B19" s="201" t="s">
        <v>750</v>
      </c>
      <c r="C19" s="201" t="s">
        <v>737</v>
      </c>
      <c r="D19" s="202">
        <v>2</v>
      </c>
      <c r="E19" s="203">
        <v>45659</v>
      </c>
      <c r="F19" s="201" t="s">
        <v>731</v>
      </c>
      <c r="G19" s="202" t="s">
        <v>731</v>
      </c>
      <c r="H19" s="201">
        <v>0</v>
      </c>
      <c r="I19" s="201">
        <v>1</v>
      </c>
      <c r="J19" s="201">
        <v>1</v>
      </c>
      <c r="K19" s="201">
        <v>0</v>
      </c>
      <c r="L19" s="201">
        <v>2</v>
      </c>
      <c r="M19" s="201">
        <v>1</v>
      </c>
      <c r="N19" s="201">
        <v>0</v>
      </c>
      <c r="O19" s="201">
        <v>0</v>
      </c>
      <c r="P19" s="201">
        <v>5</v>
      </c>
      <c r="Q19" s="201">
        <v>-6</v>
      </c>
      <c r="R19" s="188"/>
      <c r="S19" s="188"/>
      <c r="T19" s="188"/>
      <c r="U19" s="188"/>
      <c r="V19" s="188"/>
      <c r="W19" s="186"/>
      <c r="X19" s="186"/>
    </row>
    <row r="20" spans="1:24" ht="15.75" customHeight="1">
      <c r="A20" s="178"/>
      <c r="B20" s="201">
        <v>1</v>
      </c>
      <c r="C20" s="201" t="s">
        <v>730</v>
      </c>
      <c r="D20" s="202">
        <v>0</v>
      </c>
      <c r="E20" s="201" t="s">
        <v>731</v>
      </c>
      <c r="F20" s="201" t="s">
        <v>731</v>
      </c>
      <c r="G20" s="202" t="s">
        <v>731</v>
      </c>
      <c r="H20" s="201">
        <v>0</v>
      </c>
      <c r="I20" s="201">
        <v>0</v>
      </c>
      <c r="J20" s="201">
        <v>0</v>
      </c>
      <c r="K20" s="201">
        <v>0</v>
      </c>
      <c r="L20" s="201">
        <v>0</v>
      </c>
      <c r="M20" s="201">
        <v>0</v>
      </c>
      <c r="N20" s="201">
        <v>0</v>
      </c>
      <c r="O20" s="201">
        <v>0</v>
      </c>
      <c r="P20" s="201">
        <v>0</v>
      </c>
      <c r="Q20" s="201">
        <v>0</v>
      </c>
      <c r="R20" s="188"/>
      <c r="S20" s="188"/>
      <c r="T20" s="188"/>
      <c r="U20" s="188"/>
      <c r="V20" s="188"/>
      <c r="W20" s="186"/>
      <c r="X20" s="186"/>
    </row>
    <row r="21" spans="1:24" ht="15.75" customHeight="1">
      <c r="A21" s="178"/>
      <c r="B21" s="201">
        <v>6</v>
      </c>
      <c r="C21" s="201" t="s">
        <v>751</v>
      </c>
      <c r="D21" s="202">
        <v>0</v>
      </c>
      <c r="E21" s="201" t="s">
        <v>731</v>
      </c>
      <c r="F21" s="201" t="s">
        <v>731</v>
      </c>
      <c r="G21" s="202" t="s">
        <v>731</v>
      </c>
      <c r="H21" s="201">
        <v>0</v>
      </c>
      <c r="I21" s="201">
        <v>1</v>
      </c>
      <c r="J21" s="201">
        <v>1</v>
      </c>
      <c r="K21" s="201">
        <v>0</v>
      </c>
      <c r="L21" s="201">
        <v>1</v>
      </c>
      <c r="M21" s="201">
        <v>1</v>
      </c>
      <c r="N21" s="201">
        <v>0</v>
      </c>
      <c r="O21" s="201">
        <v>0</v>
      </c>
      <c r="P21" s="201">
        <v>5</v>
      </c>
      <c r="Q21" s="201">
        <v>4</v>
      </c>
      <c r="R21" s="188"/>
      <c r="S21" s="188"/>
      <c r="T21" s="188"/>
      <c r="U21" s="188"/>
      <c r="V21" s="188"/>
      <c r="W21" s="186"/>
      <c r="X21" s="186"/>
    </row>
    <row r="22" spans="1:24" ht="15.75" customHeight="1">
      <c r="A22" s="178"/>
      <c r="B22" s="201">
        <v>7</v>
      </c>
      <c r="C22" s="201" t="s">
        <v>739</v>
      </c>
      <c r="D22" s="202">
        <v>2</v>
      </c>
      <c r="E22" s="203">
        <v>45659</v>
      </c>
      <c r="F22" s="201" t="s">
        <v>731</v>
      </c>
      <c r="G22" s="202" t="s">
        <v>731</v>
      </c>
      <c r="H22" s="201">
        <v>1</v>
      </c>
      <c r="I22" s="201">
        <v>0</v>
      </c>
      <c r="J22" s="201">
        <v>1</v>
      </c>
      <c r="K22" s="201">
        <v>0</v>
      </c>
      <c r="L22" s="201">
        <v>0</v>
      </c>
      <c r="M22" s="201">
        <v>0</v>
      </c>
      <c r="N22" s="201">
        <v>0</v>
      </c>
      <c r="O22" s="201">
        <v>0</v>
      </c>
      <c r="P22" s="201">
        <v>2</v>
      </c>
      <c r="Q22" s="201">
        <v>2</v>
      </c>
      <c r="R22" s="188"/>
      <c r="S22" s="188"/>
      <c r="T22" s="188"/>
      <c r="U22" s="188"/>
      <c r="V22" s="188"/>
      <c r="W22" s="186"/>
      <c r="X22" s="186"/>
    </row>
    <row r="23" spans="1:24" ht="15.75" customHeight="1">
      <c r="A23" s="178"/>
      <c r="B23" s="201">
        <v>12</v>
      </c>
      <c r="C23" s="201" t="s">
        <v>740</v>
      </c>
      <c r="D23" s="202">
        <v>0</v>
      </c>
      <c r="E23" s="201" t="s">
        <v>731</v>
      </c>
      <c r="F23" s="201" t="s">
        <v>731</v>
      </c>
      <c r="G23" s="202" t="s">
        <v>731</v>
      </c>
      <c r="H23" s="201">
        <v>0</v>
      </c>
      <c r="I23" s="201">
        <v>0</v>
      </c>
      <c r="J23" s="201">
        <v>0</v>
      </c>
      <c r="K23" s="201">
        <v>0</v>
      </c>
      <c r="L23" s="201">
        <v>0</v>
      </c>
      <c r="M23" s="201">
        <v>2</v>
      </c>
      <c r="N23" s="201">
        <v>0</v>
      </c>
      <c r="O23" s="201">
        <v>0</v>
      </c>
      <c r="P23" s="201">
        <v>1</v>
      </c>
      <c r="Q23" s="201">
        <v>-3</v>
      </c>
      <c r="R23" s="188"/>
      <c r="S23" s="188"/>
      <c r="T23" s="188"/>
      <c r="U23" s="188"/>
      <c r="V23" s="188"/>
      <c r="W23" s="186"/>
      <c r="X23" s="186"/>
    </row>
    <row r="24" spans="1:24" ht="15.75" customHeight="1">
      <c r="A24" s="178"/>
      <c r="B24" s="201">
        <v>21</v>
      </c>
      <c r="C24" s="201" t="s">
        <v>741</v>
      </c>
      <c r="D24" s="202">
        <v>0</v>
      </c>
      <c r="E24" s="201" t="s">
        <v>731</v>
      </c>
      <c r="F24" s="201" t="s">
        <v>731</v>
      </c>
      <c r="G24" s="202" t="s">
        <v>731</v>
      </c>
      <c r="H24" s="201">
        <v>0</v>
      </c>
      <c r="I24" s="201">
        <v>2</v>
      </c>
      <c r="J24" s="201">
        <v>2</v>
      </c>
      <c r="K24" s="201">
        <v>0</v>
      </c>
      <c r="L24" s="201">
        <v>0</v>
      </c>
      <c r="M24" s="201">
        <v>0</v>
      </c>
      <c r="N24" s="201">
        <v>0</v>
      </c>
      <c r="O24" s="201">
        <v>0</v>
      </c>
      <c r="P24" s="201">
        <v>2</v>
      </c>
      <c r="Q24" s="201">
        <v>2</v>
      </c>
      <c r="R24" s="188"/>
      <c r="S24" s="188"/>
      <c r="T24" s="188"/>
      <c r="U24" s="188"/>
      <c r="V24" s="188"/>
      <c r="W24" s="186"/>
      <c r="X24" s="186"/>
    </row>
    <row r="25" spans="1:24" ht="15.75" customHeight="1">
      <c r="A25" s="178"/>
      <c r="B25" s="201">
        <v>22</v>
      </c>
      <c r="C25" s="201" t="s">
        <v>742</v>
      </c>
      <c r="D25" s="202">
        <v>0</v>
      </c>
      <c r="E25" s="201" t="s">
        <v>731</v>
      </c>
      <c r="F25" s="201" t="s">
        <v>731</v>
      </c>
      <c r="G25" s="202" t="s">
        <v>731</v>
      </c>
      <c r="H25" s="201">
        <v>0</v>
      </c>
      <c r="I25" s="201">
        <v>0</v>
      </c>
      <c r="J25" s="201">
        <v>0</v>
      </c>
      <c r="K25" s="201">
        <v>1</v>
      </c>
      <c r="L25" s="201">
        <v>1</v>
      </c>
      <c r="M25" s="201">
        <v>0</v>
      </c>
      <c r="N25" s="201">
        <v>0</v>
      </c>
      <c r="O25" s="201">
        <v>0</v>
      </c>
      <c r="P25" s="201">
        <v>2</v>
      </c>
      <c r="Q25" s="201">
        <v>2</v>
      </c>
      <c r="R25" s="188"/>
      <c r="S25" s="188"/>
      <c r="T25" s="188"/>
      <c r="U25" s="188"/>
      <c r="V25" s="188"/>
      <c r="W25" s="186"/>
      <c r="X25" s="186"/>
    </row>
    <row r="26" spans="1:24" ht="15.75" customHeight="1">
      <c r="A26" s="178"/>
      <c r="B26" s="205">
        <v>23</v>
      </c>
      <c r="C26" s="205" t="s">
        <v>753</v>
      </c>
      <c r="D26" s="206">
        <v>0</v>
      </c>
      <c r="E26" s="205" t="s">
        <v>731</v>
      </c>
      <c r="F26" s="205" t="s">
        <v>731</v>
      </c>
      <c r="G26" s="206" t="s">
        <v>731</v>
      </c>
      <c r="H26" s="205">
        <v>0</v>
      </c>
      <c r="I26" s="205">
        <v>0</v>
      </c>
      <c r="J26" s="205">
        <v>0</v>
      </c>
      <c r="K26" s="205">
        <v>0</v>
      </c>
      <c r="L26" s="205">
        <v>0</v>
      </c>
      <c r="M26" s="205">
        <v>0</v>
      </c>
      <c r="N26" s="205">
        <v>0</v>
      </c>
      <c r="O26" s="205">
        <v>0</v>
      </c>
      <c r="P26" s="205">
        <v>0</v>
      </c>
      <c r="Q26" s="205">
        <v>0</v>
      </c>
      <c r="R26" s="188"/>
      <c r="S26" s="188"/>
      <c r="T26" s="188"/>
      <c r="U26" s="188"/>
      <c r="V26" s="188"/>
      <c r="W26" s="186"/>
      <c r="X26" s="186"/>
    </row>
    <row r="27" spans="1:24" ht="15.75" customHeight="1">
      <c r="A27" s="178"/>
      <c r="B27" s="201" t="s">
        <v>747</v>
      </c>
      <c r="C27" s="201" t="s">
        <v>732</v>
      </c>
      <c r="D27" s="202">
        <v>2</v>
      </c>
      <c r="E27" s="203">
        <v>45661</v>
      </c>
      <c r="F27" s="201" t="s">
        <v>735</v>
      </c>
      <c r="G27" s="202" t="s">
        <v>731</v>
      </c>
      <c r="H27" s="201">
        <v>1</v>
      </c>
      <c r="I27" s="201">
        <v>0</v>
      </c>
      <c r="J27" s="201">
        <v>1</v>
      </c>
      <c r="K27" s="201">
        <v>1</v>
      </c>
      <c r="L27" s="201">
        <v>1</v>
      </c>
      <c r="M27" s="201">
        <v>0</v>
      </c>
      <c r="N27" s="201">
        <v>0</v>
      </c>
      <c r="O27" s="201">
        <v>0</v>
      </c>
      <c r="P27" s="201">
        <v>10</v>
      </c>
      <c r="Q27" s="201">
        <v>1</v>
      </c>
      <c r="R27" s="188"/>
      <c r="S27" s="188"/>
      <c r="T27" s="188"/>
      <c r="U27" s="188"/>
      <c r="V27" s="188"/>
      <c r="W27" s="186"/>
      <c r="X27" s="186"/>
    </row>
    <row r="28" spans="1:24" ht="15.75" customHeight="1">
      <c r="A28" s="178"/>
      <c r="B28" s="201" t="s">
        <v>752</v>
      </c>
      <c r="C28" s="201" t="s">
        <v>738</v>
      </c>
      <c r="D28" s="202">
        <v>0</v>
      </c>
      <c r="E28" s="201" t="s">
        <v>731</v>
      </c>
      <c r="F28" s="201" t="s">
        <v>731</v>
      </c>
      <c r="G28" s="202" t="s">
        <v>731</v>
      </c>
      <c r="H28" s="201">
        <v>0</v>
      </c>
      <c r="I28" s="201">
        <v>0</v>
      </c>
      <c r="J28" s="201">
        <v>0</v>
      </c>
      <c r="K28" s="201">
        <v>0</v>
      </c>
      <c r="L28" s="201">
        <v>2</v>
      </c>
      <c r="M28" s="201">
        <v>0</v>
      </c>
      <c r="N28" s="201">
        <v>0</v>
      </c>
      <c r="O28" s="201">
        <v>0</v>
      </c>
      <c r="P28" s="201">
        <v>2</v>
      </c>
      <c r="Q28" s="201">
        <v>-5</v>
      </c>
      <c r="R28" s="188"/>
      <c r="S28" s="188"/>
      <c r="T28" s="188"/>
      <c r="U28" s="188"/>
      <c r="V28" s="188"/>
      <c r="W28" s="186"/>
      <c r="X28" s="186"/>
    </row>
    <row r="29" spans="1:24" ht="15.75" customHeight="1">
      <c r="A29" s="178"/>
      <c r="B29" s="201" t="s">
        <v>748</v>
      </c>
      <c r="C29" s="201" t="s">
        <v>733</v>
      </c>
      <c r="D29" s="202">
        <v>4</v>
      </c>
      <c r="E29" s="203">
        <v>45692</v>
      </c>
      <c r="F29" s="201" t="s">
        <v>735</v>
      </c>
      <c r="G29" s="202" t="s">
        <v>731</v>
      </c>
      <c r="H29" s="201">
        <v>0</v>
      </c>
      <c r="I29" s="201">
        <v>0</v>
      </c>
      <c r="J29" s="201">
        <v>0</v>
      </c>
      <c r="K29" s="201">
        <v>1</v>
      </c>
      <c r="L29" s="201">
        <v>0</v>
      </c>
      <c r="M29" s="201">
        <v>0</v>
      </c>
      <c r="N29" s="201">
        <v>0</v>
      </c>
      <c r="O29" s="201">
        <v>0</v>
      </c>
      <c r="P29" s="201">
        <v>10</v>
      </c>
      <c r="Q29" s="201">
        <v>1</v>
      </c>
      <c r="R29" s="188"/>
      <c r="S29" s="188"/>
      <c r="T29" s="188"/>
      <c r="U29" s="188"/>
      <c r="V29" s="188"/>
      <c r="W29" s="186"/>
      <c r="X29" s="186"/>
    </row>
    <row r="30" spans="1:24" ht="15.75" customHeight="1">
      <c r="A30" s="178"/>
      <c r="B30" s="201" t="s">
        <v>749</v>
      </c>
      <c r="C30" s="201" t="s">
        <v>736</v>
      </c>
      <c r="D30" s="202">
        <v>0</v>
      </c>
      <c r="E30" s="201" t="s">
        <v>743</v>
      </c>
      <c r="F30" s="201" t="s">
        <v>731</v>
      </c>
      <c r="G30" s="202" t="s">
        <v>731</v>
      </c>
      <c r="H30" s="201">
        <v>0</v>
      </c>
      <c r="I30" s="201">
        <v>1</v>
      </c>
      <c r="J30" s="201">
        <v>1</v>
      </c>
      <c r="K30" s="201">
        <v>0</v>
      </c>
      <c r="L30" s="201">
        <v>0</v>
      </c>
      <c r="M30" s="201">
        <v>0</v>
      </c>
      <c r="N30" s="201">
        <v>0</v>
      </c>
      <c r="O30" s="201">
        <v>0</v>
      </c>
      <c r="P30" s="201">
        <v>5</v>
      </c>
      <c r="Q30" s="201">
        <v>-5</v>
      </c>
      <c r="R30" s="188"/>
      <c r="S30" s="188"/>
      <c r="T30" s="188"/>
      <c r="U30" s="188"/>
      <c r="V30" s="188"/>
      <c r="W30" s="186"/>
      <c r="X30" s="186"/>
    </row>
    <row r="31" spans="1:24" ht="15.75" customHeight="1">
      <c r="A31" s="178"/>
      <c r="B31" s="201" t="s">
        <v>750</v>
      </c>
      <c r="C31" s="201" t="s">
        <v>737</v>
      </c>
      <c r="D31" s="202">
        <v>2</v>
      </c>
      <c r="E31" s="203">
        <v>45660</v>
      </c>
      <c r="F31" s="201" t="s">
        <v>731</v>
      </c>
      <c r="G31" s="202" t="s">
        <v>731</v>
      </c>
      <c r="H31" s="201">
        <v>1</v>
      </c>
      <c r="I31" s="201">
        <v>0</v>
      </c>
      <c r="J31" s="201">
        <v>1</v>
      </c>
      <c r="K31" s="201">
        <v>1</v>
      </c>
      <c r="L31" s="201">
        <v>0</v>
      </c>
      <c r="M31" s="201">
        <v>0</v>
      </c>
      <c r="N31" s="201">
        <v>0</v>
      </c>
      <c r="O31" s="201">
        <v>0</v>
      </c>
      <c r="P31" s="201">
        <v>7</v>
      </c>
      <c r="Q31" s="201">
        <v>-4</v>
      </c>
      <c r="R31" s="188"/>
      <c r="S31" s="188"/>
      <c r="T31" s="188"/>
      <c r="U31" s="188"/>
      <c r="V31" s="188"/>
      <c r="W31" s="186"/>
      <c r="X31" s="186"/>
    </row>
    <row r="32" spans="1:24" ht="15.75" customHeight="1">
      <c r="A32" s="178"/>
      <c r="B32" s="201">
        <v>1</v>
      </c>
      <c r="C32" s="201" t="s">
        <v>730</v>
      </c>
      <c r="D32" s="202">
        <v>2</v>
      </c>
      <c r="E32" s="203">
        <v>45660</v>
      </c>
      <c r="F32" s="201" t="s">
        <v>731</v>
      </c>
      <c r="G32" s="202" t="s">
        <v>731</v>
      </c>
      <c r="H32" s="201">
        <v>1</v>
      </c>
      <c r="I32" s="201">
        <v>2</v>
      </c>
      <c r="J32" s="201">
        <v>3</v>
      </c>
      <c r="K32" s="201">
        <v>0</v>
      </c>
      <c r="L32" s="201">
        <v>0</v>
      </c>
      <c r="M32" s="201">
        <v>0</v>
      </c>
      <c r="N32" s="201">
        <v>1</v>
      </c>
      <c r="O32" s="201">
        <v>2</v>
      </c>
      <c r="P32" s="201">
        <v>5</v>
      </c>
      <c r="Q32" s="201">
        <v>6</v>
      </c>
      <c r="R32" s="188"/>
      <c r="S32" s="188"/>
      <c r="T32" s="188"/>
      <c r="U32" s="188"/>
      <c r="V32" s="188"/>
      <c r="W32" s="186"/>
      <c r="X32" s="186"/>
    </row>
    <row r="33" spans="1:24" ht="15.75" customHeight="1">
      <c r="A33" s="178"/>
      <c r="B33" s="201">
        <v>6</v>
      </c>
      <c r="C33" s="201" t="s">
        <v>751</v>
      </c>
      <c r="D33" s="202">
        <v>0</v>
      </c>
      <c r="E33" s="201" t="s">
        <v>731</v>
      </c>
      <c r="F33" s="201" t="s">
        <v>731</v>
      </c>
      <c r="G33" s="202" t="s">
        <v>731</v>
      </c>
      <c r="H33" s="201">
        <v>0</v>
      </c>
      <c r="I33" s="201">
        <v>0</v>
      </c>
      <c r="J33" s="201">
        <v>0</v>
      </c>
      <c r="K33" s="201">
        <v>0</v>
      </c>
      <c r="L33" s="201">
        <v>0</v>
      </c>
      <c r="M33" s="201">
        <v>0</v>
      </c>
      <c r="N33" s="201">
        <v>0</v>
      </c>
      <c r="O33" s="201">
        <v>0</v>
      </c>
      <c r="P33" s="201">
        <v>0</v>
      </c>
      <c r="Q33" s="201">
        <v>0</v>
      </c>
      <c r="R33" s="188"/>
      <c r="S33" s="188"/>
      <c r="T33" s="188"/>
      <c r="U33" s="188"/>
      <c r="V33" s="188"/>
      <c r="W33" s="186"/>
      <c r="X33" s="186"/>
    </row>
    <row r="34" spans="1:24" ht="15.75" customHeight="1">
      <c r="A34" s="178"/>
      <c r="B34" s="201">
        <v>7</v>
      </c>
      <c r="C34" s="201" t="s">
        <v>739</v>
      </c>
      <c r="D34" s="202">
        <v>0</v>
      </c>
      <c r="E34" s="201" t="s">
        <v>731</v>
      </c>
      <c r="F34" s="201" t="s">
        <v>731</v>
      </c>
      <c r="G34" s="202" t="s">
        <v>731</v>
      </c>
      <c r="H34" s="201">
        <v>0</v>
      </c>
      <c r="I34" s="201">
        <v>0</v>
      </c>
      <c r="J34" s="201">
        <v>0</v>
      </c>
      <c r="K34" s="201">
        <v>0</v>
      </c>
      <c r="L34" s="201">
        <v>0</v>
      </c>
      <c r="M34" s="201">
        <v>0</v>
      </c>
      <c r="N34" s="201">
        <v>0</v>
      </c>
      <c r="O34" s="201">
        <v>0</v>
      </c>
      <c r="P34" s="201">
        <v>0</v>
      </c>
      <c r="Q34" s="201">
        <v>0</v>
      </c>
      <c r="R34" s="188"/>
      <c r="S34" s="188"/>
      <c r="T34" s="188"/>
      <c r="U34" s="188"/>
      <c r="V34" s="188"/>
      <c r="W34" s="186"/>
      <c r="X34" s="186"/>
    </row>
    <row r="35" spans="1:24" ht="15.75" customHeight="1">
      <c r="A35" s="178"/>
      <c r="B35" s="201">
        <v>12</v>
      </c>
      <c r="C35" s="201" t="s">
        <v>740</v>
      </c>
      <c r="D35" s="202">
        <v>0</v>
      </c>
      <c r="E35" s="201" t="s">
        <v>731</v>
      </c>
      <c r="F35" s="201" t="s">
        <v>731</v>
      </c>
      <c r="G35" s="202" t="s">
        <v>731</v>
      </c>
      <c r="H35" s="201">
        <v>0</v>
      </c>
      <c r="I35" s="201">
        <v>0</v>
      </c>
      <c r="J35" s="201">
        <v>0</v>
      </c>
      <c r="K35" s="201">
        <v>0</v>
      </c>
      <c r="L35" s="201">
        <v>0</v>
      </c>
      <c r="M35" s="201">
        <v>0</v>
      </c>
      <c r="N35" s="201">
        <v>0</v>
      </c>
      <c r="O35" s="201">
        <v>0</v>
      </c>
      <c r="P35" s="201">
        <v>0</v>
      </c>
      <c r="Q35" s="201">
        <v>0</v>
      </c>
      <c r="R35" s="188"/>
      <c r="S35" s="188"/>
      <c r="T35" s="188"/>
      <c r="U35" s="188"/>
      <c r="V35" s="188"/>
      <c r="W35" s="186"/>
      <c r="X35" s="186"/>
    </row>
    <row r="36" spans="1:24" ht="15.75" customHeight="1">
      <c r="A36" s="178"/>
      <c r="B36" s="201">
        <v>21</v>
      </c>
      <c r="C36" s="201" t="s">
        <v>741</v>
      </c>
      <c r="D36" s="202">
        <v>4</v>
      </c>
      <c r="E36" s="203">
        <v>45690</v>
      </c>
      <c r="F36" s="201" t="s">
        <v>731</v>
      </c>
      <c r="G36" s="202" t="s">
        <v>731</v>
      </c>
      <c r="H36" s="201">
        <v>1</v>
      </c>
      <c r="I36" s="201">
        <v>1</v>
      </c>
      <c r="J36" s="201">
        <v>2</v>
      </c>
      <c r="K36" s="201">
        <v>0</v>
      </c>
      <c r="L36" s="201">
        <v>0</v>
      </c>
      <c r="M36" s="201">
        <v>0</v>
      </c>
      <c r="N36" s="201">
        <v>0</v>
      </c>
      <c r="O36" s="201">
        <v>1</v>
      </c>
      <c r="P36" s="201">
        <v>7</v>
      </c>
      <c r="Q36" s="201">
        <v>6</v>
      </c>
      <c r="R36" s="188"/>
      <c r="S36" s="188"/>
      <c r="T36" s="188"/>
      <c r="U36" s="188"/>
      <c r="V36" s="188"/>
      <c r="W36" s="186"/>
      <c r="X36" s="186"/>
    </row>
    <row r="37" spans="1:24" ht="15.75" customHeight="1">
      <c r="A37" s="178"/>
      <c r="B37" s="201">
        <v>22</v>
      </c>
      <c r="C37" s="201" t="s">
        <v>742</v>
      </c>
      <c r="D37" s="202">
        <v>3</v>
      </c>
      <c r="E37" s="203">
        <v>45658</v>
      </c>
      <c r="F37" s="203">
        <v>45658</v>
      </c>
      <c r="G37" s="202" t="s">
        <v>731</v>
      </c>
      <c r="H37" s="201">
        <v>0</v>
      </c>
      <c r="I37" s="201">
        <v>0</v>
      </c>
      <c r="J37" s="201">
        <v>0</v>
      </c>
      <c r="K37" s="201">
        <v>0</v>
      </c>
      <c r="L37" s="201">
        <v>0</v>
      </c>
      <c r="M37" s="201">
        <v>1</v>
      </c>
      <c r="N37" s="201">
        <v>0</v>
      </c>
      <c r="O37" s="201">
        <v>0</v>
      </c>
      <c r="P37" s="201">
        <v>3</v>
      </c>
      <c r="Q37" s="201">
        <v>5</v>
      </c>
      <c r="R37" s="188"/>
      <c r="S37" s="188"/>
      <c r="T37" s="188"/>
      <c r="U37" s="188"/>
      <c r="V37" s="188"/>
      <c r="W37" s="186"/>
      <c r="X37" s="186"/>
    </row>
    <row r="38" spans="1:24" ht="15.75" customHeight="1">
      <c r="A38" s="178"/>
      <c r="B38" s="205">
        <v>23</v>
      </c>
      <c r="C38" s="205" t="s">
        <v>753</v>
      </c>
      <c r="D38" s="206">
        <v>0</v>
      </c>
      <c r="E38" s="205" t="s">
        <v>731</v>
      </c>
      <c r="F38" s="205" t="s">
        <v>731</v>
      </c>
      <c r="G38" s="206" t="s">
        <v>731</v>
      </c>
      <c r="H38" s="205">
        <v>0</v>
      </c>
      <c r="I38" s="205">
        <v>0</v>
      </c>
      <c r="J38" s="205">
        <v>0</v>
      </c>
      <c r="K38" s="205">
        <v>0</v>
      </c>
      <c r="L38" s="205">
        <v>0</v>
      </c>
      <c r="M38" s="205">
        <v>0</v>
      </c>
      <c r="N38" s="205">
        <v>0</v>
      </c>
      <c r="O38" s="205">
        <v>0</v>
      </c>
      <c r="P38" s="205">
        <v>2</v>
      </c>
      <c r="Q38" s="205">
        <v>0</v>
      </c>
    </row>
    <row r="39" spans="1:24" ht="15.75" customHeight="1">
      <c r="A39" s="178"/>
      <c r="B39" s="201" t="s">
        <v>747</v>
      </c>
      <c r="C39" s="201" t="s">
        <v>732</v>
      </c>
      <c r="D39" s="202">
        <v>1</v>
      </c>
      <c r="E39" s="201" t="s">
        <v>743</v>
      </c>
      <c r="F39" s="201" t="s">
        <v>731</v>
      </c>
      <c r="G39" s="204">
        <v>45659</v>
      </c>
      <c r="H39" s="201">
        <v>1</v>
      </c>
      <c r="I39" s="201">
        <v>3</v>
      </c>
      <c r="J39" s="201">
        <v>4</v>
      </c>
      <c r="K39" s="201">
        <v>0</v>
      </c>
      <c r="L39" s="201">
        <v>1</v>
      </c>
      <c r="M39" s="201">
        <v>0</v>
      </c>
      <c r="N39" s="201">
        <v>0</v>
      </c>
      <c r="O39" s="201">
        <v>0</v>
      </c>
      <c r="P39" s="201">
        <v>10</v>
      </c>
      <c r="Q39" s="201">
        <v>7</v>
      </c>
    </row>
    <row r="40" spans="1:24" ht="15.75" customHeight="1">
      <c r="A40" s="178"/>
      <c r="B40" s="201" t="s">
        <v>752</v>
      </c>
      <c r="C40" s="201" t="s">
        <v>738</v>
      </c>
      <c r="D40" s="202">
        <v>0</v>
      </c>
      <c r="E40" s="201" t="s">
        <v>731</v>
      </c>
      <c r="F40" s="201" t="s">
        <v>731</v>
      </c>
      <c r="G40" s="202" t="s">
        <v>731</v>
      </c>
      <c r="H40" s="201">
        <v>0</v>
      </c>
      <c r="I40" s="201">
        <v>0</v>
      </c>
      <c r="J40" s="201">
        <v>0</v>
      </c>
      <c r="K40" s="201">
        <v>0</v>
      </c>
      <c r="L40" s="201">
        <v>0</v>
      </c>
      <c r="M40" s="201">
        <v>0</v>
      </c>
      <c r="N40" s="201">
        <v>0</v>
      </c>
      <c r="O40" s="201">
        <v>0</v>
      </c>
      <c r="P40" s="201">
        <v>8</v>
      </c>
      <c r="Q40" s="201">
        <v>9</v>
      </c>
    </row>
    <row r="41" spans="1:24" ht="15.75" customHeight="1">
      <c r="A41" s="178"/>
      <c r="B41" s="201" t="s">
        <v>748</v>
      </c>
      <c r="C41" s="201" t="s">
        <v>733</v>
      </c>
      <c r="D41" s="202">
        <v>6</v>
      </c>
      <c r="E41" s="203">
        <v>45661</v>
      </c>
      <c r="F41" s="201" t="s">
        <v>735</v>
      </c>
      <c r="G41" s="204">
        <v>45751</v>
      </c>
      <c r="H41" s="201">
        <v>0</v>
      </c>
      <c r="I41" s="201">
        <v>2</v>
      </c>
      <c r="J41" s="201">
        <v>2</v>
      </c>
      <c r="K41" s="201">
        <v>0</v>
      </c>
      <c r="L41" s="201">
        <v>0</v>
      </c>
      <c r="M41" s="201">
        <v>1</v>
      </c>
      <c r="N41" s="201">
        <v>0</v>
      </c>
      <c r="O41" s="201">
        <v>0</v>
      </c>
      <c r="P41" s="201">
        <v>6</v>
      </c>
      <c r="Q41" s="201">
        <v>3</v>
      </c>
    </row>
    <row r="42" spans="1:24" ht="15.75" customHeight="1">
      <c r="A42" s="91"/>
      <c r="B42" s="201" t="s">
        <v>749</v>
      </c>
      <c r="C42" s="201" t="s">
        <v>736</v>
      </c>
      <c r="D42" s="202">
        <v>0</v>
      </c>
      <c r="E42" s="201" t="s">
        <v>731</v>
      </c>
      <c r="F42" s="201" t="s">
        <v>731</v>
      </c>
      <c r="G42" s="202" t="s">
        <v>731</v>
      </c>
      <c r="H42" s="201">
        <v>0</v>
      </c>
      <c r="I42" s="201">
        <v>0</v>
      </c>
      <c r="J42" s="201">
        <v>0</v>
      </c>
      <c r="K42" s="201">
        <v>0</v>
      </c>
      <c r="L42" s="201">
        <v>0</v>
      </c>
      <c r="M42" s="201">
        <v>0</v>
      </c>
      <c r="N42" s="201">
        <v>0</v>
      </c>
      <c r="O42" s="201">
        <v>0</v>
      </c>
      <c r="P42" s="201">
        <v>0</v>
      </c>
      <c r="Q42" s="201">
        <v>0</v>
      </c>
    </row>
    <row r="43" spans="1:24" ht="15.75" customHeight="1">
      <c r="A43" s="91"/>
      <c r="B43" s="201" t="s">
        <v>750</v>
      </c>
      <c r="C43" s="201" t="s">
        <v>737</v>
      </c>
      <c r="D43" s="202">
        <v>0</v>
      </c>
      <c r="E43" s="201" t="s">
        <v>731</v>
      </c>
      <c r="F43" s="201" t="s">
        <v>731</v>
      </c>
      <c r="G43" s="202" t="s">
        <v>735</v>
      </c>
      <c r="H43" s="201">
        <v>0</v>
      </c>
      <c r="I43" s="201">
        <v>0</v>
      </c>
      <c r="J43" s="201">
        <v>0</v>
      </c>
      <c r="K43" s="201">
        <v>0</v>
      </c>
      <c r="L43" s="201">
        <v>1</v>
      </c>
      <c r="M43" s="201">
        <v>0</v>
      </c>
      <c r="N43" s="201">
        <v>0</v>
      </c>
      <c r="O43" s="201">
        <v>0</v>
      </c>
      <c r="P43" s="201">
        <v>2</v>
      </c>
      <c r="Q43" s="201">
        <v>0</v>
      </c>
    </row>
    <row r="44" spans="1:24" ht="15.75" customHeight="1">
      <c r="A44" s="91"/>
      <c r="B44" s="201">
        <v>1</v>
      </c>
      <c r="C44" s="201" t="s">
        <v>730</v>
      </c>
      <c r="D44" s="202">
        <v>5</v>
      </c>
      <c r="E44" s="203">
        <v>45659</v>
      </c>
      <c r="F44" s="201" t="s">
        <v>731</v>
      </c>
      <c r="G44" s="204">
        <v>45720</v>
      </c>
      <c r="H44" s="201">
        <v>0</v>
      </c>
      <c r="I44" s="201">
        <v>0</v>
      </c>
      <c r="J44" s="201">
        <v>0</v>
      </c>
      <c r="K44" s="201">
        <v>0</v>
      </c>
      <c r="L44" s="201">
        <v>0</v>
      </c>
      <c r="M44" s="201">
        <v>0</v>
      </c>
      <c r="N44" s="201">
        <v>0</v>
      </c>
      <c r="O44" s="201">
        <v>0</v>
      </c>
      <c r="P44" s="201">
        <v>8</v>
      </c>
      <c r="Q44" s="201">
        <v>5</v>
      </c>
    </row>
    <row r="45" spans="1:24" ht="15.75" customHeight="1">
      <c r="A45" s="91"/>
      <c r="B45" s="201">
        <v>6</v>
      </c>
      <c r="C45" s="201" t="s">
        <v>751</v>
      </c>
      <c r="D45" s="202">
        <v>0</v>
      </c>
      <c r="E45" s="201" t="s">
        <v>731</v>
      </c>
      <c r="F45" s="201" t="s">
        <v>731</v>
      </c>
      <c r="G45" s="202" t="s">
        <v>731</v>
      </c>
      <c r="H45" s="201">
        <v>0</v>
      </c>
      <c r="I45" s="201">
        <v>0</v>
      </c>
      <c r="J45" s="201">
        <v>0</v>
      </c>
      <c r="K45" s="201">
        <v>0</v>
      </c>
      <c r="L45" s="201">
        <v>0</v>
      </c>
      <c r="M45" s="201">
        <v>0</v>
      </c>
      <c r="N45" s="201">
        <v>0</v>
      </c>
      <c r="O45" s="201">
        <v>0</v>
      </c>
      <c r="P45" s="201">
        <v>0</v>
      </c>
      <c r="Q45" s="201">
        <v>0</v>
      </c>
    </row>
    <row r="46" spans="1:24" ht="15.75" customHeight="1">
      <c r="A46" s="91"/>
      <c r="B46" s="201">
        <v>7</v>
      </c>
      <c r="C46" s="201" t="s">
        <v>739</v>
      </c>
      <c r="D46" s="202">
        <v>7</v>
      </c>
      <c r="E46" s="203">
        <v>45719</v>
      </c>
      <c r="F46" s="201" t="s">
        <v>731</v>
      </c>
      <c r="G46" s="204">
        <v>45658</v>
      </c>
      <c r="H46" s="201">
        <v>2</v>
      </c>
      <c r="I46" s="201">
        <v>1</v>
      </c>
      <c r="J46" s="201">
        <v>3</v>
      </c>
      <c r="K46" s="201">
        <v>0</v>
      </c>
      <c r="L46" s="201">
        <v>1</v>
      </c>
      <c r="M46" s="201">
        <v>0</v>
      </c>
      <c r="N46" s="201">
        <v>0</v>
      </c>
      <c r="O46" s="201">
        <v>0</v>
      </c>
      <c r="P46" s="201">
        <v>5</v>
      </c>
      <c r="Q46" s="201">
        <v>5</v>
      </c>
    </row>
    <row r="47" spans="1:24" ht="15.75" customHeight="1">
      <c r="A47" s="91"/>
      <c r="B47" s="201">
        <v>12</v>
      </c>
      <c r="C47" s="201" t="s">
        <v>740</v>
      </c>
      <c r="D47" s="202">
        <v>0</v>
      </c>
      <c r="E47" s="201" t="s">
        <v>731</v>
      </c>
      <c r="F47" s="201" t="s">
        <v>731</v>
      </c>
      <c r="G47" s="202" t="s">
        <v>731</v>
      </c>
      <c r="H47" s="201">
        <v>0</v>
      </c>
      <c r="I47" s="201">
        <v>0</v>
      </c>
      <c r="J47" s="201">
        <v>0</v>
      </c>
      <c r="K47" s="201">
        <v>0</v>
      </c>
      <c r="L47" s="201">
        <v>0</v>
      </c>
      <c r="M47" s="201">
        <v>0</v>
      </c>
      <c r="N47" s="201">
        <v>0</v>
      </c>
      <c r="O47" s="201">
        <v>0</v>
      </c>
      <c r="P47" s="201">
        <v>0</v>
      </c>
      <c r="Q47" s="201">
        <v>0</v>
      </c>
    </row>
    <row r="48" spans="1:24" ht="15.75" customHeight="1">
      <c r="A48" s="91"/>
      <c r="B48" s="201">
        <v>21</v>
      </c>
      <c r="C48" s="201" t="s">
        <v>741</v>
      </c>
      <c r="D48" s="202">
        <v>0</v>
      </c>
      <c r="E48" s="201" t="s">
        <v>743</v>
      </c>
      <c r="F48" s="201" t="s">
        <v>731</v>
      </c>
      <c r="G48" s="202" t="s">
        <v>731</v>
      </c>
      <c r="H48" s="201">
        <v>0</v>
      </c>
      <c r="I48" s="201">
        <v>3</v>
      </c>
      <c r="J48" s="201">
        <v>3</v>
      </c>
      <c r="K48" s="201">
        <v>0</v>
      </c>
      <c r="L48" s="201">
        <v>0</v>
      </c>
      <c r="M48" s="201">
        <v>0</v>
      </c>
      <c r="N48" s="201">
        <v>0</v>
      </c>
      <c r="O48" s="201">
        <v>0</v>
      </c>
      <c r="P48" s="201">
        <v>9</v>
      </c>
      <c r="Q48" s="201">
        <v>4</v>
      </c>
    </row>
    <row r="49" spans="1:17" ht="15.75" customHeight="1">
      <c r="A49" s="91"/>
      <c r="B49" s="201">
        <v>22</v>
      </c>
      <c r="C49" s="201" t="s">
        <v>742</v>
      </c>
      <c r="D49" s="202">
        <v>0</v>
      </c>
      <c r="E49" s="201" t="s">
        <v>743</v>
      </c>
      <c r="F49" s="201" t="s">
        <v>743</v>
      </c>
      <c r="G49" s="202" t="s">
        <v>731</v>
      </c>
      <c r="H49" s="201">
        <v>0</v>
      </c>
      <c r="I49" s="201">
        <v>0</v>
      </c>
      <c r="J49" s="201">
        <v>0</v>
      </c>
      <c r="K49" s="201">
        <v>0</v>
      </c>
      <c r="L49" s="201">
        <v>1</v>
      </c>
      <c r="M49" s="201">
        <v>0</v>
      </c>
      <c r="N49" s="201">
        <v>0</v>
      </c>
      <c r="O49" s="201">
        <v>1</v>
      </c>
      <c r="P49" s="201">
        <v>3</v>
      </c>
      <c r="Q49" s="201">
        <v>2</v>
      </c>
    </row>
    <row r="50" spans="1:17" ht="15.75" customHeight="1">
      <c r="A50" s="91"/>
      <c r="B50" s="205">
        <v>23</v>
      </c>
      <c r="C50" s="205" t="s">
        <v>753</v>
      </c>
      <c r="D50" s="206">
        <v>0</v>
      </c>
      <c r="E50" s="205" t="s">
        <v>731</v>
      </c>
      <c r="F50" s="205" t="s">
        <v>731</v>
      </c>
      <c r="G50" s="206" t="s">
        <v>731</v>
      </c>
      <c r="H50" s="205">
        <v>0</v>
      </c>
      <c r="I50" s="205">
        <v>0</v>
      </c>
      <c r="J50" s="205">
        <v>0</v>
      </c>
      <c r="K50" s="205">
        <v>0</v>
      </c>
      <c r="L50" s="205">
        <v>0</v>
      </c>
      <c r="M50" s="205">
        <v>0</v>
      </c>
      <c r="N50" s="205">
        <v>0</v>
      </c>
      <c r="O50" s="205">
        <v>0</v>
      </c>
      <c r="P50" s="205">
        <v>0</v>
      </c>
      <c r="Q50" s="205">
        <v>0</v>
      </c>
    </row>
    <row r="51" spans="1:17" ht="15.75" customHeight="1">
      <c r="A51" s="91"/>
      <c r="E51" s="187"/>
      <c r="F51" s="187"/>
      <c r="G51" s="187"/>
    </row>
    <row r="52" spans="1:17" ht="15.75" customHeight="1">
      <c r="A52" s="91"/>
      <c r="E52" s="187"/>
      <c r="F52" s="187"/>
      <c r="G52" s="187"/>
    </row>
    <row r="53" spans="1:17" ht="13">
      <c r="A53" s="91"/>
    </row>
    <row r="54" spans="1:17" ht="13">
      <c r="A54" s="91"/>
    </row>
    <row r="55" spans="1:17" ht="13">
      <c r="A55" s="91"/>
    </row>
    <row r="56" spans="1:17" ht="13">
      <c r="A56" s="91"/>
    </row>
    <row r="57" spans="1:17" ht="13">
      <c r="A57" s="91"/>
    </row>
    <row r="58" spans="1:17" ht="13">
      <c r="A58" s="91"/>
    </row>
    <row r="59" spans="1:17" ht="13">
      <c r="A59" s="91"/>
    </row>
    <row r="60" spans="1:17" ht="13">
      <c r="A60" s="91"/>
    </row>
    <row r="61" spans="1:17" ht="13">
      <c r="A61" s="91"/>
    </row>
    <row r="62" spans="1:17" ht="13">
      <c r="A62" s="91"/>
    </row>
    <row r="63" spans="1:17" ht="13">
      <c r="A63" s="91"/>
    </row>
    <row r="64" spans="1:17" ht="13">
      <c r="A64" s="91"/>
    </row>
    <row r="65" spans="1:1" ht="13">
      <c r="A65" s="91"/>
    </row>
    <row r="66" spans="1:1" ht="13">
      <c r="A66" s="91"/>
    </row>
    <row r="67" spans="1:1" ht="13">
      <c r="A67" s="91"/>
    </row>
    <row r="68" spans="1:1" ht="13">
      <c r="A68" s="91"/>
    </row>
    <row r="69" spans="1:1" ht="13">
      <c r="A69" s="91"/>
    </row>
    <row r="70" spans="1:1" ht="13">
      <c r="A70" s="91"/>
    </row>
    <row r="71" spans="1:1" ht="13">
      <c r="A71" s="91"/>
    </row>
    <row r="72" spans="1:1" ht="13">
      <c r="A72" s="91"/>
    </row>
    <row r="73" spans="1:1" ht="13">
      <c r="A73" s="91"/>
    </row>
    <row r="74" spans="1:1" ht="13">
      <c r="A74" s="91"/>
    </row>
    <row r="75" spans="1:1" ht="13">
      <c r="A75" s="91"/>
    </row>
    <row r="76" spans="1:1" ht="13">
      <c r="A76" s="91"/>
    </row>
    <row r="77" spans="1:1" ht="13">
      <c r="A77" s="91"/>
    </row>
    <row r="78" spans="1:1" ht="13">
      <c r="A78" s="91"/>
    </row>
    <row r="79" spans="1:1" ht="13">
      <c r="A79" s="91"/>
    </row>
    <row r="80" spans="1:1" ht="13">
      <c r="A80" s="91"/>
    </row>
    <row r="81" spans="1:1" ht="13">
      <c r="A81" s="91"/>
    </row>
    <row r="82" spans="1:1" ht="13">
      <c r="A82" s="91"/>
    </row>
    <row r="83" spans="1:1" ht="13">
      <c r="A83" s="91"/>
    </row>
    <row r="84" spans="1:1" ht="13">
      <c r="A84" s="91"/>
    </row>
    <row r="85" spans="1:1" ht="13">
      <c r="A85" s="91"/>
    </row>
    <row r="86" spans="1:1" ht="13">
      <c r="A86" s="91"/>
    </row>
    <row r="87" spans="1:1" ht="13">
      <c r="A87" s="91"/>
    </row>
    <row r="88" spans="1:1" ht="13">
      <c r="A88" s="91"/>
    </row>
    <row r="89" spans="1:1" ht="13">
      <c r="A89" s="91"/>
    </row>
    <row r="90" spans="1:1" ht="13">
      <c r="A90" s="91"/>
    </row>
    <row r="91" spans="1:1" ht="13">
      <c r="A91" s="91"/>
    </row>
    <row r="92" spans="1:1" ht="13">
      <c r="A92" s="91"/>
    </row>
    <row r="93" spans="1:1" ht="13">
      <c r="A93" s="91"/>
    </row>
    <row r="94" spans="1:1" ht="13">
      <c r="A94" s="91"/>
    </row>
    <row r="95" spans="1:1" ht="13">
      <c r="A95" s="91"/>
    </row>
    <row r="96" spans="1:1" ht="13">
      <c r="A96" s="91"/>
    </row>
    <row r="97" spans="1:1" ht="13">
      <c r="A97" s="91"/>
    </row>
    <row r="98" spans="1:1" ht="13">
      <c r="A98" s="91"/>
    </row>
    <row r="99" spans="1:1" ht="13">
      <c r="A99" s="91"/>
    </row>
    <row r="100" spans="1:1" ht="13">
      <c r="A100" s="91"/>
    </row>
    <row r="101" spans="1:1" ht="13">
      <c r="A101" s="91"/>
    </row>
    <row r="102" spans="1:1" ht="13">
      <c r="A102" s="91"/>
    </row>
    <row r="103" spans="1:1" ht="13">
      <c r="A103" s="91"/>
    </row>
    <row r="104" spans="1:1" ht="13">
      <c r="A104" s="91"/>
    </row>
    <row r="105" spans="1:1" ht="13">
      <c r="A105" s="91"/>
    </row>
    <row r="106" spans="1:1" ht="13">
      <c r="A106" s="91"/>
    </row>
    <row r="107" spans="1:1" ht="13">
      <c r="A107" s="91"/>
    </row>
    <row r="108" spans="1:1" ht="13">
      <c r="A108" s="91"/>
    </row>
    <row r="109" spans="1:1" ht="13">
      <c r="A109" s="91"/>
    </row>
    <row r="110" spans="1:1" ht="13">
      <c r="A110" s="91"/>
    </row>
    <row r="111" spans="1:1" ht="13">
      <c r="A111" s="91"/>
    </row>
    <row r="112" spans="1:1" ht="13">
      <c r="A112" s="91"/>
    </row>
    <row r="113" spans="1:1" ht="13">
      <c r="A113" s="91"/>
    </row>
    <row r="114" spans="1:1" ht="13">
      <c r="A114" s="91"/>
    </row>
    <row r="115" spans="1:1" ht="13">
      <c r="A115" s="91"/>
    </row>
    <row r="116" spans="1:1" ht="13">
      <c r="A116" s="91"/>
    </row>
    <row r="117" spans="1:1" ht="13">
      <c r="A117" s="91"/>
    </row>
    <row r="118" spans="1:1" ht="13">
      <c r="A118" s="91"/>
    </row>
    <row r="119" spans="1:1" ht="13">
      <c r="A119" s="91"/>
    </row>
    <row r="120" spans="1:1" ht="13">
      <c r="A120" s="91"/>
    </row>
    <row r="121" spans="1:1" ht="13">
      <c r="A121" s="91"/>
    </row>
    <row r="122" spans="1:1" ht="13">
      <c r="A122" s="91"/>
    </row>
    <row r="123" spans="1:1" ht="13">
      <c r="A123" s="91"/>
    </row>
    <row r="124" spans="1:1" ht="13">
      <c r="A124" s="91"/>
    </row>
    <row r="125" spans="1:1" ht="13">
      <c r="A125" s="91"/>
    </row>
    <row r="126" spans="1:1" ht="13">
      <c r="A126" s="91"/>
    </row>
    <row r="127" spans="1:1" ht="13">
      <c r="A127" s="91"/>
    </row>
    <row r="128" spans="1:1" ht="13">
      <c r="A128" s="91"/>
    </row>
    <row r="129" spans="1:1" ht="13">
      <c r="A129" s="91"/>
    </row>
    <row r="130" spans="1:1" ht="13">
      <c r="A130" s="91"/>
    </row>
    <row r="131" spans="1:1" ht="13">
      <c r="A131" s="91"/>
    </row>
    <row r="132" spans="1:1" ht="13">
      <c r="A132" s="91"/>
    </row>
    <row r="133" spans="1:1" ht="13">
      <c r="A133" s="91"/>
    </row>
    <row r="134" spans="1:1" ht="13">
      <c r="A134" s="91"/>
    </row>
    <row r="135" spans="1:1" ht="13">
      <c r="A135" s="91"/>
    </row>
    <row r="136" spans="1:1" ht="13">
      <c r="A136" s="91"/>
    </row>
    <row r="137" spans="1:1" ht="13">
      <c r="A137" s="91"/>
    </row>
    <row r="138" spans="1:1" ht="13">
      <c r="A138" s="91"/>
    </row>
    <row r="139" spans="1:1" ht="13">
      <c r="A139" s="91"/>
    </row>
    <row r="140" spans="1:1" ht="13">
      <c r="A140" s="91"/>
    </row>
    <row r="141" spans="1:1" ht="13">
      <c r="A141" s="91"/>
    </row>
    <row r="142" spans="1:1" ht="13">
      <c r="A142" s="91"/>
    </row>
    <row r="143" spans="1:1" ht="13">
      <c r="A143" s="91"/>
    </row>
    <row r="144" spans="1:1" ht="13">
      <c r="A144" s="91"/>
    </row>
    <row r="145" spans="1:1" ht="13">
      <c r="A145" s="91"/>
    </row>
    <row r="146" spans="1:1" ht="13">
      <c r="A146" s="91"/>
    </row>
    <row r="147" spans="1:1" ht="13">
      <c r="A147" s="91"/>
    </row>
    <row r="148" spans="1:1" ht="13">
      <c r="A148" s="91"/>
    </row>
    <row r="149" spans="1:1" ht="13">
      <c r="A149" s="91"/>
    </row>
    <row r="150" spans="1:1" ht="13">
      <c r="A150" s="91"/>
    </row>
    <row r="151" spans="1:1" ht="13">
      <c r="A151" s="91"/>
    </row>
    <row r="152" spans="1:1" ht="13">
      <c r="A152" s="91"/>
    </row>
    <row r="153" spans="1:1" ht="13">
      <c r="A153" s="91"/>
    </row>
    <row r="154" spans="1:1" ht="13">
      <c r="A154" s="91"/>
    </row>
    <row r="155" spans="1:1" ht="13">
      <c r="A155" s="91"/>
    </row>
    <row r="156" spans="1:1" ht="13">
      <c r="A156" s="91"/>
    </row>
    <row r="157" spans="1:1" ht="13">
      <c r="A157" s="91"/>
    </row>
    <row r="158" spans="1:1" ht="13">
      <c r="A158" s="91"/>
    </row>
    <row r="159" spans="1:1" ht="13">
      <c r="A159" s="91"/>
    </row>
    <row r="160" spans="1:1" ht="13">
      <c r="A160" s="91"/>
    </row>
    <row r="161" spans="1:1" ht="13">
      <c r="A161" s="91"/>
    </row>
    <row r="162" spans="1:1" ht="13">
      <c r="A162" s="91"/>
    </row>
    <row r="163" spans="1:1" ht="13">
      <c r="A163" s="91"/>
    </row>
    <row r="164" spans="1:1" ht="13">
      <c r="A164" s="91"/>
    </row>
    <row r="165" spans="1:1" ht="13">
      <c r="A165" s="91"/>
    </row>
    <row r="166" spans="1:1" ht="13">
      <c r="A166" s="91"/>
    </row>
    <row r="167" spans="1:1" ht="13">
      <c r="A167" s="91"/>
    </row>
    <row r="168" spans="1:1" ht="13">
      <c r="A168" s="91"/>
    </row>
    <row r="169" spans="1:1" ht="13">
      <c r="A169" s="91"/>
    </row>
    <row r="170" spans="1:1" ht="13">
      <c r="A170" s="91"/>
    </row>
    <row r="171" spans="1:1" ht="13">
      <c r="A171" s="91"/>
    </row>
    <row r="172" spans="1:1" ht="13">
      <c r="A172" s="91"/>
    </row>
    <row r="173" spans="1:1" ht="13">
      <c r="A173" s="91"/>
    </row>
    <row r="174" spans="1:1" ht="13">
      <c r="A174" s="91"/>
    </row>
    <row r="175" spans="1:1" ht="13">
      <c r="A175" s="91"/>
    </row>
    <row r="176" spans="1:1" ht="13">
      <c r="A176" s="91"/>
    </row>
    <row r="177" spans="1:1" ht="13">
      <c r="A177" s="91"/>
    </row>
    <row r="178" spans="1:1" ht="13">
      <c r="A178" s="91"/>
    </row>
    <row r="179" spans="1:1" ht="13">
      <c r="A179" s="91"/>
    </row>
    <row r="180" spans="1:1" ht="13">
      <c r="A180" s="91"/>
    </row>
    <row r="181" spans="1:1" ht="13">
      <c r="A181" s="91"/>
    </row>
    <row r="182" spans="1:1" ht="13">
      <c r="A182" s="91"/>
    </row>
    <row r="183" spans="1:1" ht="13">
      <c r="A183" s="91"/>
    </row>
    <row r="184" spans="1:1" ht="13">
      <c r="A184" s="91"/>
    </row>
    <row r="185" spans="1:1" ht="13">
      <c r="A185" s="91"/>
    </row>
    <row r="186" spans="1:1" ht="13">
      <c r="A186" s="91"/>
    </row>
    <row r="187" spans="1:1" ht="13">
      <c r="A187" s="91"/>
    </row>
    <row r="188" spans="1:1" ht="13">
      <c r="A188" s="91"/>
    </row>
    <row r="189" spans="1:1" ht="13">
      <c r="A189" s="91"/>
    </row>
    <row r="190" spans="1:1" ht="13">
      <c r="A190" s="91"/>
    </row>
    <row r="191" spans="1:1" ht="13">
      <c r="A191" s="91"/>
    </row>
    <row r="192" spans="1:1" ht="13">
      <c r="A192" s="91"/>
    </row>
    <row r="193" spans="1:1" ht="13">
      <c r="A193" s="91"/>
    </row>
    <row r="194" spans="1:1" ht="13">
      <c r="A194" s="91"/>
    </row>
    <row r="195" spans="1:1" ht="13">
      <c r="A195" s="91"/>
    </row>
    <row r="196" spans="1:1" ht="13">
      <c r="A196" s="91"/>
    </row>
    <row r="197" spans="1:1" ht="13">
      <c r="A197" s="91"/>
    </row>
    <row r="198" spans="1:1" ht="13">
      <c r="A198" s="91"/>
    </row>
    <row r="199" spans="1:1" ht="13">
      <c r="A199" s="91"/>
    </row>
    <row r="200" spans="1:1" ht="13">
      <c r="A200" s="91"/>
    </row>
    <row r="201" spans="1:1" ht="13">
      <c r="A201" s="91"/>
    </row>
    <row r="202" spans="1:1" ht="13">
      <c r="A202" s="91"/>
    </row>
    <row r="203" spans="1:1" ht="13">
      <c r="A203" s="91"/>
    </row>
    <row r="204" spans="1:1" ht="13">
      <c r="A204" s="91"/>
    </row>
    <row r="205" spans="1:1" ht="13">
      <c r="A205" s="91"/>
    </row>
    <row r="206" spans="1:1" ht="13">
      <c r="A206" s="91"/>
    </row>
    <row r="207" spans="1:1" ht="13">
      <c r="A207" s="91"/>
    </row>
    <row r="208" spans="1:1" ht="13">
      <c r="A208" s="91"/>
    </row>
    <row r="209" spans="1:1" ht="13">
      <c r="A209" s="91"/>
    </row>
    <row r="210" spans="1:1" ht="13">
      <c r="A210" s="91"/>
    </row>
    <row r="211" spans="1:1" ht="13">
      <c r="A211" s="91"/>
    </row>
    <row r="212" spans="1:1" ht="13">
      <c r="A212" s="91"/>
    </row>
    <row r="213" spans="1:1" ht="13">
      <c r="A213" s="91"/>
    </row>
    <row r="214" spans="1:1" ht="13">
      <c r="A214" s="91"/>
    </row>
    <row r="215" spans="1:1" ht="13">
      <c r="A215" s="91"/>
    </row>
    <row r="216" spans="1:1" ht="13">
      <c r="A216" s="91"/>
    </row>
    <row r="217" spans="1:1" ht="13">
      <c r="A217" s="91"/>
    </row>
    <row r="218" spans="1:1" ht="13">
      <c r="A218" s="91"/>
    </row>
    <row r="219" spans="1:1" ht="13">
      <c r="A219" s="91"/>
    </row>
    <row r="220" spans="1:1" ht="13">
      <c r="A220" s="91"/>
    </row>
    <row r="221" spans="1:1" ht="13">
      <c r="A221" s="91"/>
    </row>
    <row r="222" spans="1:1" ht="13">
      <c r="A222" s="91"/>
    </row>
    <row r="223" spans="1:1" ht="13">
      <c r="A223" s="91"/>
    </row>
    <row r="224" spans="1:1" ht="13">
      <c r="A224" s="91"/>
    </row>
    <row r="225" spans="1:1" ht="13">
      <c r="A225" s="91"/>
    </row>
    <row r="226" spans="1:1" ht="13">
      <c r="A226" s="91"/>
    </row>
    <row r="227" spans="1:1" ht="13">
      <c r="A227" s="91"/>
    </row>
    <row r="228" spans="1:1" ht="13">
      <c r="A228" s="91"/>
    </row>
    <row r="229" spans="1:1" ht="13">
      <c r="A229" s="91"/>
    </row>
    <row r="230" spans="1:1" ht="13">
      <c r="A230" s="91"/>
    </row>
    <row r="231" spans="1:1" ht="13">
      <c r="A231" s="91"/>
    </row>
    <row r="232" spans="1:1" ht="13">
      <c r="A232" s="91"/>
    </row>
    <row r="233" spans="1:1" ht="13">
      <c r="A233" s="91"/>
    </row>
    <row r="234" spans="1:1" ht="13">
      <c r="A234" s="91"/>
    </row>
    <row r="235" spans="1:1" ht="13">
      <c r="A235" s="91"/>
    </row>
    <row r="236" spans="1:1" ht="13">
      <c r="A236" s="91"/>
    </row>
    <row r="237" spans="1:1" ht="13">
      <c r="A237" s="91"/>
    </row>
    <row r="238" spans="1:1" ht="13">
      <c r="A238" s="91"/>
    </row>
    <row r="239" spans="1:1" ht="13">
      <c r="A239" s="91"/>
    </row>
    <row r="240" spans="1:1" ht="13">
      <c r="A240" s="91"/>
    </row>
    <row r="241" spans="1:1" ht="13">
      <c r="A241" s="91"/>
    </row>
    <row r="242" spans="1:1" ht="13">
      <c r="A242" s="91"/>
    </row>
    <row r="243" spans="1:1" ht="13">
      <c r="A243" s="91"/>
    </row>
    <row r="244" spans="1:1" ht="13">
      <c r="A244" s="91"/>
    </row>
    <row r="245" spans="1:1" ht="13">
      <c r="A245" s="91"/>
    </row>
    <row r="246" spans="1:1" ht="13">
      <c r="A246" s="91"/>
    </row>
    <row r="247" spans="1:1" ht="13">
      <c r="A247" s="91"/>
    </row>
    <row r="248" spans="1:1" ht="13">
      <c r="A248" s="91"/>
    </row>
    <row r="249" spans="1:1" ht="13">
      <c r="A249" s="91"/>
    </row>
    <row r="250" spans="1:1" ht="13">
      <c r="A250" s="91"/>
    </row>
    <row r="251" spans="1:1" ht="13">
      <c r="A251" s="91"/>
    </row>
    <row r="252" spans="1:1" ht="13">
      <c r="A252" s="91"/>
    </row>
    <row r="253" spans="1:1" ht="13">
      <c r="A253" s="91"/>
    </row>
    <row r="254" spans="1:1" ht="13">
      <c r="A254" s="91"/>
    </row>
    <row r="255" spans="1:1" ht="13">
      <c r="A255" s="91"/>
    </row>
    <row r="256" spans="1:1" ht="13">
      <c r="A256" s="91"/>
    </row>
    <row r="257" spans="1:1" ht="13">
      <c r="A257" s="91"/>
    </row>
    <row r="258" spans="1:1" ht="13">
      <c r="A258" s="91"/>
    </row>
    <row r="259" spans="1:1" ht="13">
      <c r="A259" s="91"/>
    </row>
    <row r="260" spans="1:1" ht="13">
      <c r="A260" s="91"/>
    </row>
    <row r="261" spans="1:1" ht="13">
      <c r="A261" s="91"/>
    </row>
    <row r="262" spans="1:1" ht="13">
      <c r="A262" s="91"/>
    </row>
    <row r="263" spans="1:1" ht="13">
      <c r="A263" s="91"/>
    </row>
    <row r="264" spans="1:1" ht="13">
      <c r="A264" s="91"/>
    </row>
    <row r="265" spans="1:1" ht="13">
      <c r="A265" s="91"/>
    </row>
    <row r="266" spans="1:1" ht="13">
      <c r="A266" s="91"/>
    </row>
    <row r="267" spans="1:1" ht="13">
      <c r="A267" s="91"/>
    </row>
    <row r="268" spans="1:1" ht="13">
      <c r="A268" s="91"/>
    </row>
    <row r="269" spans="1:1" ht="13">
      <c r="A269" s="91"/>
    </row>
    <row r="270" spans="1:1" ht="13">
      <c r="A270" s="91"/>
    </row>
    <row r="271" spans="1:1" ht="13">
      <c r="A271" s="91"/>
    </row>
    <row r="272" spans="1:1" ht="13">
      <c r="A272" s="91"/>
    </row>
    <row r="273" spans="1:1" ht="13">
      <c r="A273" s="91"/>
    </row>
    <row r="274" spans="1:1" ht="13">
      <c r="A274" s="91"/>
    </row>
    <row r="275" spans="1:1" ht="13">
      <c r="A275" s="91"/>
    </row>
    <row r="276" spans="1:1" ht="13">
      <c r="A276" s="91"/>
    </row>
    <row r="277" spans="1:1" ht="13">
      <c r="A277" s="91"/>
    </row>
    <row r="278" spans="1:1" ht="13">
      <c r="A278" s="91"/>
    </row>
    <row r="279" spans="1:1" ht="13">
      <c r="A279" s="91"/>
    </row>
    <row r="280" spans="1:1" ht="13">
      <c r="A280" s="91"/>
    </row>
    <row r="281" spans="1:1" ht="13">
      <c r="A281" s="91"/>
    </row>
    <row r="282" spans="1:1" ht="13">
      <c r="A282" s="91"/>
    </row>
    <row r="283" spans="1:1" ht="13">
      <c r="A283" s="91"/>
    </row>
    <row r="284" spans="1:1" ht="13">
      <c r="A284" s="91"/>
    </row>
    <row r="285" spans="1:1" ht="13">
      <c r="A285" s="91"/>
    </row>
    <row r="286" spans="1:1" ht="13">
      <c r="A286" s="91"/>
    </row>
    <row r="287" spans="1:1" ht="13">
      <c r="A287" s="91"/>
    </row>
    <row r="288" spans="1:1" ht="13">
      <c r="A288" s="91"/>
    </row>
    <row r="289" spans="1:1" ht="13">
      <c r="A289" s="91"/>
    </row>
    <row r="290" spans="1:1" ht="13">
      <c r="A290" s="91"/>
    </row>
    <row r="291" spans="1:1" ht="13">
      <c r="A291" s="91"/>
    </row>
    <row r="292" spans="1:1" ht="13">
      <c r="A292" s="91"/>
    </row>
    <row r="293" spans="1:1" ht="13">
      <c r="A293" s="91"/>
    </row>
    <row r="294" spans="1:1" ht="13">
      <c r="A294" s="91"/>
    </row>
    <row r="295" spans="1:1" ht="13">
      <c r="A295" s="91"/>
    </row>
    <row r="296" spans="1:1" ht="13">
      <c r="A296" s="91"/>
    </row>
    <row r="297" spans="1:1" ht="13">
      <c r="A297" s="91"/>
    </row>
    <row r="298" spans="1:1" ht="13">
      <c r="A298" s="91"/>
    </row>
    <row r="299" spans="1:1" ht="13">
      <c r="A299" s="91"/>
    </row>
    <row r="300" spans="1:1" ht="13">
      <c r="A300" s="91"/>
    </row>
    <row r="301" spans="1:1" ht="13">
      <c r="A301" s="91"/>
    </row>
    <row r="302" spans="1:1" ht="13">
      <c r="A302" s="91"/>
    </row>
    <row r="303" spans="1:1" ht="13">
      <c r="A303" s="91"/>
    </row>
    <row r="304" spans="1:1" ht="13">
      <c r="A304" s="91"/>
    </row>
    <row r="305" spans="1:1" ht="13">
      <c r="A305" s="91"/>
    </row>
    <row r="306" spans="1:1" ht="13">
      <c r="A306" s="91"/>
    </row>
    <row r="307" spans="1:1" ht="13">
      <c r="A307" s="91"/>
    </row>
    <row r="308" spans="1:1" ht="13">
      <c r="A308" s="91"/>
    </row>
    <row r="309" spans="1:1" ht="13">
      <c r="A309" s="91"/>
    </row>
    <row r="310" spans="1:1" ht="13">
      <c r="A310" s="91"/>
    </row>
    <row r="311" spans="1:1" ht="13">
      <c r="A311" s="91"/>
    </row>
    <row r="312" spans="1:1" ht="13">
      <c r="A312" s="91"/>
    </row>
    <row r="313" spans="1:1" ht="13">
      <c r="A313" s="91"/>
    </row>
    <row r="314" spans="1:1" ht="13">
      <c r="A314" s="91"/>
    </row>
    <row r="315" spans="1:1" ht="13">
      <c r="A315" s="91"/>
    </row>
    <row r="316" spans="1:1" ht="13">
      <c r="A316" s="91"/>
    </row>
    <row r="317" spans="1:1" ht="13">
      <c r="A317" s="91"/>
    </row>
    <row r="318" spans="1:1" ht="13">
      <c r="A318" s="91"/>
    </row>
    <row r="319" spans="1:1" ht="13">
      <c r="A319" s="91"/>
    </row>
    <row r="320" spans="1:1" ht="13">
      <c r="A320" s="91"/>
    </row>
    <row r="321" spans="1:1" ht="13">
      <c r="A321" s="91"/>
    </row>
    <row r="322" spans="1:1" ht="13">
      <c r="A322" s="91"/>
    </row>
    <row r="323" spans="1:1" ht="13">
      <c r="A323" s="91"/>
    </row>
    <row r="324" spans="1:1" ht="13">
      <c r="A324" s="91"/>
    </row>
    <row r="325" spans="1:1" ht="13">
      <c r="A325" s="91"/>
    </row>
    <row r="326" spans="1:1" ht="13">
      <c r="A326" s="91"/>
    </row>
    <row r="327" spans="1:1" ht="13">
      <c r="A327" s="91"/>
    </row>
    <row r="328" spans="1:1" ht="13">
      <c r="A328" s="91"/>
    </row>
    <row r="329" spans="1:1" ht="13">
      <c r="A329" s="91"/>
    </row>
    <row r="330" spans="1:1" ht="13">
      <c r="A330" s="91"/>
    </row>
    <row r="331" spans="1:1" ht="13">
      <c r="A331" s="91"/>
    </row>
    <row r="332" spans="1:1" ht="13">
      <c r="A332" s="91"/>
    </row>
    <row r="333" spans="1:1" ht="13">
      <c r="A333" s="91"/>
    </row>
    <row r="334" spans="1:1" ht="13">
      <c r="A334" s="91"/>
    </row>
    <row r="335" spans="1:1" ht="13">
      <c r="A335" s="91"/>
    </row>
    <row r="336" spans="1:1" ht="13">
      <c r="A336" s="91"/>
    </row>
    <row r="337" spans="1:1" ht="13">
      <c r="A337" s="91"/>
    </row>
    <row r="338" spans="1:1" ht="13">
      <c r="A338" s="91"/>
    </row>
    <row r="339" spans="1:1" ht="13">
      <c r="A339" s="91"/>
    </row>
    <row r="340" spans="1:1" ht="13">
      <c r="A340" s="91"/>
    </row>
    <row r="341" spans="1:1" ht="13">
      <c r="A341" s="91"/>
    </row>
    <row r="342" spans="1:1" ht="13">
      <c r="A342" s="91"/>
    </row>
    <row r="343" spans="1:1" ht="13">
      <c r="A343" s="91"/>
    </row>
    <row r="344" spans="1:1" ht="13">
      <c r="A344" s="91"/>
    </row>
    <row r="345" spans="1:1" ht="13">
      <c r="A345" s="91"/>
    </row>
    <row r="346" spans="1:1" ht="13">
      <c r="A346" s="91"/>
    </row>
    <row r="347" spans="1:1" ht="13">
      <c r="A347" s="91"/>
    </row>
    <row r="348" spans="1:1" ht="13">
      <c r="A348" s="91"/>
    </row>
    <row r="349" spans="1:1" ht="13">
      <c r="A349" s="91"/>
    </row>
    <row r="350" spans="1:1" ht="13">
      <c r="A350" s="91"/>
    </row>
    <row r="351" spans="1:1" ht="13">
      <c r="A351" s="91"/>
    </row>
    <row r="352" spans="1:1" ht="13">
      <c r="A352" s="91"/>
    </row>
    <row r="353" spans="1:1" ht="13">
      <c r="A353" s="91"/>
    </row>
    <row r="354" spans="1:1" ht="13">
      <c r="A354" s="91"/>
    </row>
    <row r="355" spans="1:1" ht="13">
      <c r="A355" s="91"/>
    </row>
    <row r="356" spans="1:1" ht="13">
      <c r="A356" s="91"/>
    </row>
    <row r="357" spans="1:1" ht="13">
      <c r="A357" s="91"/>
    </row>
    <row r="358" spans="1:1" ht="13">
      <c r="A358" s="91"/>
    </row>
    <row r="359" spans="1:1" ht="13">
      <c r="A359" s="91"/>
    </row>
    <row r="360" spans="1:1" ht="13">
      <c r="A360" s="91"/>
    </row>
    <row r="361" spans="1:1" ht="13">
      <c r="A361" s="91"/>
    </row>
    <row r="362" spans="1:1" ht="13">
      <c r="A362" s="91"/>
    </row>
    <row r="363" spans="1:1" ht="13">
      <c r="A363" s="91"/>
    </row>
    <row r="364" spans="1:1" ht="13">
      <c r="A364" s="91"/>
    </row>
    <row r="365" spans="1:1" ht="13">
      <c r="A365" s="91"/>
    </row>
    <row r="366" spans="1:1" ht="13">
      <c r="A366" s="91"/>
    </row>
    <row r="367" spans="1:1" ht="13">
      <c r="A367" s="91"/>
    </row>
    <row r="368" spans="1:1" ht="13">
      <c r="A368" s="91"/>
    </row>
    <row r="369" spans="1:1" ht="13">
      <c r="A369" s="91"/>
    </row>
    <row r="370" spans="1:1" ht="13">
      <c r="A370" s="91"/>
    </row>
    <row r="371" spans="1:1" ht="13">
      <c r="A371" s="91"/>
    </row>
    <row r="372" spans="1:1" ht="13">
      <c r="A372" s="91"/>
    </row>
    <row r="373" spans="1:1" ht="13">
      <c r="A373" s="91"/>
    </row>
    <row r="374" spans="1:1" ht="13">
      <c r="A374" s="91"/>
    </row>
    <row r="375" spans="1:1" ht="13">
      <c r="A375" s="91"/>
    </row>
    <row r="376" spans="1:1" ht="13">
      <c r="A376" s="91"/>
    </row>
    <row r="377" spans="1:1" ht="13">
      <c r="A377" s="91"/>
    </row>
    <row r="378" spans="1:1" ht="13">
      <c r="A378" s="91"/>
    </row>
    <row r="379" spans="1:1" ht="13">
      <c r="A379" s="91"/>
    </row>
    <row r="380" spans="1:1" ht="13">
      <c r="A380" s="91"/>
    </row>
    <row r="381" spans="1:1" ht="13">
      <c r="A381" s="91"/>
    </row>
    <row r="382" spans="1:1" ht="13">
      <c r="A382" s="91"/>
    </row>
    <row r="383" spans="1:1" ht="13">
      <c r="A383" s="91"/>
    </row>
    <row r="384" spans="1:1" ht="13">
      <c r="A384" s="91"/>
    </row>
    <row r="385" spans="1:1" ht="13">
      <c r="A385" s="91"/>
    </row>
    <row r="386" spans="1:1" ht="13">
      <c r="A386" s="91"/>
    </row>
    <row r="387" spans="1:1" ht="13">
      <c r="A387" s="91"/>
    </row>
    <row r="388" spans="1:1" ht="13">
      <c r="A388" s="91"/>
    </row>
    <row r="389" spans="1:1" ht="13">
      <c r="A389" s="91"/>
    </row>
    <row r="390" spans="1:1" ht="13">
      <c r="A390" s="91"/>
    </row>
    <row r="391" spans="1:1" ht="13">
      <c r="A391" s="91"/>
    </row>
    <row r="392" spans="1:1" ht="13">
      <c r="A392" s="91"/>
    </row>
    <row r="393" spans="1:1" ht="13">
      <c r="A393" s="91"/>
    </row>
    <row r="394" spans="1:1" ht="13">
      <c r="A394" s="91"/>
    </row>
    <row r="395" spans="1:1" ht="13">
      <c r="A395" s="91"/>
    </row>
    <row r="396" spans="1:1" ht="13">
      <c r="A396" s="91"/>
    </row>
    <row r="397" spans="1:1" ht="13">
      <c r="A397" s="91"/>
    </row>
    <row r="398" spans="1:1" ht="13">
      <c r="A398" s="91"/>
    </row>
    <row r="399" spans="1:1" ht="13">
      <c r="A399" s="91"/>
    </row>
    <row r="400" spans="1:1" ht="13">
      <c r="A400" s="91"/>
    </row>
    <row r="401" spans="1:1" ht="13">
      <c r="A401" s="91"/>
    </row>
    <row r="402" spans="1:1" ht="13">
      <c r="A402" s="91"/>
    </row>
    <row r="403" spans="1:1" ht="13">
      <c r="A403" s="91"/>
    </row>
    <row r="404" spans="1:1" ht="13">
      <c r="A404" s="91"/>
    </row>
    <row r="405" spans="1:1" ht="13">
      <c r="A405" s="91"/>
    </row>
    <row r="406" spans="1:1" ht="13">
      <c r="A406" s="91"/>
    </row>
    <row r="407" spans="1:1" ht="13">
      <c r="A407" s="91"/>
    </row>
    <row r="408" spans="1:1" ht="13">
      <c r="A408" s="91"/>
    </row>
    <row r="409" spans="1:1" ht="13">
      <c r="A409" s="91"/>
    </row>
    <row r="410" spans="1:1" ht="13">
      <c r="A410" s="91"/>
    </row>
    <row r="411" spans="1:1" ht="13">
      <c r="A411" s="91"/>
    </row>
    <row r="412" spans="1:1" ht="13">
      <c r="A412" s="91"/>
    </row>
    <row r="413" spans="1:1" ht="13">
      <c r="A413" s="91"/>
    </row>
    <row r="414" spans="1:1" ht="13">
      <c r="A414" s="91"/>
    </row>
    <row r="415" spans="1:1" ht="13">
      <c r="A415" s="91"/>
    </row>
    <row r="416" spans="1:1" ht="13">
      <c r="A416" s="91"/>
    </row>
    <row r="417" spans="1:1" ht="13">
      <c r="A417" s="91"/>
    </row>
    <row r="418" spans="1:1" ht="13">
      <c r="A418" s="91"/>
    </row>
    <row r="419" spans="1:1" ht="13">
      <c r="A419" s="91"/>
    </row>
    <row r="420" spans="1:1" ht="13">
      <c r="A420" s="91"/>
    </row>
    <row r="421" spans="1:1" ht="13">
      <c r="A421" s="91"/>
    </row>
    <row r="422" spans="1:1" ht="13">
      <c r="A422" s="91"/>
    </row>
    <row r="423" spans="1:1" ht="13">
      <c r="A423" s="91"/>
    </row>
    <row r="424" spans="1:1" ht="13">
      <c r="A424" s="91"/>
    </row>
    <row r="425" spans="1:1" ht="13">
      <c r="A425" s="91"/>
    </row>
    <row r="426" spans="1:1" ht="13">
      <c r="A426" s="91"/>
    </row>
    <row r="427" spans="1:1" ht="13">
      <c r="A427" s="91"/>
    </row>
    <row r="428" spans="1:1" ht="13">
      <c r="A428" s="91"/>
    </row>
    <row r="429" spans="1:1" ht="13">
      <c r="A429" s="91"/>
    </row>
    <row r="430" spans="1:1" ht="13">
      <c r="A430" s="91"/>
    </row>
    <row r="431" spans="1:1" ht="13">
      <c r="A431" s="91"/>
    </row>
    <row r="432" spans="1:1" ht="13">
      <c r="A432" s="91"/>
    </row>
    <row r="433" spans="1:1" ht="13">
      <c r="A433" s="91"/>
    </row>
    <row r="434" spans="1:1" ht="13">
      <c r="A434" s="91"/>
    </row>
    <row r="435" spans="1:1" ht="13">
      <c r="A435" s="91"/>
    </row>
    <row r="436" spans="1:1" ht="13">
      <c r="A436" s="91"/>
    </row>
    <row r="437" spans="1:1" ht="13">
      <c r="A437" s="91"/>
    </row>
    <row r="438" spans="1:1" ht="13">
      <c r="A438" s="91"/>
    </row>
    <row r="439" spans="1:1" ht="13">
      <c r="A439" s="91"/>
    </row>
    <row r="440" spans="1:1" ht="13">
      <c r="A440" s="91"/>
    </row>
    <row r="441" spans="1:1" ht="13">
      <c r="A441" s="91"/>
    </row>
    <row r="442" spans="1:1" ht="13">
      <c r="A442" s="91"/>
    </row>
    <row r="443" spans="1:1" ht="13">
      <c r="A443" s="91"/>
    </row>
    <row r="444" spans="1:1" ht="13">
      <c r="A444" s="91"/>
    </row>
    <row r="445" spans="1:1" ht="13">
      <c r="A445" s="91"/>
    </row>
    <row r="446" spans="1:1" ht="13">
      <c r="A446" s="91"/>
    </row>
    <row r="447" spans="1:1" ht="13">
      <c r="A447" s="91"/>
    </row>
    <row r="448" spans="1:1" ht="13">
      <c r="A448" s="91"/>
    </row>
    <row r="449" spans="1:1" ht="13">
      <c r="A449" s="91"/>
    </row>
    <row r="450" spans="1:1" ht="13">
      <c r="A450" s="91"/>
    </row>
    <row r="451" spans="1:1" ht="13">
      <c r="A451" s="91"/>
    </row>
    <row r="452" spans="1:1" ht="13">
      <c r="A452" s="91"/>
    </row>
    <row r="453" spans="1:1" ht="13">
      <c r="A453" s="91"/>
    </row>
    <row r="454" spans="1:1" ht="13">
      <c r="A454" s="91"/>
    </row>
    <row r="455" spans="1:1" ht="13">
      <c r="A455" s="91"/>
    </row>
    <row r="456" spans="1:1" ht="13">
      <c r="A456" s="91"/>
    </row>
    <row r="457" spans="1:1" ht="13">
      <c r="A457" s="91"/>
    </row>
    <row r="458" spans="1:1" ht="13">
      <c r="A458" s="91"/>
    </row>
    <row r="459" spans="1:1" ht="13">
      <c r="A459" s="91"/>
    </row>
    <row r="460" spans="1:1" ht="13">
      <c r="A460" s="91"/>
    </row>
    <row r="461" spans="1:1" ht="13">
      <c r="A461" s="91"/>
    </row>
    <row r="462" spans="1:1" ht="13">
      <c r="A462" s="91"/>
    </row>
    <row r="463" spans="1:1" ht="13">
      <c r="A463" s="91"/>
    </row>
    <row r="464" spans="1:1" ht="13">
      <c r="A464" s="91"/>
    </row>
    <row r="465" spans="1:1" ht="13">
      <c r="A465" s="91"/>
    </row>
    <row r="466" spans="1:1" ht="13">
      <c r="A466" s="91"/>
    </row>
    <row r="467" spans="1:1" ht="13">
      <c r="A467" s="91"/>
    </row>
    <row r="468" spans="1:1" ht="13">
      <c r="A468" s="91"/>
    </row>
    <row r="469" spans="1:1" ht="13">
      <c r="A469" s="91"/>
    </row>
    <row r="470" spans="1:1" ht="13">
      <c r="A470" s="91"/>
    </row>
    <row r="471" spans="1:1" ht="13">
      <c r="A471" s="91"/>
    </row>
    <row r="472" spans="1:1" ht="13">
      <c r="A472" s="91"/>
    </row>
    <row r="473" spans="1:1" ht="13">
      <c r="A473" s="91"/>
    </row>
    <row r="474" spans="1:1" ht="13">
      <c r="A474" s="91"/>
    </row>
    <row r="475" spans="1:1" ht="13">
      <c r="A475" s="91"/>
    </row>
    <row r="476" spans="1:1" ht="13">
      <c r="A476" s="91"/>
    </row>
    <row r="477" spans="1:1" ht="13">
      <c r="A477" s="91"/>
    </row>
    <row r="478" spans="1:1" ht="13">
      <c r="A478" s="91"/>
    </row>
    <row r="479" spans="1:1" ht="13">
      <c r="A479" s="91"/>
    </row>
    <row r="480" spans="1:1" ht="13">
      <c r="A480" s="91"/>
    </row>
    <row r="481" spans="1:1" ht="13">
      <c r="A481" s="91"/>
    </row>
    <row r="482" spans="1:1" ht="13">
      <c r="A482" s="91"/>
    </row>
    <row r="483" spans="1:1" ht="13">
      <c r="A483" s="91"/>
    </row>
    <row r="484" spans="1:1" ht="13">
      <c r="A484" s="91"/>
    </row>
    <row r="485" spans="1:1" ht="13">
      <c r="A485" s="91"/>
    </row>
    <row r="486" spans="1:1" ht="13">
      <c r="A486" s="91"/>
    </row>
    <row r="487" spans="1:1" ht="13">
      <c r="A487" s="91"/>
    </row>
    <row r="488" spans="1:1" ht="13">
      <c r="A488" s="91"/>
    </row>
    <row r="489" spans="1:1" ht="13">
      <c r="A489" s="91"/>
    </row>
    <row r="490" spans="1:1" ht="13">
      <c r="A490" s="91"/>
    </row>
    <row r="491" spans="1:1" ht="13">
      <c r="A491" s="91"/>
    </row>
    <row r="492" spans="1:1" ht="13">
      <c r="A492" s="91"/>
    </row>
    <row r="493" spans="1:1" ht="13">
      <c r="A493" s="91"/>
    </row>
    <row r="494" spans="1:1" ht="13">
      <c r="A494" s="91"/>
    </row>
    <row r="495" spans="1:1" ht="13">
      <c r="A495" s="91"/>
    </row>
    <row r="496" spans="1:1" ht="13">
      <c r="A496" s="91"/>
    </row>
    <row r="497" spans="1:1" ht="13">
      <c r="A497" s="91"/>
    </row>
    <row r="498" spans="1:1" ht="13">
      <c r="A498" s="91"/>
    </row>
    <row r="499" spans="1:1" ht="13">
      <c r="A499" s="91"/>
    </row>
    <row r="500" spans="1:1" ht="13">
      <c r="A500" s="91"/>
    </row>
    <row r="501" spans="1:1" ht="13">
      <c r="A501" s="91"/>
    </row>
    <row r="502" spans="1:1" ht="13">
      <c r="A502" s="91"/>
    </row>
    <row r="503" spans="1:1" ht="13">
      <c r="A503" s="91"/>
    </row>
    <row r="504" spans="1:1" ht="13">
      <c r="A504" s="91"/>
    </row>
    <row r="505" spans="1:1" ht="13">
      <c r="A505" s="91"/>
    </row>
    <row r="506" spans="1:1" ht="13">
      <c r="A506" s="91"/>
    </row>
    <row r="507" spans="1:1" ht="13">
      <c r="A507" s="91"/>
    </row>
    <row r="508" spans="1:1" ht="13">
      <c r="A508" s="91"/>
    </row>
    <row r="509" spans="1:1" ht="13">
      <c r="A509" s="91"/>
    </row>
    <row r="510" spans="1:1" ht="13">
      <c r="A510" s="91"/>
    </row>
    <row r="511" spans="1:1" ht="13">
      <c r="A511" s="91"/>
    </row>
    <row r="512" spans="1:1" ht="13">
      <c r="A512" s="91"/>
    </row>
    <row r="513" spans="1:1" ht="13">
      <c r="A513" s="91"/>
    </row>
    <row r="514" spans="1:1" ht="13">
      <c r="A514" s="91"/>
    </row>
    <row r="515" spans="1:1" ht="13">
      <c r="A515" s="91"/>
    </row>
    <row r="516" spans="1:1" ht="13">
      <c r="A516" s="91"/>
    </row>
    <row r="517" spans="1:1" ht="13">
      <c r="A517" s="91"/>
    </row>
    <row r="518" spans="1:1" ht="13">
      <c r="A518" s="91"/>
    </row>
    <row r="519" spans="1:1" ht="13">
      <c r="A519" s="91"/>
    </row>
    <row r="520" spans="1:1" ht="13">
      <c r="A520" s="91"/>
    </row>
    <row r="521" spans="1:1" ht="13">
      <c r="A521" s="91"/>
    </row>
    <row r="522" spans="1:1" ht="13">
      <c r="A522" s="91"/>
    </row>
    <row r="523" spans="1:1" ht="13">
      <c r="A523" s="91"/>
    </row>
    <row r="524" spans="1:1" ht="13">
      <c r="A524" s="91"/>
    </row>
    <row r="525" spans="1:1" ht="13">
      <c r="A525" s="91"/>
    </row>
    <row r="526" spans="1:1" ht="13">
      <c r="A526" s="91"/>
    </row>
    <row r="527" spans="1:1" ht="13">
      <c r="A527" s="91"/>
    </row>
    <row r="528" spans="1:1" ht="13">
      <c r="A528" s="91"/>
    </row>
    <row r="529" spans="1:1" ht="13">
      <c r="A529" s="91"/>
    </row>
    <row r="530" spans="1:1" ht="13">
      <c r="A530" s="91"/>
    </row>
    <row r="531" spans="1:1" ht="13">
      <c r="A531" s="91"/>
    </row>
    <row r="532" spans="1:1" ht="13">
      <c r="A532" s="91"/>
    </row>
    <row r="533" spans="1:1" ht="13">
      <c r="A533" s="91"/>
    </row>
    <row r="534" spans="1:1" ht="13">
      <c r="A534" s="91"/>
    </row>
    <row r="535" spans="1:1" ht="13">
      <c r="A535" s="91"/>
    </row>
    <row r="536" spans="1:1" ht="13">
      <c r="A536" s="91"/>
    </row>
    <row r="537" spans="1:1" ht="13">
      <c r="A537" s="91"/>
    </row>
    <row r="538" spans="1:1" ht="13">
      <c r="A538" s="91"/>
    </row>
    <row r="539" spans="1:1" ht="13">
      <c r="A539" s="91"/>
    </row>
    <row r="540" spans="1:1" ht="13">
      <c r="A540" s="91"/>
    </row>
    <row r="541" spans="1:1" ht="13">
      <c r="A541" s="91"/>
    </row>
    <row r="542" spans="1:1" ht="13">
      <c r="A542" s="91"/>
    </row>
    <row r="543" spans="1:1" ht="13">
      <c r="A543" s="91"/>
    </row>
    <row r="544" spans="1:1" ht="13">
      <c r="A544" s="91"/>
    </row>
    <row r="545" spans="1:1" ht="13">
      <c r="A545" s="91"/>
    </row>
    <row r="546" spans="1:1" ht="13">
      <c r="A546" s="91"/>
    </row>
    <row r="547" spans="1:1" ht="13">
      <c r="A547" s="91"/>
    </row>
    <row r="548" spans="1:1" ht="13">
      <c r="A548" s="91"/>
    </row>
    <row r="549" spans="1:1" ht="13">
      <c r="A549" s="91"/>
    </row>
    <row r="550" spans="1:1" ht="13">
      <c r="A550" s="91"/>
    </row>
    <row r="551" spans="1:1" ht="13">
      <c r="A551" s="91"/>
    </row>
    <row r="552" spans="1:1" ht="13">
      <c r="A552" s="91"/>
    </row>
    <row r="553" spans="1:1" ht="13">
      <c r="A553" s="91"/>
    </row>
    <row r="554" spans="1:1" ht="13">
      <c r="A554" s="91"/>
    </row>
    <row r="555" spans="1:1" ht="13">
      <c r="A555" s="91"/>
    </row>
    <row r="556" spans="1:1" ht="13">
      <c r="A556" s="91"/>
    </row>
    <row r="557" spans="1:1" ht="13">
      <c r="A557" s="91"/>
    </row>
    <row r="558" spans="1:1" ht="13">
      <c r="A558" s="91"/>
    </row>
    <row r="559" spans="1:1" ht="13">
      <c r="A559" s="91"/>
    </row>
    <row r="560" spans="1:1" ht="13">
      <c r="A560" s="91"/>
    </row>
    <row r="561" spans="1:1" ht="13">
      <c r="A561" s="91"/>
    </row>
    <row r="562" spans="1:1" ht="13">
      <c r="A562" s="91"/>
    </row>
    <row r="563" spans="1:1" ht="13">
      <c r="A563" s="91"/>
    </row>
    <row r="564" spans="1:1" ht="13">
      <c r="A564" s="91"/>
    </row>
    <row r="565" spans="1:1" ht="13">
      <c r="A565" s="91"/>
    </row>
    <row r="566" spans="1:1" ht="13">
      <c r="A566" s="91"/>
    </row>
    <row r="567" spans="1:1" ht="13">
      <c r="A567" s="91"/>
    </row>
    <row r="568" spans="1:1" ht="13">
      <c r="A568" s="91"/>
    </row>
    <row r="569" spans="1:1" ht="13">
      <c r="A569" s="91"/>
    </row>
    <row r="570" spans="1:1" ht="13">
      <c r="A570" s="91"/>
    </row>
    <row r="571" spans="1:1" ht="13">
      <c r="A571" s="91"/>
    </row>
    <row r="572" spans="1:1" ht="13">
      <c r="A572" s="91"/>
    </row>
    <row r="573" spans="1:1" ht="13">
      <c r="A573" s="91"/>
    </row>
    <row r="574" spans="1:1" ht="13">
      <c r="A574" s="91"/>
    </row>
    <row r="575" spans="1:1" ht="13">
      <c r="A575" s="91"/>
    </row>
    <row r="576" spans="1:1" ht="13">
      <c r="A576" s="91"/>
    </row>
    <row r="577" spans="1:1" ht="13">
      <c r="A577" s="91"/>
    </row>
    <row r="578" spans="1:1" ht="13">
      <c r="A578" s="91"/>
    </row>
    <row r="579" spans="1:1" ht="13">
      <c r="A579" s="91"/>
    </row>
    <row r="580" spans="1:1" ht="13">
      <c r="A580" s="91"/>
    </row>
    <row r="581" spans="1:1" ht="13">
      <c r="A581" s="91"/>
    </row>
    <row r="582" spans="1:1" ht="13">
      <c r="A582" s="91"/>
    </row>
    <row r="583" spans="1:1" ht="13">
      <c r="A583" s="91"/>
    </row>
    <row r="584" spans="1:1" ht="13">
      <c r="A584" s="91"/>
    </row>
    <row r="585" spans="1:1" ht="13">
      <c r="A585" s="91"/>
    </row>
    <row r="586" spans="1:1" ht="13">
      <c r="A586" s="91"/>
    </row>
    <row r="587" spans="1:1" ht="13">
      <c r="A587" s="91"/>
    </row>
    <row r="588" spans="1:1" ht="13">
      <c r="A588" s="91"/>
    </row>
    <row r="589" spans="1:1" ht="13">
      <c r="A589" s="91"/>
    </row>
    <row r="590" spans="1:1" ht="13">
      <c r="A590" s="91"/>
    </row>
    <row r="591" spans="1:1" ht="13">
      <c r="A591" s="91"/>
    </row>
    <row r="592" spans="1:1" ht="13">
      <c r="A592" s="91"/>
    </row>
    <row r="593" spans="1:1" ht="13">
      <c r="A593" s="91"/>
    </row>
    <row r="594" spans="1:1" ht="13">
      <c r="A594" s="91"/>
    </row>
    <row r="595" spans="1:1" ht="13">
      <c r="A595" s="91"/>
    </row>
    <row r="596" spans="1:1" ht="13">
      <c r="A596" s="91"/>
    </row>
    <row r="597" spans="1:1" ht="13">
      <c r="A597" s="91"/>
    </row>
    <row r="598" spans="1:1" ht="13">
      <c r="A598" s="91"/>
    </row>
    <row r="599" spans="1:1" ht="13">
      <c r="A599" s="91"/>
    </row>
    <row r="600" spans="1:1" ht="13">
      <c r="A600" s="91"/>
    </row>
    <row r="601" spans="1:1" ht="13">
      <c r="A601" s="91"/>
    </row>
    <row r="602" spans="1:1" ht="13">
      <c r="A602" s="91"/>
    </row>
    <row r="603" spans="1:1" ht="13">
      <c r="A603" s="91"/>
    </row>
    <row r="604" spans="1:1" ht="13">
      <c r="A604" s="91"/>
    </row>
    <row r="605" spans="1:1" ht="13">
      <c r="A605" s="91"/>
    </row>
    <row r="606" spans="1:1" ht="13">
      <c r="A606" s="91"/>
    </row>
    <row r="607" spans="1:1" ht="13">
      <c r="A607" s="91"/>
    </row>
    <row r="608" spans="1:1" ht="13">
      <c r="A608" s="91"/>
    </row>
    <row r="609" spans="1:1" ht="13">
      <c r="A609" s="91"/>
    </row>
    <row r="610" spans="1:1" ht="13">
      <c r="A610" s="91"/>
    </row>
    <row r="611" spans="1:1" ht="13">
      <c r="A611" s="91"/>
    </row>
    <row r="612" spans="1:1" ht="13">
      <c r="A612" s="91"/>
    </row>
    <row r="613" spans="1:1" ht="13">
      <c r="A613" s="91"/>
    </row>
    <row r="614" spans="1:1" ht="13">
      <c r="A614" s="91"/>
    </row>
    <row r="615" spans="1:1" ht="13">
      <c r="A615" s="91"/>
    </row>
    <row r="616" spans="1:1" ht="13">
      <c r="A616" s="91"/>
    </row>
    <row r="617" spans="1:1" ht="13">
      <c r="A617" s="91"/>
    </row>
    <row r="618" spans="1:1" ht="13">
      <c r="A618" s="91"/>
    </row>
    <row r="619" spans="1:1" ht="13">
      <c r="A619" s="91"/>
    </row>
    <row r="620" spans="1:1" ht="13">
      <c r="A620" s="91"/>
    </row>
    <row r="621" spans="1:1" ht="13">
      <c r="A621" s="91"/>
    </row>
    <row r="622" spans="1:1" ht="13">
      <c r="A622" s="91"/>
    </row>
    <row r="623" spans="1:1" ht="13">
      <c r="A623" s="91"/>
    </row>
    <row r="624" spans="1:1" ht="13">
      <c r="A624" s="91"/>
    </row>
    <row r="625" spans="1:1" ht="13">
      <c r="A625" s="91"/>
    </row>
    <row r="626" spans="1:1" ht="13">
      <c r="A626" s="91"/>
    </row>
    <row r="627" spans="1:1" ht="13">
      <c r="A627" s="91"/>
    </row>
    <row r="628" spans="1:1" ht="13">
      <c r="A628" s="91"/>
    </row>
    <row r="629" spans="1:1" ht="13">
      <c r="A629" s="91"/>
    </row>
    <row r="630" spans="1:1" ht="13">
      <c r="A630" s="91"/>
    </row>
    <row r="631" spans="1:1" ht="13">
      <c r="A631" s="91"/>
    </row>
    <row r="632" spans="1:1" ht="13">
      <c r="A632" s="91"/>
    </row>
    <row r="633" spans="1:1" ht="13">
      <c r="A633" s="91"/>
    </row>
    <row r="634" spans="1:1" ht="13">
      <c r="A634" s="91"/>
    </row>
    <row r="635" spans="1:1" ht="13">
      <c r="A635" s="91"/>
    </row>
    <row r="636" spans="1:1" ht="13">
      <c r="A636" s="91"/>
    </row>
    <row r="637" spans="1:1" ht="13">
      <c r="A637" s="91"/>
    </row>
    <row r="638" spans="1:1" ht="13">
      <c r="A638" s="91"/>
    </row>
    <row r="639" spans="1:1" ht="13">
      <c r="A639" s="91"/>
    </row>
    <row r="640" spans="1:1" ht="13">
      <c r="A640" s="91"/>
    </row>
    <row r="641" spans="1:1" ht="13">
      <c r="A641" s="91"/>
    </row>
    <row r="642" spans="1:1" ht="13">
      <c r="A642" s="91"/>
    </row>
    <row r="643" spans="1:1" ht="13">
      <c r="A643" s="91"/>
    </row>
    <row r="644" spans="1:1" ht="13">
      <c r="A644" s="91"/>
    </row>
    <row r="645" spans="1:1" ht="13">
      <c r="A645" s="91"/>
    </row>
    <row r="646" spans="1:1" ht="13">
      <c r="A646" s="91"/>
    </row>
    <row r="647" spans="1:1" ht="13">
      <c r="A647" s="91"/>
    </row>
    <row r="648" spans="1:1" ht="13">
      <c r="A648" s="91"/>
    </row>
    <row r="649" spans="1:1" ht="13">
      <c r="A649" s="91"/>
    </row>
    <row r="650" spans="1:1" ht="13">
      <c r="A650" s="91"/>
    </row>
    <row r="651" spans="1:1" ht="13">
      <c r="A651" s="91"/>
    </row>
    <row r="652" spans="1:1" ht="13">
      <c r="A652" s="91"/>
    </row>
    <row r="653" spans="1:1" ht="13">
      <c r="A653" s="91"/>
    </row>
    <row r="654" spans="1:1" ht="13">
      <c r="A654" s="91"/>
    </row>
    <row r="655" spans="1:1" ht="13">
      <c r="A655" s="91"/>
    </row>
    <row r="656" spans="1:1" ht="13">
      <c r="A656" s="91"/>
    </row>
    <row r="657" spans="1:1" ht="13">
      <c r="A657" s="91"/>
    </row>
    <row r="658" spans="1:1" ht="13">
      <c r="A658" s="91"/>
    </row>
    <row r="659" spans="1:1" ht="13">
      <c r="A659" s="91"/>
    </row>
    <row r="660" spans="1:1" ht="13">
      <c r="A660" s="91"/>
    </row>
    <row r="661" spans="1:1" ht="13">
      <c r="A661" s="91"/>
    </row>
    <row r="662" spans="1:1" ht="13">
      <c r="A662" s="91"/>
    </row>
    <row r="663" spans="1:1" ht="13">
      <c r="A663" s="91"/>
    </row>
    <row r="664" spans="1:1" ht="13">
      <c r="A664" s="91"/>
    </row>
    <row r="665" spans="1:1" ht="13">
      <c r="A665" s="91"/>
    </row>
    <row r="666" spans="1:1" ht="13">
      <c r="A666" s="91"/>
    </row>
    <row r="667" spans="1:1" ht="13">
      <c r="A667" s="91"/>
    </row>
    <row r="668" spans="1:1" ht="13">
      <c r="A668" s="91"/>
    </row>
    <row r="669" spans="1:1" ht="13">
      <c r="A669" s="91"/>
    </row>
    <row r="670" spans="1:1" ht="13">
      <c r="A670" s="91"/>
    </row>
    <row r="671" spans="1:1" ht="13">
      <c r="A671" s="91"/>
    </row>
    <row r="672" spans="1:1" ht="13">
      <c r="A672" s="91"/>
    </row>
    <row r="673" spans="1:1" ht="13">
      <c r="A673" s="91"/>
    </row>
    <row r="674" spans="1:1" ht="13">
      <c r="A674" s="91"/>
    </row>
    <row r="675" spans="1:1" ht="13">
      <c r="A675" s="91"/>
    </row>
    <row r="676" spans="1:1" ht="13">
      <c r="A676" s="91"/>
    </row>
    <row r="677" spans="1:1" ht="13">
      <c r="A677" s="91"/>
    </row>
    <row r="678" spans="1:1" ht="13">
      <c r="A678" s="91"/>
    </row>
    <row r="679" spans="1:1" ht="13">
      <c r="A679" s="91"/>
    </row>
    <row r="680" spans="1:1" ht="13">
      <c r="A680" s="91"/>
    </row>
    <row r="681" spans="1:1" ht="13">
      <c r="A681" s="91"/>
    </row>
    <row r="682" spans="1:1" ht="13">
      <c r="A682" s="91"/>
    </row>
    <row r="683" spans="1:1" ht="13">
      <c r="A683" s="91"/>
    </row>
    <row r="684" spans="1:1" ht="13">
      <c r="A684" s="91"/>
    </row>
    <row r="685" spans="1:1" ht="13">
      <c r="A685" s="91"/>
    </row>
    <row r="686" spans="1:1" ht="13">
      <c r="A686" s="91"/>
    </row>
    <row r="687" spans="1:1" ht="13">
      <c r="A687" s="91"/>
    </row>
    <row r="688" spans="1:1" ht="13">
      <c r="A688" s="91"/>
    </row>
    <row r="689" spans="1:1" ht="13">
      <c r="A689" s="91"/>
    </row>
    <row r="690" spans="1:1" ht="13">
      <c r="A690" s="91"/>
    </row>
    <row r="691" spans="1:1" ht="13">
      <c r="A691" s="91"/>
    </row>
    <row r="692" spans="1:1" ht="13">
      <c r="A692" s="91"/>
    </row>
    <row r="693" spans="1:1" ht="13">
      <c r="A693" s="91"/>
    </row>
    <row r="694" spans="1:1" ht="13">
      <c r="A694" s="91"/>
    </row>
    <row r="695" spans="1:1" ht="13">
      <c r="A695" s="91"/>
    </row>
    <row r="696" spans="1:1" ht="13">
      <c r="A696" s="91"/>
    </row>
    <row r="697" spans="1:1" ht="13">
      <c r="A697" s="91"/>
    </row>
    <row r="698" spans="1:1" ht="13">
      <c r="A698" s="91"/>
    </row>
    <row r="699" spans="1:1" ht="13">
      <c r="A699" s="91"/>
    </row>
    <row r="700" spans="1:1" ht="13">
      <c r="A700" s="91"/>
    </row>
    <row r="701" spans="1:1" ht="13">
      <c r="A701" s="91"/>
    </row>
    <row r="702" spans="1:1" ht="13">
      <c r="A702" s="91"/>
    </row>
    <row r="703" spans="1:1" ht="13">
      <c r="A703" s="91"/>
    </row>
    <row r="704" spans="1:1" ht="13">
      <c r="A704" s="91"/>
    </row>
    <row r="705" spans="1:1" ht="13">
      <c r="A705" s="91"/>
    </row>
    <row r="706" spans="1:1" ht="13">
      <c r="A706" s="91"/>
    </row>
    <row r="707" spans="1:1" ht="13">
      <c r="A707" s="91"/>
    </row>
    <row r="708" spans="1:1" ht="13">
      <c r="A708" s="91"/>
    </row>
    <row r="709" spans="1:1" ht="13">
      <c r="A709" s="91"/>
    </row>
    <row r="710" spans="1:1" ht="13">
      <c r="A710" s="91"/>
    </row>
    <row r="711" spans="1:1" ht="13">
      <c r="A711" s="91"/>
    </row>
    <row r="712" spans="1:1" ht="13">
      <c r="A712" s="91"/>
    </row>
    <row r="713" spans="1:1" ht="13">
      <c r="A713" s="91"/>
    </row>
    <row r="714" spans="1:1" ht="13">
      <c r="A714" s="91"/>
    </row>
    <row r="715" spans="1:1" ht="13">
      <c r="A715" s="91"/>
    </row>
    <row r="716" spans="1:1" ht="13">
      <c r="A716" s="91"/>
    </row>
    <row r="717" spans="1:1" ht="13">
      <c r="A717" s="91"/>
    </row>
    <row r="718" spans="1:1" ht="13">
      <c r="A718" s="91"/>
    </row>
    <row r="719" spans="1:1" ht="13">
      <c r="A719" s="91"/>
    </row>
    <row r="720" spans="1:1" ht="13">
      <c r="A720" s="91"/>
    </row>
    <row r="721" spans="1:1" ht="13">
      <c r="A721" s="91"/>
    </row>
    <row r="722" spans="1:1" ht="13">
      <c r="A722" s="91"/>
    </row>
    <row r="723" spans="1:1" ht="13">
      <c r="A723" s="91"/>
    </row>
    <row r="724" spans="1:1" ht="13">
      <c r="A724" s="91"/>
    </row>
    <row r="725" spans="1:1" ht="13">
      <c r="A725" s="91"/>
    </row>
    <row r="726" spans="1:1" ht="13">
      <c r="A726" s="91"/>
    </row>
    <row r="727" spans="1:1" ht="13">
      <c r="A727" s="91"/>
    </row>
    <row r="728" spans="1:1" ht="13">
      <c r="A728" s="91"/>
    </row>
    <row r="729" spans="1:1" ht="13">
      <c r="A729" s="91"/>
    </row>
    <row r="730" spans="1:1" ht="13">
      <c r="A730" s="91"/>
    </row>
    <row r="731" spans="1:1" ht="13">
      <c r="A731" s="91"/>
    </row>
    <row r="732" spans="1:1" ht="13">
      <c r="A732" s="91"/>
    </row>
    <row r="733" spans="1:1" ht="13">
      <c r="A733" s="91"/>
    </row>
    <row r="734" spans="1:1" ht="13">
      <c r="A734" s="91"/>
    </row>
    <row r="735" spans="1:1" ht="13">
      <c r="A735" s="91"/>
    </row>
    <row r="736" spans="1:1" ht="13">
      <c r="A736" s="91"/>
    </row>
    <row r="737" spans="1:1" ht="13">
      <c r="A737" s="91"/>
    </row>
    <row r="738" spans="1:1" ht="13">
      <c r="A738" s="91"/>
    </row>
    <row r="739" spans="1:1" ht="13">
      <c r="A739" s="91"/>
    </row>
    <row r="740" spans="1:1" ht="13">
      <c r="A740" s="91"/>
    </row>
    <row r="741" spans="1:1" ht="13">
      <c r="A741" s="91"/>
    </row>
    <row r="742" spans="1:1" ht="13">
      <c r="A742" s="91"/>
    </row>
    <row r="743" spans="1:1" ht="13">
      <c r="A743" s="91"/>
    </row>
    <row r="744" spans="1:1" ht="13">
      <c r="A744" s="91"/>
    </row>
    <row r="745" spans="1:1" ht="13">
      <c r="A745" s="91"/>
    </row>
    <row r="746" spans="1:1" ht="13">
      <c r="A746" s="91"/>
    </row>
    <row r="747" spans="1:1" ht="13">
      <c r="A747" s="91"/>
    </row>
    <row r="748" spans="1:1" ht="13">
      <c r="A748" s="91"/>
    </row>
    <row r="749" spans="1:1" ht="13">
      <c r="A749" s="91"/>
    </row>
    <row r="750" spans="1:1" ht="13">
      <c r="A750" s="91"/>
    </row>
    <row r="751" spans="1:1" ht="13">
      <c r="A751" s="91"/>
    </row>
    <row r="752" spans="1:1" ht="13">
      <c r="A752" s="91"/>
    </row>
    <row r="753" spans="1:1" ht="13">
      <c r="A753" s="91"/>
    </row>
    <row r="754" spans="1:1" ht="13">
      <c r="A754" s="91"/>
    </row>
    <row r="755" spans="1:1" ht="13">
      <c r="A755" s="91"/>
    </row>
    <row r="756" spans="1:1" ht="13">
      <c r="A756" s="91"/>
    </row>
    <row r="757" spans="1:1" ht="13">
      <c r="A757" s="91"/>
    </row>
    <row r="758" spans="1:1" ht="13">
      <c r="A758" s="91"/>
    </row>
    <row r="759" spans="1:1" ht="13">
      <c r="A759" s="91"/>
    </row>
    <row r="760" spans="1:1" ht="13">
      <c r="A760" s="91"/>
    </row>
    <row r="761" spans="1:1" ht="13">
      <c r="A761" s="91"/>
    </row>
    <row r="762" spans="1:1" ht="13">
      <c r="A762" s="91"/>
    </row>
    <row r="763" spans="1:1" ht="13">
      <c r="A763" s="91"/>
    </row>
    <row r="764" spans="1:1" ht="13">
      <c r="A764" s="91"/>
    </row>
    <row r="765" spans="1:1" ht="13">
      <c r="A765" s="91"/>
    </row>
    <row r="766" spans="1:1" ht="13">
      <c r="A766" s="91"/>
    </row>
    <row r="767" spans="1:1" ht="13">
      <c r="A767" s="91"/>
    </row>
    <row r="768" spans="1:1" ht="13">
      <c r="A768" s="91"/>
    </row>
    <row r="769" spans="1:1" ht="13">
      <c r="A769" s="91"/>
    </row>
    <row r="770" spans="1:1" ht="13">
      <c r="A770" s="91"/>
    </row>
    <row r="771" spans="1:1" ht="13">
      <c r="A771" s="91"/>
    </row>
    <row r="772" spans="1:1" ht="13">
      <c r="A772" s="91"/>
    </row>
    <row r="773" spans="1:1" ht="13">
      <c r="A773" s="91"/>
    </row>
    <row r="774" spans="1:1" ht="13">
      <c r="A774" s="91"/>
    </row>
    <row r="775" spans="1:1" ht="13">
      <c r="A775" s="91"/>
    </row>
    <row r="776" spans="1:1" ht="13">
      <c r="A776" s="91"/>
    </row>
    <row r="777" spans="1:1" ht="13">
      <c r="A777" s="91"/>
    </row>
    <row r="778" spans="1:1" ht="13">
      <c r="A778" s="91"/>
    </row>
    <row r="779" spans="1:1" ht="13">
      <c r="A779" s="91"/>
    </row>
    <row r="780" spans="1:1" ht="13">
      <c r="A780" s="91"/>
    </row>
    <row r="781" spans="1:1" ht="13">
      <c r="A781" s="91"/>
    </row>
    <row r="782" spans="1:1" ht="13">
      <c r="A782" s="91"/>
    </row>
    <row r="783" spans="1:1" ht="13">
      <c r="A783" s="91"/>
    </row>
    <row r="784" spans="1:1" ht="13">
      <c r="A784" s="91"/>
    </row>
    <row r="785" spans="1:1" ht="13">
      <c r="A785" s="91"/>
    </row>
    <row r="786" spans="1:1" ht="13">
      <c r="A786" s="91"/>
    </row>
    <row r="787" spans="1:1" ht="13">
      <c r="A787" s="91"/>
    </row>
    <row r="788" spans="1:1" ht="13">
      <c r="A788" s="91"/>
    </row>
    <row r="789" spans="1:1" ht="13">
      <c r="A789" s="91"/>
    </row>
    <row r="790" spans="1:1" ht="13">
      <c r="A790" s="91"/>
    </row>
    <row r="791" spans="1:1" ht="13">
      <c r="A791" s="91"/>
    </row>
    <row r="792" spans="1:1" ht="13">
      <c r="A792" s="91"/>
    </row>
    <row r="793" spans="1:1" ht="13">
      <c r="A793" s="91"/>
    </row>
    <row r="794" spans="1:1" ht="13">
      <c r="A794" s="91"/>
    </row>
    <row r="795" spans="1:1" ht="13">
      <c r="A795" s="91"/>
    </row>
    <row r="796" spans="1:1" ht="13">
      <c r="A796" s="91"/>
    </row>
    <row r="797" spans="1:1" ht="13">
      <c r="A797" s="91"/>
    </row>
    <row r="798" spans="1:1" ht="13">
      <c r="A798" s="91"/>
    </row>
    <row r="799" spans="1:1" ht="13">
      <c r="A799" s="91"/>
    </row>
    <row r="800" spans="1:1" ht="13">
      <c r="A800" s="91"/>
    </row>
    <row r="801" spans="1:1" ht="13">
      <c r="A801" s="91"/>
    </row>
    <row r="802" spans="1:1" ht="13">
      <c r="A802" s="91"/>
    </row>
    <row r="803" spans="1:1" ht="13">
      <c r="A803" s="91"/>
    </row>
    <row r="804" spans="1:1" ht="13">
      <c r="A804" s="91"/>
    </row>
    <row r="805" spans="1:1" ht="13">
      <c r="A805" s="91"/>
    </row>
    <row r="806" spans="1:1" ht="13">
      <c r="A806" s="91"/>
    </row>
    <row r="807" spans="1:1" ht="13">
      <c r="A807" s="91"/>
    </row>
    <row r="808" spans="1:1" ht="13">
      <c r="A808" s="91"/>
    </row>
    <row r="809" spans="1:1" ht="13">
      <c r="A809" s="91"/>
    </row>
    <row r="810" spans="1:1" ht="13">
      <c r="A810" s="91"/>
    </row>
    <row r="811" spans="1:1" ht="13">
      <c r="A811" s="91"/>
    </row>
    <row r="812" spans="1:1" ht="13">
      <c r="A812" s="91"/>
    </row>
    <row r="813" spans="1:1" ht="13">
      <c r="A813" s="91"/>
    </row>
    <row r="814" spans="1:1" ht="13">
      <c r="A814" s="91"/>
    </row>
    <row r="815" spans="1:1" ht="13">
      <c r="A815" s="91"/>
    </row>
    <row r="816" spans="1:1" ht="13">
      <c r="A816" s="91"/>
    </row>
    <row r="817" spans="1:1" ht="13">
      <c r="A817" s="91"/>
    </row>
    <row r="818" spans="1:1" ht="13">
      <c r="A818" s="91"/>
    </row>
    <row r="819" spans="1:1" ht="13">
      <c r="A819" s="91"/>
    </row>
    <row r="820" spans="1:1" ht="13">
      <c r="A820" s="91"/>
    </row>
    <row r="821" spans="1:1" ht="13">
      <c r="A821" s="91"/>
    </row>
    <row r="822" spans="1:1" ht="13">
      <c r="A822" s="91"/>
    </row>
    <row r="823" spans="1:1" ht="13">
      <c r="A823" s="91"/>
    </row>
    <row r="824" spans="1:1" ht="13">
      <c r="A824" s="91"/>
    </row>
    <row r="825" spans="1:1" ht="13">
      <c r="A825" s="91"/>
    </row>
    <row r="826" spans="1:1" ht="13">
      <c r="A826" s="91"/>
    </row>
    <row r="827" spans="1:1" ht="13">
      <c r="A827" s="91"/>
    </row>
    <row r="828" spans="1:1" ht="13">
      <c r="A828" s="91"/>
    </row>
    <row r="829" spans="1:1" ht="13">
      <c r="A829" s="91"/>
    </row>
    <row r="830" spans="1:1" ht="13">
      <c r="A830" s="91"/>
    </row>
    <row r="831" spans="1:1" ht="13">
      <c r="A831" s="91"/>
    </row>
    <row r="832" spans="1:1" ht="13">
      <c r="A832" s="91"/>
    </row>
    <row r="833" spans="1:1" ht="13">
      <c r="A833" s="91"/>
    </row>
    <row r="834" spans="1:1" ht="13">
      <c r="A834" s="91"/>
    </row>
    <row r="835" spans="1:1" ht="13">
      <c r="A835" s="91"/>
    </row>
    <row r="836" spans="1:1" ht="13">
      <c r="A836" s="91"/>
    </row>
    <row r="837" spans="1:1" ht="13">
      <c r="A837" s="91"/>
    </row>
    <row r="838" spans="1:1" ht="13">
      <c r="A838" s="91"/>
    </row>
    <row r="839" spans="1:1" ht="13">
      <c r="A839" s="91"/>
    </row>
    <row r="840" spans="1:1" ht="13">
      <c r="A840" s="91"/>
    </row>
    <row r="841" spans="1:1" ht="13">
      <c r="A841" s="91"/>
    </row>
    <row r="842" spans="1:1" ht="13">
      <c r="A842" s="91"/>
    </row>
    <row r="843" spans="1:1" ht="13">
      <c r="A843" s="91"/>
    </row>
    <row r="844" spans="1:1" ht="13">
      <c r="A844" s="91"/>
    </row>
    <row r="845" spans="1:1" ht="13">
      <c r="A845" s="91"/>
    </row>
    <row r="846" spans="1:1" ht="13">
      <c r="A846" s="91"/>
    </row>
    <row r="847" spans="1:1" ht="13">
      <c r="A847" s="91"/>
    </row>
    <row r="848" spans="1:1" ht="13">
      <c r="A848" s="91"/>
    </row>
    <row r="849" spans="1:1" ht="13">
      <c r="A849" s="91"/>
    </row>
    <row r="850" spans="1:1" ht="13">
      <c r="A850" s="91"/>
    </row>
    <row r="851" spans="1:1" ht="13">
      <c r="A851" s="91"/>
    </row>
    <row r="852" spans="1:1" ht="13">
      <c r="A852" s="91"/>
    </row>
    <row r="853" spans="1:1" ht="13">
      <c r="A853" s="91"/>
    </row>
    <row r="854" spans="1:1" ht="13">
      <c r="A854" s="91"/>
    </row>
    <row r="855" spans="1:1" ht="13">
      <c r="A855" s="91"/>
    </row>
    <row r="856" spans="1:1" ht="13">
      <c r="A856" s="91"/>
    </row>
    <row r="857" spans="1:1" ht="13">
      <c r="A857" s="91"/>
    </row>
    <row r="858" spans="1:1" ht="13">
      <c r="A858" s="91"/>
    </row>
    <row r="859" spans="1:1" ht="13">
      <c r="A859" s="91"/>
    </row>
    <row r="860" spans="1:1" ht="13">
      <c r="A860" s="91"/>
    </row>
    <row r="861" spans="1:1" ht="13">
      <c r="A861" s="91"/>
    </row>
    <row r="862" spans="1:1" ht="13">
      <c r="A862" s="91"/>
    </row>
    <row r="863" spans="1:1" ht="13">
      <c r="A863" s="91"/>
    </row>
    <row r="864" spans="1:1" ht="13">
      <c r="A864" s="91"/>
    </row>
    <row r="865" spans="1:1" ht="13">
      <c r="A865" s="91"/>
    </row>
    <row r="866" spans="1:1" ht="13">
      <c r="A866" s="91"/>
    </row>
    <row r="867" spans="1:1" ht="13">
      <c r="A867" s="91"/>
    </row>
    <row r="868" spans="1:1" ht="13">
      <c r="A868" s="91"/>
    </row>
    <row r="869" spans="1:1" ht="13">
      <c r="A869" s="91"/>
    </row>
    <row r="870" spans="1:1" ht="13">
      <c r="A870" s="91"/>
    </row>
    <row r="871" spans="1:1" ht="13">
      <c r="A871" s="91"/>
    </row>
    <row r="872" spans="1:1" ht="13">
      <c r="A872" s="91"/>
    </row>
    <row r="873" spans="1:1" ht="13">
      <c r="A873" s="91"/>
    </row>
    <row r="874" spans="1:1" ht="13">
      <c r="A874" s="91"/>
    </row>
    <row r="875" spans="1:1" ht="13">
      <c r="A875" s="91"/>
    </row>
    <row r="876" spans="1:1" ht="13">
      <c r="A876" s="91"/>
    </row>
    <row r="877" spans="1:1" ht="13">
      <c r="A877" s="91"/>
    </row>
    <row r="878" spans="1:1" ht="13">
      <c r="A878" s="91"/>
    </row>
    <row r="879" spans="1:1" ht="13">
      <c r="A879" s="91"/>
    </row>
    <row r="880" spans="1:1" ht="13">
      <c r="A880" s="91"/>
    </row>
    <row r="881" spans="1:1" ht="13">
      <c r="A881" s="91"/>
    </row>
    <row r="882" spans="1:1" ht="13">
      <c r="A882" s="91"/>
    </row>
    <row r="883" spans="1:1" ht="13">
      <c r="A883" s="91"/>
    </row>
    <row r="884" spans="1:1" ht="13">
      <c r="A884" s="91"/>
    </row>
    <row r="885" spans="1:1" ht="13">
      <c r="A885" s="91"/>
    </row>
    <row r="886" spans="1:1" ht="13">
      <c r="A886" s="91"/>
    </row>
    <row r="887" spans="1:1" ht="13">
      <c r="A887" s="91"/>
    </row>
    <row r="888" spans="1:1" ht="13">
      <c r="A888" s="91"/>
    </row>
    <row r="889" spans="1:1" ht="13">
      <c r="A889" s="91"/>
    </row>
    <row r="890" spans="1:1" ht="13">
      <c r="A890" s="91"/>
    </row>
    <row r="891" spans="1:1" ht="13">
      <c r="A891" s="91"/>
    </row>
    <row r="892" spans="1:1" ht="13">
      <c r="A892" s="91"/>
    </row>
    <row r="893" spans="1:1" ht="13">
      <c r="A893" s="91"/>
    </row>
    <row r="894" spans="1:1" ht="13">
      <c r="A894" s="91"/>
    </row>
    <row r="895" spans="1:1" ht="13">
      <c r="A895" s="91"/>
    </row>
    <row r="896" spans="1:1" ht="13">
      <c r="A896" s="91"/>
    </row>
    <row r="897" spans="1:1" ht="13">
      <c r="A897" s="91"/>
    </row>
    <row r="898" spans="1:1" ht="13">
      <c r="A898" s="91"/>
    </row>
    <row r="899" spans="1:1" ht="13">
      <c r="A899" s="91"/>
    </row>
    <row r="900" spans="1:1" ht="13">
      <c r="A900" s="91"/>
    </row>
    <row r="901" spans="1:1" ht="13">
      <c r="A901" s="91"/>
    </row>
    <row r="902" spans="1:1" ht="13">
      <c r="A902" s="91"/>
    </row>
    <row r="903" spans="1:1" ht="13">
      <c r="A903" s="91"/>
    </row>
    <row r="904" spans="1:1" ht="13">
      <c r="A904" s="91"/>
    </row>
    <row r="905" spans="1:1" ht="13">
      <c r="A905" s="91"/>
    </row>
    <row r="906" spans="1:1" ht="13">
      <c r="A906" s="91"/>
    </row>
    <row r="907" spans="1:1" ht="13">
      <c r="A907" s="91"/>
    </row>
    <row r="908" spans="1:1" ht="13">
      <c r="A908" s="91"/>
    </row>
    <row r="909" spans="1:1" ht="13">
      <c r="A909" s="91"/>
    </row>
    <row r="910" spans="1:1" ht="13">
      <c r="A910" s="91"/>
    </row>
    <row r="911" spans="1:1" ht="13">
      <c r="A911" s="91"/>
    </row>
    <row r="912" spans="1:1" ht="13">
      <c r="A912" s="91"/>
    </row>
    <row r="913" spans="1:1" ht="13">
      <c r="A913" s="91"/>
    </row>
    <row r="914" spans="1:1" ht="13">
      <c r="A914" s="91"/>
    </row>
    <row r="915" spans="1:1" ht="13">
      <c r="A915" s="91"/>
    </row>
    <row r="916" spans="1:1" ht="13">
      <c r="A916" s="91"/>
    </row>
    <row r="917" spans="1:1" ht="13">
      <c r="A917" s="91"/>
    </row>
    <row r="918" spans="1:1" ht="13">
      <c r="A918" s="91"/>
    </row>
    <row r="919" spans="1:1" ht="13">
      <c r="A919" s="91"/>
    </row>
    <row r="920" spans="1:1" ht="13">
      <c r="A920" s="91"/>
    </row>
    <row r="921" spans="1:1" ht="13">
      <c r="A921" s="91"/>
    </row>
    <row r="922" spans="1:1" ht="13">
      <c r="A922" s="91"/>
    </row>
    <row r="923" spans="1:1" ht="13">
      <c r="A923" s="91"/>
    </row>
    <row r="924" spans="1:1" ht="13">
      <c r="A924" s="91"/>
    </row>
    <row r="925" spans="1:1" ht="13">
      <c r="A925" s="91"/>
    </row>
    <row r="926" spans="1:1" ht="13">
      <c r="A926" s="91"/>
    </row>
    <row r="927" spans="1:1" ht="13">
      <c r="A927" s="91"/>
    </row>
    <row r="928" spans="1:1" ht="13">
      <c r="A928" s="91"/>
    </row>
    <row r="929" spans="1:1" ht="13">
      <c r="A929" s="91"/>
    </row>
    <row r="930" spans="1:1" ht="13">
      <c r="A930" s="91"/>
    </row>
    <row r="931" spans="1:1" ht="13">
      <c r="A931" s="91"/>
    </row>
    <row r="932" spans="1:1" ht="13">
      <c r="A932" s="91"/>
    </row>
    <row r="933" spans="1:1" ht="13">
      <c r="A933" s="91"/>
    </row>
    <row r="934" spans="1:1" ht="13">
      <c r="A934" s="91"/>
    </row>
    <row r="935" spans="1:1" ht="13">
      <c r="A935" s="91"/>
    </row>
    <row r="936" spans="1:1" ht="13">
      <c r="A936" s="91"/>
    </row>
    <row r="937" spans="1:1" ht="13">
      <c r="A937" s="91"/>
    </row>
    <row r="938" spans="1:1" ht="13">
      <c r="A938" s="91"/>
    </row>
    <row r="939" spans="1:1" ht="13">
      <c r="A939" s="91"/>
    </row>
    <row r="940" spans="1:1" ht="13">
      <c r="A940" s="91"/>
    </row>
    <row r="941" spans="1:1" ht="13">
      <c r="A941" s="91"/>
    </row>
    <row r="942" spans="1:1" ht="13">
      <c r="A942" s="91"/>
    </row>
    <row r="943" spans="1:1" ht="13">
      <c r="A943" s="91"/>
    </row>
    <row r="944" spans="1:1" ht="13">
      <c r="A944" s="91"/>
    </row>
    <row r="945" spans="1:1" ht="13">
      <c r="A945" s="91"/>
    </row>
    <row r="946" spans="1:1" ht="13">
      <c r="A946" s="91"/>
    </row>
    <row r="947" spans="1:1" ht="13">
      <c r="A947" s="91"/>
    </row>
    <row r="948" spans="1:1" ht="13">
      <c r="A948" s="91"/>
    </row>
    <row r="949" spans="1:1" ht="13">
      <c r="A949" s="91"/>
    </row>
    <row r="950" spans="1:1" ht="13">
      <c r="A950" s="91"/>
    </row>
    <row r="951" spans="1:1" ht="13">
      <c r="A951" s="91"/>
    </row>
    <row r="952" spans="1:1" ht="13">
      <c r="A952" s="91"/>
    </row>
    <row r="953" spans="1:1" ht="13">
      <c r="A953" s="91"/>
    </row>
    <row r="954" spans="1:1" ht="13">
      <c r="A954" s="91"/>
    </row>
    <row r="955" spans="1:1" ht="13">
      <c r="A955" s="91"/>
    </row>
    <row r="956" spans="1:1" ht="13">
      <c r="A956" s="91"/>
    </row>
    <row r="957" spans="1:1" ht="13">
      <c r="A957" s="91"/>
    </row>
    <row r="958" spans="1:1" ht="13">
      <c r="A958" s="91"/>
    </row>
    <row r="959" spans="1:1" ht="13">
      <c r="A959" s="91"/>
    </row>
    <row r="960" spans="1:1" ht="13">
      <c r="A960" s="91"/>
    </row>
    <row r="961" spans="1:1" ht="13">
      <c r="A961" s="91"/>
    </row>
    <row r="962" spans="1:1" ht="13">
      <c r="A962" s="91"/>
    </row>
    <row r="963" spans="1:1" ht="13">
      <c r="A963" s="91"/>
    </row>
    <row r="964" spans="1:1" ht="13">
      <c r="A964" s="91"/>
    </row>
    <row r="965" spans="1:1" ht="13">
      <c r="A965" s="91"/>
    </row>
    <row r="966" spans="1:1" ht="13">
      <c r="A966" s="91"/>
    </row>
    <row r="967" spans="1:1" ht="13">
      <c r="A967" s="91"/>
    </row>
    <row r="968" spans="1:1" ht="13">
      <c r="A968" s="91"/>
    </row>
    <row r="969" spans="1:1" ht="13">
      <c r="A969" s="91"/>
    </row>
    <row r="970" spans="1:1" ht="13">
      <c r="A970" s="91"/>
    </row>
    <row r="971" spans="1:1" ht="13">
      <c r="A971" s="91"/>
    </row>
    <row r="972" spans="1:1" ht="13">
      <c r="A972" s="91"/>
    </row>
    <row r="973" spans="1:1" ht="13">
      <c r="A973" s="91"/>
    </row>
    <row r="974" spans="1:1" ht="13">
      <c r="A974" s="91"/>
    </row>
    <row r="975" spans="1:1" ht="13">
      <c r="A975" s="91"/>
    </row>
    <row r="976" spans="1:1" ht="13">
      <c r="A976" s="91"/>
    </row>
    <row r="977" spans="1:1" ht="13">
      <c r="A977" s="91"/>
    </row>
    <row r="978" spans="1:1" ht="13">
      <c r="A978" s="91"/>
    </row>
    <row r="979" spans="1:1" ht="13">
      <c r="A979" s="91"/>
    </row>
    <row r="980" spans="1:1" ht="13">
      <c r="A980" s="91"/>
    </row>
    <row r="981" spans="1:1" ht="13">
      <c r="A981" s="91"/>
    </row>
    <row r="982" spans="1:1" ht="13">
      <c r="A982" s="91"/>
    </row>
    <row r="983" spans="1:1" ht="13">
      <c r="A983" s="91"/>
    </row>
    <row r="984" spans="1:1" ht="13">
      <c r="A984" s="91"/>
    </row>
    <row r="985" spans="1:1" ht="13">
      <c r="A985" s="91"/>
    </row>
    <row r="986" spans="1:1" ht="13">
      <c r="A986" s="91"/>
    </row>
    <row r="987" spans="1:1" ht="13">
      <c r="A987" s="91"/>
    </row>
    <row r="988" spans="1:1" ht="13">
      <c r="A988" s="91"/>
    </row>
    <row r="989" spans="1:1" ht="13">
      <c r="A989" s="91"/>
    </row>
    <row r="990" spans="1:1" ht="13">
      <c r="A990" s="91"/>
    </row>
    <row r="991" spans="1:1" ht="13">
      <c r="A991" s="91"/>
    </row>
    <row r="992" spans="1:1" ht="13">
      <c r="A992" s="91"/>
    </row>
    <row r="993" spans="1:1" ht="13">
      <c r="A993" s="9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I8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5" customWidth="1"/>
    <col min="2" max="2" width="11.6640625" customWidth="1"/>
  </cols>
  <sheetData>
    <row r="1" spans="1:9" ht="15.75" customHeight="1">
      <c r="A1" s="207" t="s">
        <v>707</v>
      </c>
      <c r="B1" s="1" t="s">
        <v>315</v>
      </c>
      <c r="C1" s="1" t="s">
        <v>754</v>
      </c>
      <c r="D1" s="208" t="s">
        <v>144</v>
      </c>
      <c r="E1" s="208" t="s">
        <v>620</v>
      </c>
      <c r="F1" s="208" t="s">
        <v>621</v>
      </c>
      <c r="G1" s="208" t="s">
        <v>5</v>
      </c>
      <c r="H1" s="1" t="s">
        <v>755</v>
      </c>
      <c r="I1" s="1"/>
    </row>
    <row r="2" spans="1:9" ht="15.75" customHeight="1">
      <c r="A2" s="209" t="s">
        <v>622</v>
      </c>
      <c r="B2" s="210" t="s">
        <v>756</v>
      </c>
      <c r="C2" s="207" t="s">
        <v>626</v>
      </c>
      <c r="D2" s="41">
        <v>152</v>
      </c>
      <c r="E2" s="41">
        <v>3</v>
      </c>
      <c r="F2" s="41">
        <v>4.4000000000000004</v>
      </c>
      <c r="G2" s="41">
        <v>1</v>
      </c>
      <c r="H2" s="1" t="str">
        <f t="shared" ref="H2:H256" si="0">IF(OR(A2="Aliyahna Morris", A2="Lulu Laditan-Twidale", A2="Taylor Barnes", A2="Gisella Maul", A2="Lola Donez", A2="Mjracle Sheppard"), "High Minute",
 IF(OR(A2="Sakima Walker", A2="Naya Ojukwu", A2="Claudia Langarita"), "Posts",
 "Development"))</f>
        <v>High Minute</v>
      </c>
      <c r="I2" s="1"/>
    </row>
    <row r="3" spans="1:9" ht="15.75" customHeight="1">
      <c r="A3" s="209" t="s">
        <v>622</v>
      </c>
      <c r="B3" s="210" t="s">
        <v>756</v>
      </c>
      <c r="C3" s="207" t="s">
        <v>627</v>
      </c>
      <c r="D3" s="41">
        <v>165</v>
      </c>
      <c r="E3" s="41">
        <v>27</v>
      </c>
      <c r="F3" s="41">
        <v>13</v>
      </c>
      <c r="G3" s="41">
        <v>19</v>
      </c>
      <c r="H3" s="1" t="str">
        <f t="shared" si="0"/>
        <v>High Minute</v>
      </c>
      <c r="I3" s="1"/>
    </row>
    <row r="4" spans="1:9" ht="15.75" customHeight="1">
      <c r="A4" s="209" t="s">
        <v>622</v>
      </c>
      <c r="B4" s="210" t="s">
        <v>756</v>
      </c>
      <c r="C4" s="207" t="s">
        <v>628</v>
      </c>
      <c r="D4" s="41">
        <v>109</v>
      </c>
      <c r="E4" s="41">
        <v>23</v>
      </c>
      <c r="F4" s="41">
        <v>11.28</v>
      </c>
      <c r="G4" s="41">
        <v>13</v>
      </c>
      <c r="H4" s="1" t="str">
        <f t="shared" si="0"/>
        <v>High Minute</v>
      </c>
      <c r="I4" s="1"/>
    </row>
    <row r="5" spans="1:9" ht="15.75" customHeight="1">
      <c r="A5" s="209" t="s">
        <v>622</v>
      </c>
      <c r="B5" s="210" t="s">
        <v>756</v>
      </c>
      <c r="C5" s="207" t="s">
        <v>629</v>
      </c>
      <c r="D5" s="41">
        <v>86</v>
      </c>
      <c r="E5" s="41">
        <v>16</v>
      </c>
      <c r="F5" s="41">
        <v>10.75</v>
      </c>
      <c r="G5" s="41">
        <v>3</v>
      </c>
      <c r="H5" s="1" t="str">
        <f t="shared" si="0"/>
        <v>High Minute</v>
      </c>
      <c r="I5" s="1"/>
    </row>
    <row r="6" spans="1:9" ht="15.75" customHeight="1">
      <c r="A6" s="209" t="s">
        <v>622</v>
      </c>
      <c r="B6" s="210" t="s">
        <v>756</v>
      </c>
      <c r="C6" s="207" t="s">
        <v>630</v>
      </c>
      <c r="D6" s="41">
        <v>54</v>
      </c>
      <c r="E6" s="41">
        <v>12</v>
      </c>
      <c r="F6" s="41">
        <v>9.34</v>
      </c>
      <c r="G6" s="41">
        <v>2</v>
      </c>
      <c r="H6" s="1" t="str">
        <f t="shared" si="0"/>
        <v>High Minute</v>
      </c>
      <c r="I6" s="1"/>
    </row>
    <row r="7" spans="1:9" ht="15.75" customHeight="1">
      <c r="A7" s="209" t="s">
        <v>622</v>
      </c>
      <c r="B7" s="210" t="s">
        <v>756</v>
      </c>
      <c r="C7" s="211" t="s">
        <v>631</v>
      </c>
      <c r="D7" s="45">
        <v>567</v>
      </c>
      <c r="E7" s="45">
        <v>81</v>
      </c>
      <c r="F7" s="45">
        <v>8.01</v>
      </c>
      <c r="G7" s="45">
        <v>38</v>
      </c>
      <c r="H7" s="1" t="str">
        <f t="shared" si="0"/>
        <v>High Minute</v>
      </c>
      <c r="I7" s="1"/>
    </row>
    <row r="8" spans="1:9" ht="15.75" customHeight="1">
      <c r="A8" s="209" t="s">
        <v>622</v>
      </c>
      <c r="B8" s="210" t="s">
        <v>625</v>
      </c>
      <c r="C8" s="207" t="s">
        <v>626</v>
      </c>
      <c r="D8" s="41">
        <v>128</v>
      </c>
      <c r="E8" s="41">
        <v>0</v>
      </c>
      <c r="F8" s="41">
        <v>5.36</v>
      </c>
      <c r="G8" s="41">
        <v>2</v>
      </c>
      <c r="H8" s="1" t="str">
        <f t="shared" si="0"/>
        <v>High Minute</v>
      </c>
      <c r="I8" s="1"/>
    </row>
    <row r="9" spans="1:9" ht="15.75" customHeight="1">
      <c r="A9" s="209" t="s">
        <v>622</v>
      </c>
      <c r="B9" s="210" t="s">
        <v>625</v>
      </c>
      <c r="C9" s="207" t="s">
        <v>627</v>
      </c>
      <c r="D9" s="41">
        <v>145</v>
      </c>
      <c r="E9" s="41">
        <v>38</v>
      </c>
      <c r="F9" s="41">
        <v>11.64</v>
      </c>
      <c r="G9" s="41">
        <v>21</v>
      </c>
      <c r="H9" s="1" t="str">
        <f t="shared" si="0"/>
        <v>High Minute</v>
      </c>
      <c r="I9" s="1"/>
    </row>
    <row r="10" spans="1:9" ht="15.75" customHeight="1">
      <c r="A10" s="209" t="s">
        <v>622</v>
      </c>
      <c r="B10" s="210" t="s">
        <v>625</v>
      </c>
      <c r="C10" s="207" t="s">
        <v>628</v>
      </c>
      <c r="D10" s="41">
        <v>152</v>
      </c>
      <c r="E10" s="41">
        <v>36</v>
      </c>
      <c r="F10" s="41">
        <v>11.2</v>
      </c>
      <c r="G10" s="41">
        <v>18</v>
      </c>
      <c r="H10" s="1" t="str">
        <f t="shared" si="0"/>
        <v>High Minute</v>
      </c>
      <c r="I10" s="1"/>
    </row>
    <row r="11" spans="1:9" ht="15.75" customHeight="1">
      <c r="A11" s="209" t="s">
        <v>622</v>
      </c>
      <c r="B11" s="210" t="s">
        <v>625</v>
      </c>
      <c r="C11" s="207" t="s">
        <v>629</v>
      </c>
      <c r="D11" s="41">
        <v>134</v>
      </c>
      <c r="E11" s="41">
        <v>21</v>
      </c>
      <c r="F11" s="41">
        <v>10.119999999999999</v>
      </c>
      <c r="G11" s="41">
        <v>20</v>
      </c>
      <c r="H11" s="1" t="str">
        <f t="shared" si="0"/>
        <v>High Minute</v>
      </c>
      <c r="I11" s="1"/>
    </row>
    <row r="12" spans="1:9" ht="15.75" customHeight="1">
      <c r="A12" s="209" t="s">
        <v>622</v>
      </c>
      <c r="B12" s="210" t="s">
        <v>625</v>
      </c>
      <c r="C12" s="207" t="s">
        <v>630</v>
      </c>
      <c r="D12" s="41">
        <v>134</v>
      </c>
      <c r="E12" s="41">
        <v>34</v>
      </c>
      <c r="F12" s="41">
        <v>10.11</v>
      </c>
      <c r="G12" s="41">
        <v>20</v>
      </c>
      <c r="H12" s="1" t="str">
        <f t="shared" si="0"/>
        <v>High Minute</v>
      </c>
      <c r="I12" s="1"/>
    </row>
    <row r="13" spans="1:9" ht="15.75" customHeight="1">
      <c r="A13" s="209" t="s">
        <v>622</v>
      </c>
      <c r="B13" s="210" t="s">
        <v>625</v>
      </c>
      <c r="C13" s="211" t="s">
        <v>631</v>
      </c>
      <c r="D13" s="45">
        <v>693</v>
      </c>
      <c r="E13" s="45">
        <v>129</v>
      </c>
      <c r="F13" s="45">
        <v>9.07</v>
      </c>
      <c r="G13" s="45">
        <v>81</v>
      </c>
      <c r="H13" s="1" t="str">
        <f t="shared" si="0"/>
        <v>High Minute</v>
      </c>
      <c r="I13" s="1"/>
    </row>
    <row r="14" spans="1:9" ht="15.75" customHeight="1">
      <c r="A14" s="209" t="s">
        <v>622</v>
      </c>
      <c r="B14" s="210" t="s">
        <v>757</v>
      </c>
      <c r="C14" s="207" t="s">
        <v>626</v>
      </c>
      <c r="D14" s="41">
        <v>166</v>
      </c>
      <c r="E14" s="41">
        <v>3</v>
      </c>
      <c r="F14" s="41">
        <v>4.4400000000000004</v>
      </c>
      <c r="G14" s="41">
        <v>5</v>
      </c>
      <c r="H14" s="1" t="str">
        <f t="shared" si="0"/>
        <v>High Minute</v>
      </c>
      <c r="I14" s="1"/>
    </row>
    <row r="15" spans="1:9" ht="15.75" customHeight="1">
      <c r="A15" s="209" t="s">
        <v>622</v>
      </c>
      <c r="B15" s="210" t="s">
        <v>757</v>
      </c>
      <c r="C15" s="207" t="s">
        <v>627</v>
      </c>
      <c r="D15" s="41">
        <v>160</v>
      </c>
      <c r="E15" s="41">
        <v>37</v>
      </c>
      <c r="F15" s="41">
        <v>11.92</v>
      </c>
      <c r="G15" s="41">
        <v>23</v>
      </c>
      <c r="H15" s="1" t="str">
        <f t="shared" si="0"/>
        <v>High Minute</v>
      </c>
      <c r="I15" s="1"/>
    </row>
    <row r="16" spans="1:9" ht="15.75" customHeight="1">
      <c r="A16" s="209" t="s">
        <v>622</v>
      </c>
      <c r="B16" s="210" t="s">
        <v>757</v>
      </c>
      <c r="C16" s="207" t="s">
        <v>628</v>
      </c>
      <c r="D16" s="41">
        <v>95</v>
      </c>
      <c r="E16" s="41">
        <v>22</v>
      </c>
      <c r="F16" s="41">
        <v>11.54</v>
      </c>
      <c r="G16" s="41">
        <v>9</v>
      </c>
      <c r="H16" s="1" t="str">
        <f t="shared" si="0"/>
        <v>High Minute</v>
      </c>
      <c r="I16" s="1"/>
    </row>
    <row r="17" spans="1:9" ht="15.75" customHeight="1">
      <c r="A17" s="209" t="s">
        <v>622</v>
      </c>
      <c r="B17" s="210" t="s">
        <v>757</v>
      </c>
      <c r="C17" s="207" t="s">
        <v>629</v>
      </c>
      <c r="D17" s="41">
        <v>118</v>
      </c>
      <c r="E17" s="41">
        <v>27</v>
      </c>
      <c r="F17" s="41">
        <v>10.41</v>
      </c>
      <c r="G17" s="41">
        <v>23</v>
      </c>
      <c r="H17" s="1" t="str">
        <f t="shared" si="0"/>
        <v>High Minute</v>
      </c>
      <c r="I17" s="1"/>
    </row>
    <row r="18" spans="1:9" ht="15.75" customHeight="1">
      <c r="A18" s="209" t="s">
        <v>622</v>
      </c>
      <c r="B18" s="210" t="s">
        <v>757</v>
      </c>
      <c r="C18" s="207" t="s">
        <v>630</v>
      </c>
      <c r="D18" s="41">
        <v>67</v>
      </c>
      <c r="E18" s="41">
        <v>16</v>
      </c>
      <c r="F18" s="41">
        <v>11.63</v>
      </c>
      <c r="G18" s="41">
        <v>9</v>
      </c>
      <c r="H18" s="1" t="str">
        <f t="shared" si="0"/>
        <v>High Minute</v>
      </c>
      <c r="I18" s="1"/>
    </row>
    <row r="19" spans="1:9" ht="15.75" customHeight="1">
      <c r="A19" s="209" t="s">
        <v>622</v>
      </c>
      <c r="B19" s="210" t="s">
        <v>757</v>
      </c>
      <c r="C19" s="211" t="s">
        <v>631</v>
      </c>
      <c r="D19" s="45">
        <v>606</v>
      </c>
      <c r="E19" s="45">
        <v>105</v>
      </c>
      <c r="F19" s="45">
        <v>7.95</v>
      </c>
      <c r="G19" s="45">
        <v>69</v>
      </c>
      <c r="H19" s="1" t="str">
        <f t="shared" si="0"/>
        <v>High Minute</v>
      </c>
      <c r="I19" s="1"/>
    </row>
    <row r="20" spans="1:9" ht="15.75" customHeight="1">
      <c r="A20" s="209" t="s">
        <v>622</v>
      </c>
      <c r="B20" s="210" t="s">
        <v>121</v>
      </c>
      <c r="C20" s="207" t="s">
        <v>626</v>
      </c>
      <c r="D20" s="41">
        <v>120</v>
      </c>
      <c r="E20" s="41">
        <v>1</v>
      </c>
      <c r="F20" s="41">
        <v>4.46</v>
      </c>
      <c r="G20" s="41">
        <v>2</v>
      </c>
      <c r="H20" s="1" t="str">
        <f t="shared" si="0"/>
        <v>High Minute</v>
      </c>
      <c r="I20" s="1"/>
    </row>
    <row r="21" spans="1:9" ht="15.75" customHeight="1">
      <c r="A21" s="209" t="s">
        <v>622</v>
      </c>
      <c r="B21" s="210" t="s">
        <v>121</v>
      </c>
      <c r="C21" s="207" t="s">
        <v>627</v>
      </c>
      <c r="D21" s="41">
        <v>176</v>
      </c>
      <c r="E21" s="41">
        <v>40</v>
      </c>
      <c r="F21" s="41">
        <v>11.69</v>
      </c>
      <c r="G21" s="41">
        <v>26</v>
      </c>
      <c r="H21" s="1" t="str">
        <f t="shared" si="0"/>
        <v>High Minute</v>
      </c>
      <c r="I21" s="1"/>
    </row>
    <row r="22" spans="1:9" ht="15.75" customHeight="1">
      <c r="A22" s="209" t="s">
        <v>622</v>
      </c>
      <c r="B22" s="210" t="s">
        <v>121</v>
      </c>
      <c r="C22" s="207" t="s">
        <v>628</v>
      </c>
      <c r="D22" s="41">
        <v>123</v>
      </c>
      <c r="E22" s="41">
        <v>33</v>
      </c>
      <c r="F22" s="41">
        <v>10.83</v>
      </c>
      <c r="G22" s="41">
        <v>16</v>
      </c>
      <c r="H22" s="1" t="str">
        <f t="shared" si="0"/>
        <v>High Minute</v>
      </c>
      <c r="I22" s="1"/>
    </row>
    <row r="23" spans="1:9" ht="15.75" customHeight="1">
      <c r="A23" s="209" t="s">
        <v>622</v>
      </c>
      <c r="B23" s="210" t="s">
        <v>121</v>
      </c>
      <c r="C23" s="207" t="s">
        <v>629</v>
      </c>
      <c r="D23" s="41">
        <v>80</v>
      </c>
      <c r="E23" s="41">
        <v>16</v>
      </c>
      <c r="F23" s="41">
        <v>10.72</v>
      </c>
      <c r="G23" s="41">
        <v>11</v>
      </c>
      <c r="H23" s="1" t="str">
        <f t="shared" si="0"/>
        <v>High Minute</v>
      </c>
      <c r="I23" s="1"/>
    </row>
    <row r="24" spans="1:9" ht="15.75" customHeight="1">
      <c r="A24" s="209" t="s">
        <v>622</v>
      </c>
      <c r="B24" s="210" t="s">
        <v>121</v>
      </c>
      <c r="C24" s="211" t="s">
        <v>631</v>
      </c>
      <c r="D24" s="45">
        <v>499</v>
      </c>
      <c r="E24" s="45">
        <v>90</v>
      </c>
      <c r="F24" s="45">
        <v>8.2100000000000009</v>
      </c>
      <c r="G24" s="45">
        <v>55</v>
      </c>
      <c r="H24" s="1" t="str">
        <f t="shared" si="0"/>
        <v>High Minute</v>
      </c>
      <c r="I24" s="1"/>
    </row>
    <row r="25" spans="1:9" ht="15.75" customHeight="1">
      <c r="A25" s="209" t="s">
        <v>149</v>
      </c>
      <c r="B25" s="210" t="s">
        <v>756</v>
      </c>
      <c r="C25" s="207" t="s">
        <v>626</v>
      </c>
      <c r="D25" s="41">
        <v>222</v>
      </c>
      <c r="E25" s="41">
        <v>21</v>
      </c>
      <c r="F25" s="41">
        <v>6.41</v>
      </c>
      <c r="G25" s="41">
        <v>9</v>
      </c>
      <c r="H25" s="1" t="str">
        <f t="shared" si="0"/>
        <v>Development</v>
      </c>
      <c r="I25" s="1"/>
    </row>
    <row r="26" spans="1:9" ht="15.75" customHeight="1">
      <c r="A26" s="209" t="s">
        <v>149</v>
      </c>
      <c r="B26" s="210" t="s">
        <v>756</v>
      </c>
      <c r="C26" s="207" t="s">
        <v>627</v>
      </c>
      <c r="D26" s="41">
        <v>84</v>
      </c>
      <c r="E26" s="41">
        <v>21</v>
      </c>
      <c r="F26" s="41">
        <v>15.52</v>
      </c>
      <c r="G26" s="41">
        <v>8</v>
      </c>
      <c r="H26" s="1" t="str">
        <f t="shared" si="0"/>
        <v>Development</v>
      </c>
      <c r="I26" s="1"/>
    </row>
    <row r="27" spans="1:9" ht="15.75" customHeight="1">
      <c r="A27" s="209" t="s">
        <v>149</v>
      </c>
      <c r="B27" s="210" t="s">
        <v>756</v>
      </c>
      <c r="C27" s="207" t="s">
        <v>629</v>
      </c>
      <c r="D27" s="41">
        <v>64</v>
      </c>
      <c r="E27" s="41">
        <v>18</v>
      </c>
      <c r="F27" s="41">
        <v>13.36</v>
      </c>
      <c r="G27" s="41">
        <v>1</v>
      </c>
      <c r="H27" s="1" t="str">
        <f t="shared" si="0"/>
        <v>Development</v>
      </c>
      <c r="I27" s="1"/>
    </row>
    <row r="28" spans="1:9" ht="15.75" customHeight="1">
      <c r="A28" s="209" t="s">
        <v>149</v>
      </c>
      <c r="B28" s="210" t="s">
        <v>756</v>
      </c>
      <c r="C28" s="207" t="s">
        <v>630</v>
      </c>
      <c r="D28" s="41">
        <v>115</v>
      </c>
      <c r="E28" s="41">
        <v>35</v>
      </c>
      <c r="F28" s="41">
        <v>12.02</v>
      </c>
      <c r="G28" s="41">
        <v>7</v>
      </c>
      <c r="H28" s="1" t="str">
        <f t="shared" si="0"/>
        <v>Development</v>
      </c>
      <c r="I28" s="1"/>
    </row>
    <row r="29" spans="1:9" ht="15.75" customHeight="1">
      <c r="A29" s="209" t="s">
        <v>149</v>
      </c>
      <c r="B29" s="210" t="s">
        <v>756</v>
      </c>
      <c r="C29" s="211" t="s">
        <v>631</v>
      </c>
      <c r="D29" s="45">
        <v>485</v>
      </c>
      <c r="E29" s="45">
        <v>95</v>
      </c>
      <c r="F29" s="45">
        <v>8.92</v>
      </c>
      <c r="G29" s="45">
        <v>25</v>
      </c>
      <c r="H29" s="1" t="str">
        <f t="shared" si="0"/>
        <v>Development</v>
      </c>
      <c r="I29" s="1"/>
    </row>
    <row r="30" spans="1:9" ht="15.75" customHeight="1">
      <c r="A30" s="209" t="s">
        <v>149</v>
      </c>
      <c r="B30" s="210" t="s">
        <v>625</v>
      </c>
      <c r="C30" s="207" t="s">
        <v>626</v>
      </c>
      <c r="D30" s="41">
        <v>191</v>
      </c>
      <c r="E30" s="41">
        <v>23</v>
      </c>
      <c r="F30" s="41">
        <v>8</v>
      </c>
      <c r="G30" s="41">
        <v>3</v>
      </c>
      <c r="H30" s="1" t="str">
        <f t="shared" si="0"/>
        <v>Development</v>
      </c>
      <c r="I30" s="1"/>
    </row>
    <row r="31" spans="1:9" ht="15.75" customHeight="1">
      <c r="A31" s="209" t="s">
        <v>149</v>
      </c>
      <c r="B31" s="210" t="s">
        <v>625</v>
      </c>
      <c r="C31" s="211" t="s">
        <v>631</v>
      </c>
      <c r="D31" s="45">
        <v>191</v>
      </c>
      <c r="E31" s="45">
        <v>23</v>
      </c>
      <c r="F31" s="45">
        <v>8</v>
      </c>
      <c r="G31" s="45">
        <v>3</v>
      </c>
      <c r="H31" s="1" t="str">
        <f t="shared" si="0"/>
        <v>Development</v>
      </c>
      <c r="I31" s="1"/>
    </row>
    <row r="32" spans="1:9" ht="15.75" customHeight="1">
      <c r="A32" s="209" t="s">
        <v>149</v>
      </c>
      <c r="B32" s="210" t="s">
        <v>757</v>
      </c>
      <c r="C32" s="207" t="s">
        <v>626</v>
      </c>
      <c r="D32" s="41">
        <v>221</v>
      </c>
      <c r="E32" s="41">
        <v>26</v>
      </c>
      <c r="F32" s="41">
        <v>5.89</v>
      </c>
      <c r="G32" s="41">
        <v>5</v>
      </c>
      <c r="H32" s="1" t="str">
        <f t="shared" si="0"/>
        <v>Development</v>
      </c>
      <c r="I32" s="1"/>
    </row>
    <row r="33" spans="1:9" ht="15.75" customHeight="1">
      <c r="A33" s="209" t="s">
        <v>149</v>
      </c>
      <c r="B33" s="210" t="s">
        <v>757</v>
      </c>
      <c r="C33" s="211" t="s">
        <v>631</v>
      </c>
      <c r="D33" s="45">
        <v>221</v>
      </c>
      <c r="E33" s="45">
        <v>26</v>
      </c>
      <c r="F33" s="45">
        <v>5.89</v>
      </c>
      <c r="G33" s="45">
        <v>5</v>
      </c>
      <c r="H33" s="1" t="str">
        <f t="shared" si="0"/>
        <v>Development</v>
      </c>
      <c r="I33" s="1"/>
    </row>
    <row r="34" spans="1:9" ht="15.75" customHeight="1">
      <c r="A34" s="209" t="s">
        <v>149</v>
      </c>
      <c r="B34" s="210" t="s">
        <v>121</v>
      </c>
      <c r="C34" s="207" t="s">
        <v>626</v>
      </c>
      <c r="D34" s="41">
        <v>145</v>
      </c>
      <c r="E34" s="41">
        <v>11</v>
      </c>
      <c r="F34" s="41">
        <v>5.38</v>
      </c>
      <c r="G34" s="41">
        <v>2</v>
      </c>
      <c r="H34" s="1" t="str">
        <f t="shared" si="0"/>
        <v>Development</v>
      </c>
      <c r="I34" s="1"/>
    </row>
    <row r="35" spans="1:9" ht="15.75" customHeight="1">
      <c r="A35" s="209" t="s">
        <v>149</v>
      </c>
      <c r="B35" s="210" t="s">
        <v>121</v>
      </c>
      <c r="C35" s="207" t="s">
        <v>629</v>
      </c>
      <c r="D35" s="41">
        <v>33</v>
      </c>
      <c r="E35" s="41">
        <v>15</v>
      </c>
      <c r="F35" s="41">
        <v>13.38</v>
      </c>
      <c r="G35" s="41">
        <v>2</v>
      </c>
      <c r="H35" s="1" t="str">
        <f t="shared" si="0"/>
        <v>Development</v>
      </c>
      <c r="I35" s="1"/>
    </row>
    <row r="36" spans="1:9" ht="15.75" customHeight="1">
      <c r="A36" s="209" t="s">
        <v>149</v>
      </c>
      <c r="B36" s="210" t="s">
        <v>121</v>
      </c>
      <c r="C36" s="211" t="s">
        <v>631</v>
      </c>
      <c r="D36" s="45">
        <v>178</v>
      </c>
      <c r="E36" s="45">
        <v>26</v>
      </c>
      <c r="F36" s="45">
        <v>6.06</v>
      </c>
      <c r="G36" s="45">
        <v>4</v>
      </c>
      <c r="H36" s="1" t="str">
        <f t="shared" si="0"/>
        <v>Development</v>
      </c>
      <c r="I36" s="1"/>
    </row>
    <row r="37" spans="1:9" ht="15.75" customHeight="1">
      <c r="A37" s="209" t="s">
        <v>190</v>
      </c>
      <c r="B37" s="210" t="s">
        <v>756</v>
      </c>
      <c r="C37" s="207" t="s">
        <v>626</v>
      </c>
      <c r="D37" s="41">
        <v>154</v>
      </c>
      <c r="E37" s="41">
        <v>3</v>
      </c>
      <c r="F37" s="41">
        <v>4.47</v>
      </c>
      <c r="G37" s="41">
        <v>12</v>
      </c>
      <c r="H37" s="1" t="str">
        <f t="shared" si="0"/>
        <v>Posts</v>
      </c>
      <c r="I37" s="1"/>
    </row>
    <row r="38" spans="1:9" ht="15.75" customHeight="1">
      <c r="A38" s="209" t="s">
        <v>190</v>
      </c>
      <c r="B38" s="210" t="s">
        <v>756</v>
      </c>
      <c r="C38" s="207" t="s">
        <v>627</v>
      </c>
      <c r="D38" s="41">
        <v>73</v>
      </c>
      <c r="E38" s="41">
        <v>8</v>
      </c>
      <c r="F38" s="41">
        <v>12.19</v>
      </c>
      <c r="G38" s="41">
        <v>4</v>
      </c>
      <c r="H38" s="1" t="str">
        <f t="shared" si="0"/>
        <v>Posts</v>
      </c>
      <c r="I38" s="1"/>
    </row>
    <row r="39" spans="1:9" ht="15.75" customHeight="1">
      <c r="A39" s="209" t="s">
        <v>190</v>
      </c>
      <c r="B39" s="210" t="s">
        <v>756</v>
      </c>
      <c r="C39" s="207" t="s">
        <v>629</v>
      </c>
      <c r="D39" s="41">
        <v>69</v>
      </c>
      <c r="E39" s="41">
        <v>4</v>
      </c>
      <c r="F39" s="41">
        <v>7.81</v>
      </c>
      <c r="G39" s="41">
        <v>3</v>
      </c>
      <c r="H39" s="1" t="str">
        <f t="shared" si="0"/>
        <v>Posts</v>
      </c>
      <c r="I39" s="1"/>
    </row>
    <row r="40" spans="1:9" ht="15.75" customHeight="1">
      <c r="A40" s="209" t="s">
        <v>190</v>
      </c>
      <c r="B40" s="210" t="s">
        <v>756</v>
      </c>
      <c r="C40" s="207" t="s">
        <v>630</v>
      </c>
      <c r="D40" s="41">
        <v>72</v>
      </c>
      <c r="E40" s="41">
        <v>4</v>
      </c>
      <c r="F40" s="41">
        <v>7.15</v>
      </c>
      <c r="G40" s="41">
        <v>5</v>
      </c>
      <c r="H40" s="1" t="str">
        <f t="shared" si="0"/>
        <v>Posts</v>
      </c>
      <c r="I40" s="1"/>
    </row>
    <row r="41" spans="1:9" ht="15.75" customHeight="1">
      <c r="A41" s="209" t="s">
        <v>190</v>
      </c>
      <c r="B41" s="210" t="s">
        <v>756</v>
      </c>
      <c r="C41" s="211" t="s">
        <v>631</v>
      </c>
      <c r="D41" s="45">
        <v>368</v>
      </c>
      <c r="E41" s="45">
        <v>19</v>
      </c>
      <c r="F41" s="45">
        <v>6.2</v>
      </c>
      <c r="G41" s="45">
        <v>24</v>
      </c>
      <c r="H41" s="1" t="str">
        <f t="shared" si="0"/>
        <v>Posts</v>
      </c>
      <c r="I41" s="1"/>
    </row>
    <row r="42" spans="1:9" ht="15.75" customHeight="1">
      <c r="A42" s="209" t="s">
        <v>190</v>
      </c>
      <c r="B42" s="210" t="s">
        <v>625</v>
      </c>
      <c r="C42" s="207" t="s">
        <v>626</v>
      </c>
      <c r="D42" s="41">
        <v>101</v>
      </c>
      <c r="E42" s="41">
        <v>1</v>
      </c>
      <c r="F42" s="41">
        <v>4.24</v>
      </c>
      <c r="G42" s="41">
        <v>0</v>
      </c>
      <c r="H42" s="1" t="str">
        <f t="shared" si="0"/>
        <v>Posts</v>
      </c>
      <c r="I42" s="1"/>
    </row>
    <row r="43" spans="1:9" ht="15.75" customHeight="1">
      <c r="A43" s="209" t="s">
        <v>190</v>
      </c>
      <c r="B43" s="210" t="s">
        <v>625</v>
      </c>
      <c r="C43" s="207" t="s">
        <v>627</v>
      </c>
      <c r="D43" s="41">
        <v>48</v>
      </c>
      <c r="E43" s="41">
        <v>3</v>
      </c>
      <c r="F43" s="41">
        <v>7.56</v>
      </c>
      <c r="G43" s="41">
        <v>6</v>
      </c>
      <c r="H43" s="1" t="str">
        <f t="shared" si="0"/>
        <v>Posts</v>
      </c>
      <c r="I43" s="1"/>
    </row>
    <row r="44" spans="1:9" ht="15.75" customHeight="1">
      <c r="A44" s="209" t="s">
        <v>190</v>
      </c>
      <c r="B44" s="210" t="s">
        <v>625</v>
      </c>
      <c r="C44" s="207" t="s">
        <v>628</v>
      </c>
      <c r="D44" s="41">
        <v>35</v>
      </c>
      <c r="E44" s="41">
        <v>2</v>
      </c>
      <c r="F44" s="41">
        <v>8.2799999999999994</v>
      </c>
      <c r="G44" s="41">
        <v>8</v>
      </c>
      <c r="H44" s="1" t="str">
        <f t="shared" si="0"/>
        <v>Posts</v>
      </c>
      <c r="I44" s="1"/>
    </row>
    <row r="45" spans="1:9" ht="15.75" customHeight="1">
      <c r="A45" s="209" t="s">
        <v>190</v>
      </c>
      <c r="B45" s="210" t="s">
        <v>625</v>
      </c>
      <c r="C45" s="207" t="s">
        <v>629</v>
      </c>
      <c r="D45" s="41">
        <v>30</v>
      </c>
      <c r="E45" s="41">
        <v>5</v>
      </c>
      <c r="F45" s="41">
        <v>8.76</v>
      </c>
      <c r="G45" s="41">
        <v>3</v>
      </c>
      <c r="H45" s="1" t="str">
        <f t="shared" si="0"/>
        <v>Posts</v>
      </c>
      <c r="I45" s="1"/>
    </row>
    <row r="46" spans="1:9" ht="15.75" customHeight="1">
      <c r="A46" s="209" t="s">
        <v>190</v>
      </c>
      <c r="B46" s="210" t="s">
        <v>625</v>
      </c>
      <c r="C46" s="211" t="s">
        <v>631</v>
      </c>
      <c r="D46" s="45">
        <v>214</v>
      </c>
      <c r="E46" s="45">
        <v>11</v>
      </c>
      <c r="F46" s="45">
        <v>5.66</v>
      </c>
      <c r="G46" s="45">
        <v>17</v>
      </c>
      <c r="H46" s="1" t="str">
        <f t="shared" si="0"/>
        <v>Posts</v>
      </c>
      <c r="I46" s="1"/>
    </row>
    <row r="47" spans="1:9" ht="15.75" customHeight="1">
      <c r="A47" s="209" t="s">
        <v>190</v>
      </c>
      <c r="B47" s="210" t="s">
        <v>757</v>
      </c>
      <c r="C47" s="207" t="s">
        <v>626</v>
      </c>
      <c r="D47" s="41">
        <v>112</v>
      </c>
      <c r="E47" s="41">
        <v>0</v>
      </c>
      <c r="F47" s="41">
        <v>2.99</v>
      </c>
      <c r="G47" s="41">
        <v>1</v>
      </c>
      <c r="H47" s="1" t="str">
        <f t="shared" si="0"/>
        <v>Posts</v>
      </c>
      <c r="I47" s="1"/>
    </row>
    <row r="48" spans="1:9" ht="15.75" customHeight="1">
      <c r="A48" s="209" t="s">
        <v>190</v>
      </c>
      <c r="B48" s="210" t="s">
        <v>757</v>
      </c>
      <c r="C48" s="207" t="s">
        <v>627</v>
      </c>
      <c r="D48" s="41">
        <v>60</v>
      </c>
      <c r="E48" s="41">
        <v>3</v>
      </c>
      <c r="F48" s="41">
        <v>6.9</v>
      </c>
      <c r="G48" s="41">
        <v>6</v>
      </c>
      <c r="H48" s="1" t="str">
        <f t="shared" si="0"/>
        <v>Posts</v>
      </c>
      <c r="I48" s="1"/>
    </row>
    <row r="49" spans="1:9" ht="15.75" customHeight="1">
      <c r="A49" s="209" t="s">
        <v>190</v>
      </c>
      <c r="B49" s="210" t="s">
        <v>757</v>
      </c>
      <c r="C49" s="207" t="s">
        <v>628</v>
      </c>
      <c r="D49" s="41">
        <v>67</v>
      </c>
      <c r="E49" s="41">
        <v>5</v>
      </c>
      <c r="F49" s="41">
        <v>8.73</v>
      </c>
      <c r="G49" s="41">
        <v>2</v>
      </c>
      <c r="H49" s="1" t="str">
        <f t="shared" si="0"/>
        <v>Posts</v>
      </c>
      <c r="I49" s="1"/>
    </row>
    <row r="50" spans="1:9" ht="15.75" customHeight="1">
      <c r="A50" s="209" t="s">
        <v>190</v>
      </c>
      <c r="B50" s="210" t="s">
        <v>757</v>
      </c>
      <c r="C50" s="207" t="s">
        <v>629</v>
      </c>
      <c r="D50" s="41">
        <v>49</v>
      </c>
      <c r="E50" s="41">
        <v>4</v>
      </c>
      <c r="F50" s="41">
        <v>7.31</v>
      </c>
      <c r="G50" s="41">
        <v>5</v>
      </c>
      <c r="H50" s="1" t="str">
        <f t="shared" si="0"/>
        <v>Posts</v>
      </c>
      <c r="I50" s="1"/>
    </row>
    <row r="51" spans="1:9" ht="15.75" customHeight="1">
      <c r="A51" s="209" t="s">
        <v>190</v>
      </c>
      <c r="B51" s="210" t="s">
        <v>757</v>
      </c>
      <c r="C51" s="211" t="s">
        <v>631</v>
      </c>
      <c r="D51" s="45">
        <v>288</v>
      </c>
      <c r="E51" s="45">
        <v>12</v>
      </c>
      <c r="F51" s="45">
        <v>4.76</v>
      </c>
      <c r="G51" s="45">
        <v>14</v>
      </c>
      <c r="H51" s="1" t="str">
        <f t="shared" si="0"/>
        <v>Posts</v>
      </c>
      <c r="I51" s="1"/>
    </row>
    <row r="52" spans="1:9" ht="15.75" customHeight="1">
      <c r="A52" s="209" t="s">
        <v>190</v>
      </c>
      <c r="B52" s="210" t="s">
        <v>121</v>
      </c>
      <c r="C52" s="207" t="s">
        <v>626</v>
      </c>
      <c r="D52" s="41">
        <v>75</v>
      </c>
      <c r="E52" s="41">
        <v>0</v>
      </c>
      <c r="F52" s="41">
        <v>2.78</v>
      </c>
      <c r="G52" s="41">
        <v>3</v>
      </c>
      <c r="H52" s="1" t="str">
        <f t="shared" si="0"/>
        <v>Posts</v>
      </c>
      <c r="I52" s="1"/>
    </row>
    <row r="53" spans="1:9" ht="13">
      <c r="A53" s="209" t="s">
        <v>190</v>
      </c>
      <c r="B53" s="210" t="s">
        <v>121</v>
      </c>
      <c r="C53" s="207" t="s">
        <v>627</v>
      </c>
      <c r="D53" s="41">
        <v>36</v>
      </c>
      <c r="E53" s="41">
        <v>1</v>
      </c>
      <c r="F53" s="41">
        <v>4.92</v>
      </c>
      <c r="G53" s="41">
        <v>2</v>
      </c>
      <c r="H53" s="1" t="str">
        <f t="shared" si="0"/>
        <v>Posts</v>
      </c>
      <c r="I53" s="1"/>
    </row>
    <row r="54" spans="1:9" ht="13">
      <c r="A54" s="209" t="s">
        <v>190</v>
      </c>
      <c r="B54" s="210" t="s">
        <v>121</v>
      </c>
      <c r="C54" s="207" t="s">
        <v>628</v>
      </c>
      <c r="D54" s="41">
        <v>32</v>
      </c>
      <c r="E54" s="41">
        <v>1</v>
      </c>
      <c r="F54" s="41">
        <v>7.4</v>
      </c>
      <c r="G54" s="41">
        <v>4</v>
      </c>
      <c r="H54" s="1" t="str">
        <f t="shared" si="0"/>
        <v>Posts</v>
      </c>
      <c r="I54" s="1"/>
    </row>
    <row r="55" spans="1:9" ht="13">
      <c r="A55" s="209" t="s">
        <v>190</v>
      </c>
      <c r="B55" s="210" t="s">
        <v>121</v>
      </c>
      <c r="C55" s="207" t="s">
        <v>629</v>
      </c>
      <c r="D55" s="41">
        <v>36</v>
      </c>
      <c r="E55" s="41">
        <v>0</v>
      </c>
      <c r="F55" s="41">
        <v>7.73</v>
      </c>
      <c r="G55" s="41">
        <v>2</v>
      </c>
      <c r="H55" s="1" t="str">
        <f t="shared" si="0"/>
        <v>Posts</v>
      </c>
      <c r="I55" s="1"/>
    </row>
    <row r="56" spans="1:9" ht="13">
      <c r="A56" s="209" t="s">
        <v>190</v>
      </c>
      <c r="B56" s="210" t="s">
        <v>121</v>
      </c>
      <c r="C56" s="207" t="s">
        <v>630</v>
      </c>
      <c r="D56" s="41">
        <v>46</v>
      </c>
      <c r="E56" s="41">
        <v>1</v>
      </c>
      <c r="F56" s="41">
        <v>7.82</v>
      </c>
      <c r="G56" s="41">
        <v>6</v>
      </c>
      <c r="H56" s="1" t="str">
        <f t="shared" si="0"/>
        <v>Posts</v>
      </c>
      <c r="I56" s="1"/>
    </row>
    <row r="57" spans="1:9" ht="13">
      <c r="A57" s="209" t="s">
        <v>190</v>
      </c>
      <c r="B57" s="210" t="s">
        <v>121</v>
      </c>
      <c r="C57" s="211" t="s">
        <v>631</v>
      </c>
      <c r="D57" s="45">
        <v>225</v>
      </c>
      <c r="E57" s="45">
        <v>3</v>
      </c>
      <c r="F57" s="45">
        <v>4.58</v>
      </c>
      <c r="G57" s="45">
        <v>17</v>
      </c>
      <c r="H57" s="1" t="str">
        <f t="shared" si="0"/>
        <v>Posts</v>
      </c>
      <c r="I57" s="1"/>
    </row>
    <row r="58" spans="1:9" ht="13">
      <c r="A58" s="209" t="s">
        <v>189</v>
      </c>
      <c r="B58" s="210" t="s">
        <v>756</v>
      </c>
      <c r="C58" s="207" t="s">
        <v>626</v>
      </c>
      <c r="D58" s="41">
        <v>197</v>
      </c>
      <c r="E58" s="41">
        <v>12</v>
      </c>
      <c r="F58" s="41">
        <v>5.7</v>
      </c>
      <c r="G58" s="41">
        <v>5</v>
      </c>
      <c r="H58" s="1" t="str">
        <f t="shared" si="0"/>
        <v>High Minute</v>
      </c>
      <c r="I58" s="1"/>
    </row>
    <row r="59" spans="1:9" ht="13">
      <c r="A59" s="209" t="s">
        <v>189</v>
      </c>
      <c r="B59" s="210" t="s">
        <v>756</v>
      </c>
      <c r="C59" s="207" t="s">
        <v>627</v>
      </c>
      <c r="D59" s="41">
        <v>103</v>
      </c>
      <c r="E59" s="41">
        <v>27</v>
      </c>
      <c r="F59" s="41">
        <v>14.02</v>
      </c>
      <c r="G59" s="41">
        <v>9</v>
      </c>
      <c r="H59" s="1" t="str">
        <f t="shared" si="0"/>
        <v>High Minute</v>
      </c>
      <c r="I59" s="1"/>
    </row>
    <row r="60" spans="1:9" ht="13">
      <c r="A60" s="209" t="s">
        <v>189</v>
      </c>
      <c r="B60" s="210" t="s">
        <v>756</v>
      </c>
      <c r="C60" s="207" t="s">
        <v>628</v>
      </c>
      <c r="D60" s="41">
        <v>75</v>
      </c>
      <c r="E60" s="41">
        <v>13</v>
      </c>
      <c r="F60" s="41">
        <v>12.74</v>
      </c>
      <c r="G60" s="41">
        <v>9</v>
      </c>
      <c r="H60" s="1" t="str">
        <f t="shared" si="0"/>
        <v>High Minute</v>
      </c>
      <c r="I60" s="1"/>
    </row>
    <row r="61" spans="1:9" ht="13">
      <c r="A61" s="209" t="s">
        <v>189</v>
      </c>
      <c r="B61" s="210" t="s">
        <v>756</v>
      </c>
      <c r="C61" s="207" t="s">
        <v>629</v>
      </c>
      <c r="D61" s="41">
        <v>48</v>
      </c>
      <c r="E61" s="41">
        <v>13</v>
      </c>
      <c r="F61" s="41">
        <v>11.22</v>
      </c>
      <c r="G61" s="41">
        <v>4</v>
      </c>
      <c r="H61" s="1" t="str">
        <f t="shared" si="0"/>
        <v>High Minute</v>
      </c>
      <c r="I61" s="1"/>
    </row>
    <row r="62" spans="1:9" ht="13">
      <c r="A62" s="209" t="s">
        <v>189</v>
      </c>
      <c r="B62" s="210" t="s">
        <v>756</v>
      </c>
      <c r="C62" s="207" t="s">
        <v>630</v>
      </c>
      <c r="D62" s="41">
        <v>54</v>
      </c>
      <c r="E62" s="41">
        <v>11</v>
      </c>
      <c r="F62" s="41">
        <v>10.4</v>
      </c>
      <c r="G62" s="41">
        <v>7</v>
      </c>
      <c r="H62" s="1" t="str">
        <f t="shared" si="0"/>
        <v>High Minute</v>
      </c>
      <c r="I62" s="1"/>
    </row>
    <row r="63" spans="1:9" ht="13">
      <c r="A63" s="209" t="s">
        <v>189</v>
      </c>
      <c r="B63" s="210" t="s">
        <v>756</v>
      </c>
      <c r="C63" s="211" t="s">
        <v>631</v>
      </c>
      <c r="D63" s="45">
        <v>476</v>
      </c>
      <c r="E63" s="45">
        <v>76</v>
      </c>
      <c r="F63" s="45">
        <v>8.33</v>
      </c>
      <c r="G63" s="45">
        <v>34</v>
      </c>
      <c r="H63" s="1" t="str">
        <f t="shared" si="0"/>
        <v>High Minute</v>
      </c>
      <c r="I63" s="1"/>
    </row>
    <row r="64" spans="1:9" ht="13">
      <c r="A64" s="209" t="s">
        <v>189</v>
      </c>
      <c r="B64" s="210" t="s">
        <v>625</v>
      </c>
      <c r="C64" s="207" t="s">
        <v>626</v>
      </c>
      <c r="D64" s="41">
        <v>144</v>
      </c>
      <c r="E64" s="41">
        <v>2</v>
      </c>
      <c r="F64" s="41">
        <v>6.04</v>
      </c>
      <c r="G64" s="41">
        <v>2</v>
      </c>
      <c r="H64" s="1" t="str">
        <f t="shared" si="0"/>
        <v>High Minute</v>
      </c>
      <c r="I64" s="1"/>
    </row>
    <row r="65" spans="1:9" ht="13">
      <c r="A65" s="209" t="s">
        <v>189</v>
      </c>
      <c r="B65" s="210" t="s">
        <v>625</v>
      </c>
      <c r="C65" s="207" t="s">
        <v>627</v>
      </c>
      <c r="D65" s="41">
        <v>31</v>
      </c>
      <c r="E65" s="41">
        <v>4</v>
      </c>
      <c r="F65" s="41">
        <v>11.58</v>
      </c>
      <c r="G65" s="41">
        <v>3</v>
      </c>
      <c r="H65" s="1" t="str">
        <f t="shared" si="0"/>
        <v>High Minute</v>
      </c>
      <c r="I65" s="1"/>
    </row>
    <row r="66" spans="1:9" ht="13">
      <c r="A66" s="209" t="s">
        <v>189</v>
      </c>
      <c r="B66" s="210" t="s">
        <v>625</v>
      </c>
      <c r="C66" s="207" t="s">
        <v>628</v>
      </c>
      <c r="D66" s="41">
        <v>64</v>
      </c>
      <c r="E66" s="41">
        <v>12</v>
      </c>
      <c r="F66" s="41">
        <v>11.03</v>
      </c>
      <c r="G66" s="41">
        <v>7</v>
      </c>
      <c r="H66" s="1" t="str">
        <f t="shared" si="0"/>
        <v>High Minute</v>
      </c>
      <c r="I66" s="1"/>
    </row>
    <row r="67" spans="1:9" ht="13">
      <c r="A67" s="209" t="s">
        <v>189</v>
      </c>
      <c r="B67" s="210" t="s">
        <v>625</v>
      </c>
      <c r="C67" s="207" t="s">
        <v>630</v>
      </c>
      <c r="D67" s="41">
        <v>42</v>
      </c>
      <c r="E67" s="41">
        <v>6</v>
      </c>
      <c r="F67" s="41">
        <v>10.81</v>
      </c>
      <c r="G67" s="41">
        <v>6</v>
      </c>
      <c r="H67" s="1" t="str">
        <f t="shared" si="0"/>
        <v>High Minute</v>
      </c>
      <c r="I67" s="1"/>
    </row>
    <row r="68" spans="1:9" ht="13">
      <c r="A68" s="209" t="s">
        <v>189</v>
      </c>
      <c r="B68" s="210" t="s">
        <v>625</v>
      </c>
      <c r="C68" s="211" t="s">
        <v>631</v>
      </c>
      <c r="D68" s="45">
        <v>282</v>
      </c>
      <c r="E68" s="45">
        <v>24</v>
      </c>
      <c r="F68" s="45">
        <v>7.77</v>
      </c>
      <c r="G68" s="45">
        <v>18</v>
      </c>
      <c r="H68" s="1" t="str">
        <f t="shared" si="0"/>
        <v>High Minute</v>
      </c>
      <c r="I68" s="1"/>
    </row>
    <row r="69" spans="1:9" ht="13">
      <c r="A69" s="209" t="s">
        <v>189</v>
      </c>
      <c r="B69" s="210" t="s">
        <v>757</v>
      </c>
      <c r="C69" s="207" t="s">
        <v>626</v>
      </c>
      <c r="D69" s="41">
        <v>194</v>
      </c>
      <c r="E69" s="41">
        <v>9</v>
      </c>
      <c r="F69" s="41">
        <v>5.18</v>
      </c>
      <c r="G69" s="41">
        <v>2</v>
      </c>
      <c r="H69" s="1" t="str">
        <f t="shared" si="0"/>
        <v>High Minute</v>
      </c>
      <c r="I69" s="1"/>
    </row>
    <row r="70" spans="1:9" ht="13">
      <c r="A70" s="209" t="s">
        <v>189</v>
      </c>
      <c r="B70" s="210" t="s">
        <v>757</v>
      </c>
      <c r="C70" s="207" t="s">
        <v>627</v>
      </c>
      <c r="D70" s="41">
        <v>53</v>
      </c>
      <c r="E70" s="41">
        <v>8</v>
      </c>
      <c r="F70" s="41">
        <v>9.82</v>
      </c>
      <c r="G70" s="41">
        <v>6</v>
      </c>
      <c r="H70" s="1" t="str">
        <f t="shared" si="0"/>
        <v>High Minute</v>
      </c>
      <c r="I70" s="1"/>
    </row>
    <row r="71" spans="1:9" ht="13">
      <c r="A71" s="209" t="s">
        <v>189</v>
      </c>
      <c r="B71" s="210" t="s">
        <v>757</v>
      </c>
      <c r="C71" s="207" t="s">
        <v>628</v>
      </c>
      <c r="D71" s="41">
        <v>188</v>
      </c>
      <c r="E71" s="41">
        <v>43</v>
      </c>
      <c r="F71" s="41">
        <v>10.59</v>
      </c>
      <c r="G71" s="41">
        <v>8</v>
      </c>
      <c r="H71" s="1" t="str">
        <f t="shared" si="0"/>
        <v>High Minute</v>
      </c>
      <c r="I71" s="1"/>
    </row>
    <row r="72" spans="1:9" ht="13">
      <c r="A72" s="209" t="s">
        <v>189</v>
      </c>
      <c r="B72" s="210" t="s">
        <v>757</v>
      </c>
      <c r="C72" s="207" t="s">
        <v>629</v>
      </c>
      <c r="D72" s="41">
        <v>62</v>
      </c>
      <c r="E72" s="41">
        <v>13</v>
      </c>
      <c r="F72" s="41">
        <v>9.51</v>
      </c>
      <c r="G72" s="41">
        <v>5</v>
      </c>
      <c r="H72" s="1" t="str">
        <f t="shared" si="0"/>
        <v>High Minute</v>
      </c>
      <c r="I72" s="1"/>
    </row>
    <row r="73" spans="1:9" ht="13">
      <c r="A73" s="209" t="s">
        <v>189</v>
      </c>
      <c r="B73" s="210" t="s">
        <v>757</v>
      </c>
      <c r="C73" s="207" t="s">
        <v>630</v>
      </c>
      <c r="D73" s="41">
        <v>70</v>
      </c>
      <c r="E73" s="41">
        <v>14</v>
      </c>
      <c r="F73" s="41">
        <v>13.06</v>
      </c>
      <c r="G73" s="41">
        <v>5</v>
      </c>
      <c r="H73" s="1" t="str">
        <f t="shared" si="0"/>
        <v>High Minute</v>
      </c>
      <c r="I73" s="1"/>
    </row>
    <row r="74" spans="1:9" ht="13">
      <c r="A74" s="209" t="s">
        <v>189</v>
      </c>
      <c r="B74" s="210" t="s">
        <v>757</v>
      </c>
      <c r="C74" s="211" t="s">
        <v>631</v>
      </c>
      <c r="D74" s="45">
        <v>567</v>
      </c>
      <c r="E74" s="45">
        <v>87</v>
      </c>
      <c r="F74" s="45">
        <v>7.82</v>
      </c>
      <c r="G74" s="45">
        <v>26</v>
      </c>
      <c r="H74" s="1" t="str">
        <f t="shared" si="0"/>
        <v>High Minute</v>
      </c>
      <c r="I74" s="1"/>
    </row>
    <row r="75" spans="1:9" ht="13">
      <c r="A75" s="209" t="s">
        <v>189</v>
      </c>
      <c r="B75" s="210" t="s">
        <v>121</v>
      </c>
      <c r="C75" s="207" t="s">
        <v>626</v>
      </c>
      <c r="D75" s="41">
        <v>145</v>
      </c>
      <c r="E75" s="41">
        <v>8</v>
      </c>
      <c r="F75" s="41">
        <v>5.37</v>
      </c>
      <c r="G75" s="41">
        <v>4</v>
      </c>
      <c r="H75" s="1" t="str">
        <f t="shared" si="0"/>
        <v>High Minute</v>
      </c>
      <c r="I75" s="1"/>
    </row>
    <row r="76" spans="1:9" ht="13">
      <c r="A76" s="209" t="s">
        <v>189</v>
      </c>
      <c r="B76" s="210" t="s">
        <v>121</v>
      </c>
      <c r="C76" s="207" t="s">
        <v>627</v>
      </c>
      <c r="D76" s="41">
        <v>89</v>
      </c>
      <c r="E76" s="41">
        <v>22</v>
      </c>
      <c r="F76" s="41">
        <v>9.2100000000000009</v>
      </c>
      <c r="G76" s="41">
        <v>7</v>
      </c>
      <c r="H76" s="1" t="str">
        <f t="shared" si="0"/>
        <v>High Minute</v>
      </c>
      <c r="I76" s="1"/>
    </row>
    <row r="77" spans="1:9" ht="13">
      <c r="A77" s="209" t="s">
        <v>189</v>
      </c>
      <c r="B77" s="210" t="s">
        <v>121</v>
      </c>
      <c r="C77" s="207" t="s">
        <v>628</v>
      </c>
      <c r="D77" s="41">
        <v>53</v>
      </c>
      <c r="E77" s="41">
        <v>18</v>
      </c>
      <c r="F77" s="41">
        <v>13.16</v>
      </c>
      <c r="G77" s="41">
        <v>3</v>
      </c>
      <c r="H77" s="1" t="str">
        <f t="shared" si="0"/>
        <v>High Minute</v>
      </c>
      <c r="I77" s="1"/>
    </row>
    <row r="78" spans="1:9" ht="13">
      <c r="A78" s="209" t="s">
        <v>189</v>
      </c>
      <c r="B78" s="210" t="s">
        <v>121</v>
      </c>
      <c r="C78" s="207" t="s">
        <v>629</v>
      </c>
      <c r="D78" s="41">
        <v>113</v>
      </c>
      <c r="E78" s="41">
        <v>27</v>
      </c>
      <c r="F78" s="41">
        <v>12.7</v>
      </c>
      <c r="G78" s="41">
        <v>9</v>
      </c>
      <c r="H78" s="1" t="str">
        <f t="shared" si="0"/>
        <v>High Minute</v>
      </c>
      <c r="I78" s="1"/>
    </row>
    <row r="79" spans="1:9" ht="13">
      <c r="A79" s="209" t="s">
        <v>189</v>
      </c>
      <c r="B79" s="210" t="s">
        <v>121</v>
      </c>
      <c r="C79" s="207" t="s">
        <v>630</v>
      </c>
      <c r="D79" s="41">
        <v>160</v>
      </c>
      <c r="E79" s="41">
        <v>23</v>
      </c>
      <c r="F79" s="41">
        <v>9.82</v>
      </c>
      <c r="G79" s="41">
        <v>14</v>
      </c>
      <c r="H79" s="1" t="str">
        <f t="shared" si="0"/>
        <v>High Minute</v>
      </c>
      <c r="I79" s="1"/>
    </row>
    <row r="80" spans="1:9" ht="13">
      <c r="A80" s="209" t="s">
        <v>189</v>
      </c>
      <c r="B80" s="210" t="s">
        <v>121</v>
      </c>
      <c r="C80" s="211" t="s">
        <v>631</v>
      </c>
      <c r="D80" s="45">
        <v>559</v>
      </c>
      <c r="E80" s="45">
        <v>98</v>
      </c>
      <c r="F80" s="45">
        <v>8.5</v>
      </c>
      <c r="G80" s="45">
        <v>37</v>
      </c>
      <c r="H80" s="1" t="str">
        <f t="shared" si="0"/>
        <v>High Minute</v>
      </c>
      <c r="I80" s="1"/>
    </row>
    <row r="81" spans="1:9" ht="13">
      <c r="A81" s="209" t="s">
        <v>637</v>
      </c>
      <c r="B81" s="210" t="s">
        <v>756</v>
      </c>
      <c r="C81" s="207" t="s">
        <v>626</v>
      </c>
      <c r="D81" s="41">
        <v>186</v>
      </c>
      <c r="E81" s="41">
        <v>5</v>
      </c>
      <c r="F81" s="41">
        <v>5.37</v>
      </c>
      <c r="G81" s="41">
        <v>3</v>
      </c>
      <c r="H81" s="1" t="str">
        <f t="shared" si="0"/>
        <v>Development</v>
      </c>
      <c r="I81" s="1"/>
    </row>
    <row r="82" spans="1:9" ht="13">
      <c r="A82" s="209" t="s">
        <v>637</v>
      </c>
      <c r="B82" s="210" t="s">
        <v>756</v>
      </c>
      <c r="C82" s="207" t="s">
        <v>627</v>
      </c>
      <c r="D82" s="41">
        <v>18</v>
      </c>
      <c r="E82" s="41">
        <v>3</v>
      </c>
      <c r="F82" s="41">
        <v>13.47</v>
      </c>
      <c r="G82" s="41">
        <v>1</v>
      </c>
      <c r="H82" s="1" t="str">
        <f t="shared" si="0"/>
        <v>Development</v>
      </c>
      <c r="I82" s="1"/>
    </row>
    <row r="83" spans="1:9" ht="13">
      <c r="A83" s="209" t="s">
        <v>637</v>
      </c>
      <c r="B83" s="210" t="s">
        <v>756</v>
      </c>
      <c r="C83" s="207" t="s">
        <v>628</v>
      </c>
      <c r="D83" s="41">
        <v>83</v>
      </c>
      <c r="E83" s="41">
        <v>22</v>
      </c>
      <c r="F83" s="41">
        <v>12.35</v>
      </c>
      <c r="G83" s="41">
        <v>15</v>
      </c>
      <c r="H83" s="1" t="str">
        <f t="shared" si="0"/>
        <v>Development</v>
      </c>
      <c r="I83" s="1"/>
    </row>
    <row r="84" spans="1:9" ht="13">
      <c r="A84" s="209" t="s">
        <v>637</v>
      </c>
      <c r="B84" s="210" t="s">
        <v>756</v>
      </c>
      <c r="C84" s="207" t="s">
        <v>629</v>
      </c>
      <c r="D84" s="41">
        <v>96</v>
      </c>
      <c r="E84" s="41">
        <v>21</v>
      </c>
      <c r="F84" s="41">
        <v>10.85</v>
      </c>
      <c r="G84" s="41">
        <v>15</v>
      </c>
      <c r="H84" s="1" t="str">
        <f t="shared" si="0"/>
        <v>Development</v>
      </c>
      <c r="I84" s="1"/>
    </row>
    <row r="85" spans="1:9" ht="13">
      <c r="A85" s="209" t="s">
        <v>637</v>
      </c>
      <c r="B85" s="210" t="s">
        <v>756</v>
      </c>
      <c r="C85" s="207" t="s">
        <v>630</v>
      </c>
      <c r="D85" s="41">
        <v>167</v>
      </c>
      <c r="E85" s="41">
        <v>38</v>
      </c>
      <c r="F85" s="41">
        <v>9.7799999999999994</v>
      </c>
      <c r="G85" s="41">
        <v>23</v>
      </c>
      <c r="H85" s="1" t="str">
        <f t="shared" si="0"/>
        <v>Development</v>
      </c>
      <c r="I85" s="1"/>
    </row>
    <row r="86" spans="1:9" ht="13">
      <c r="A86" s="209" t="s">
        <v>637</v>
      </c>
      <c r="B86" s="210" t="s">
        <v>756</v>
      </c>
      <c r="C86" s="211" t="s">
        <v>631</v>
      </c>
      <c r="D86" s="45">
        <v>549</v>
      </c>
      <c r="E86" s="45">
        <v>89</v>
      </c>
      <c r="F86" s="45">
        <v>8.02</v>
      </c>
      <c r="G86" s="45">
        <v>57</v>
      </c>
      <c r="H86" s="1" t="str">
        <f t="shared" si="0"/>
        <v>Development</v>
      </c>
      <c r="I86" s="1"/>
    </row>
    <row r="87" spans="1:9" ht="13">
      <c r="A87" s="209" t="s">
        <v>637</v>
      </c>
      <c r="B87" s="210" t="s">
        <v>625</v>
      </c>
      <c r="C87" s="207" t="s">
        <v>626</v>
      </c>
      <c r="D87" s="41">
        <v>151</v>
      </c>
      <c r="E87" s="41">
        <v>1</v>
      </c>
      <c r="F87" s="41">
        <v>6.32</v>
      </c>
      <c r="G87" s="41">
        <v>3</v>
      </c>
      <c r="H87" s="1" t="str">
        <f t="shared" si="0"/>
        <v>Development</v>
      </c>
      <c r="I87" s="1"/>
    </row>
    <row r="88" spans="1:9" ht="13">
      <c r="A88" s="209" t="s">
        <v>637</v>
      </c>
      <c r="B88" s="210" t="s">
        <v>625</v>
      </c>
      <c r="C88" s="207" t="s">
        <v>627</v>
      </c>
      <c r="D88" s="41">
        <v>6</v>
      </c>
      <c r="E88" s="41">
        <v>1</v>
      </c>
      <c r="F88" s="41">
        <v>5.71</v>
      </c>
      <c r="G88" s="41">
        <v>1</v>
      </c>
      <c r="H88" s="1" t="str">
        <f t="shared" si="0"/>
        <v>Development</v>
      </c>
      <c r="I88" s="1"/>
    </row>
    <row r="89" spans="1:9" ht="13">
      <c r="A89" s="209" t="s">
        <v>637</v>
      </c>
      <c r="B89" s="210" t="s">
        <v>625</v>
      </c>
      <c r="C89" s="211" t="s">
        <v>631</v>
      </c>
      <c r="D89" s="45">
        <v>156</v>
      </c>
      <c r="E89" s="45">
        <v>2</v>
      </c>
      <c r="F89" s="45">
        <v>6.29</v>
      </c>
      <c r="G89" s="45">
        <v>4</v>
      </c>
      <c r="H89" s="1" t="str">
        <f t="shared" si="0"/>
        <v>Development</v>
      </c>
      <c r="I89" s="1"/>
    </row>
    <row r="90" spans="1:9" ht="13">
      <c r="A90" s="209" t="s">
        <v>637</v>
      </c>
      <c r="B90" s="210" t="s">
        <v>121</v>
      </c>
      <c r="C90" s="207" t="s">
        <v>626</v>
      </c>
      <c r="D90" s="41">
        <v>121</v>
      </c>
      <c r="E90" s="41">
        <v>1</v>
      </c>
      <c r="F90" s="41">
        <v>4.49</v>
      </c>
      <c r="G90" s="41">
        <v>1</v>
      </c>
      <c r="H90" s="1" t="str">
        <f t="shared" si="0"/>
        <v>Development</v>
      </c>
      <c r="I90" s="1"/>
    </row>
    <row r="91" spans="1:9" ht="13">
      <c r="A91" s="209" t="s">
        <v>637</v>
      </c>
      <c r="B91" s="210" t="s">
        <v>121</v>
      </c>
      <c r="C91" s="207" t="s">
        <v>627</v>
      </c>
      <c r="D91" s="41">
        <v>55</v>
      </c>
      <c r="E91" s="41">
        <v>15</v>
      </c>
      <c r="F91" s="41">
        <v>11.56</v>
      </c>
      <c r="G91" s="41">
        <v>2</v>
      </c>
      <c r="H91" s="1" t="str">
        <f t="shared" si="0"/>
        <v>Development</v>
      </c>
      <c r="I91" s="1"/>
    </row>
    <row r="92" spans="1:9" ht="13">
      <c r="A92" s="209" t="s">
        <v>637</v>
      </c>
      <c r="B92" s="210" t="s">
        <v>121</v>
      </c>
      <c r="C92" s="207" t="s">
        <v>628</v>
      </c>
      <c r="D92" s="41">
        <v>41</v>
      </c>
      <c r="E92" s="41">
        <v>8</v>
      </c>
      <c r="F92" s="41">
        <v>10.94</v>
      </c>
      <c r="G92" s="41">
        <v>5</v>
      </c>
      <c r="H92" s="1" t="str">
        <f t="shared" si="0"/>
        <v>Development</v>
      </c>
      <c r="I92" s="1"/>
    </row>
    <row r="93" spans="1:9" ht="13">
      <c r="A93" s="209" t="s">
        <v>637</v>
      </c>
      <c r="B93" s="210" t="s">
        <v>121</v>
      </c>
      <c r="C93" s="211" t="s">
        <v>631</v>
      </c>
      <c r="D93" s="45">
        <v>217</v>
      </c>
      <c r="E93" s="45">
        <v>24</v>
      </c>
      <c r="F93" s="45">
        <v>6.12</v>
      </c>
      <c r="G93" s="45">
        <v>8</v>
      </c>
      <c r="H93" s="1" t="str">
        <f t="shared" si="0"/>
        <v>Development</v>
      </c>
      <c r="I93" s="1"/>
    </row>
    <row r="94" spans="1:9" ht="13">
      <c r="A94" s="209" t="s">
        <v>634</v>
      </c>
      <c r="B94" s="210" t="s">
        <v>756</v>
      </c>
      <c r="C94" s="207" t="s">
        <v>626</v>
      </c>
      <c r="D94" s="41">
        <v>191</v>
      </c>
      <c r="E94" s="41">
        <v>5</v>
      </c>
      <c r="F94" s="41">
        <v>5.53</v>
      </c>
      <c r="G94" s="41">
        <v>14</v>
      </c>
      <c r="H94" s="1" t="str">
        <f t="shared" si="0"/>
        <v>Development</v>
      </c>
      <c r="I94" s="1"/>
    </row>
    <row r="95" spans="1:9" ht="13">
      <c r="A95" s="209" t="s">
        <v>634</v>
      </c>
      <c r="B95" s="210" t="s">
        <v>756</v>
      </c>
      <c r="C95" s="207" t="s">
        <v>628</v>
      </c>
      <c r="D95" s="41">
        <v>116</v>
      </c>
      <c r="E95" s="41">
        <v>40</v>
      </c>
      <c r="F95" s="41">
        <v>13.41</v>
      </c>
      <c r="G95" s="41">
        <v>9</v>
      </c>
      <c r="H95" s="1" t="str">
        <f t="shared" si="0"/>
        <v>Development</v>
      </c>
      <c r="I95" s="1"/>
    </row>
    <row r="96" spans="1:9" ht="13">
      <c r="A96" s="209" t="s">
        <v>634</v>
      </c>
      <c r="B96" s="210" t="s">
        <v>756</v>
      </c>
      <c r="C96" s="207" t="s">
        <v>629</v>
      </c>
      <c r="D96" s="41">
        <v>63</v>
      </c>
      <c r="E96" s="41">
        <v>23</v>
      </c>
      <c r="F96" s="41">
        <v>12.71</v>
      </c>
      <c r="G96" s="41">
        <v>10</v>
      </c>
      <c r="H96" s="1" t="str">
        <f t="shared" si="0"/>
        <v>Development</v>
      </c>
      <c r="I96" s="1"/>
    </row>
    <row r="97" spans="1:9" ht="13">
      <c r="A97" s="209" t="s">
        <v>634</v>
      </c>
      <c r="B97" s="210" t="s">
        <v>756</v>
      </c>
      <c r="C97" s="207" t="s">
        <v>630</v>
      </c>
      <c r="D97" s="41">
        <v>192</v>
      </c>
      <c r="E97" s="41">
        <v>48</v>
      </c>
      <c r="F97" s="41">
        <v>11.26</v>
      </c>
      <c r="G97" s="41">
        <v>15</v>
      </c>
      <c r="H97" s="1" t="str">
        <f t="shared" si="0"/>
        <v>Development</v>
      </c>
      <c r="I97" s="1"/>
    </row>
    <row r="98" spans="1:9" ht="13">
      <c r="A98" s="209" t="s">
        <v>634</v>
      </c>
      <c r="B98" s="210" t="s">
        <v>756</v>
      </c>
      <c r="C98" s="211" t="s">
        <v>631</v>
      </c>
      <c r="D98" s="45">
        <v>562</v>
      </c>
      <c r="E98" s="45">
        <v>116</v>
      </c>
      <c r="F98" s="45">
        <v>8.6199999999999992</v>
      </c>
      <c r="G98" s="45">
        <v>48</v>
      </c>
      <c r="H98" s="1" t="str">
        <f t="shared" si="0"/>
        <v>Development</v>
      </c>
      <c r="I98" s="1"/>
    </row>
    <row r="99" spans="1:9" ht="13">
      <c r="A99" s="209" t="s">
        <v>634</v>
      </c>
      <c r="B99" s="210" t="s">
        <v>625</v>
      </c>
      <c r="C99" s="207" t="s">
        <v>626</v>
      </c>
      <c r="D99" s="41">
        <v>146</v>
      </c>
      <c r="E99" s="41">
        <v>1</v>
      </c>
      <c r="F99" s="41">
        <v>6.1</v>
      </c>
      <c r="G99" s="41">
        <v>8</v>
      </c>
      <c r="H99" s="1" t="str">
        <f t="shared" si="0"/>
        <v>Development</v>
      </c>
      <c r="I99" s="1"/>
    </row>
    <row r="100" spans="1:9" ht="13">
      <c r="A100" s="209" t="s">
        <v>634</v>
      </c>
      <c r="B100" s="210" t="s">
        <v>625</v>
      </c>
      <c r="C100" s="211" t="s">
        <v>631</v>
      </c>
      <c r="D100" s="45">
        <v>146</v>
      </c>
      <c r="E100" s="45">
        <v>1</v>
      </c>
      <c r="F100" s="45">
        <v>6.1</v>
      </c>
      <c r="G100" s="45">
        <v>8</v>
      </c>
      <c r="H100" s="1" t="str">
        <f t="shared" si="0"/>
        <v>Development</v>
      </c>
      <c r="I100" s="1"/>
    </row>
    <row r="101" spans="1:9" ht="13">
      <c r="A101" s="209" t="s">
        <v>634</v>
      </c>
      <c r="B101" s="210" t="s">
        <v>757</v>
      </c>
      <c r="C101" s="207" t="s">
        <v>626</v>
      </c>
      <c r="D101" s="41">
        <v>172</v>
      </c>
      <c r="E101" s="41">
        <v>3</v>
      </c>
      <c r="F101" s="41">
        <v>4.59</v>
      </c>
      <c r="G101" s="41">
        <v>5</v>
      </c>
      <c r="H101" s="1" t="str">
        <f t="shared" si="0"/>
        <v>Development</v>
      </c>
      <c r="I101" s="1"/>
    </row>
    <row r="102" spans="1:9" ht="13">
      <c r="A102" s="209" t="s">
        <v>634</v>
      </c>
      <c r="B102" s="210" t="s">
        <v>757</v>
      </c>
      <c r="C102" s="207" t="s">
        <v>628</v>
      </c>
      <c r="D102" s="41">
        <v>26</v>
      </c>
      <c r="E102" s="41">
        <v>8</v>
      </c>
      <c r="F102" s="41">
        <v>11.54</v>
      </c>
      <c r="G102" s="41">
        <v>3</v>
      </c>
      <c r="H102" s="1" t="str">
        <f t="shared" si="0"/>
        <v>Development</v>
      </c>
      <c r="I102" s="1"/>
    </row>
    <row r="103" spans="1:9" ht="13">
      <c r="A103" s="209" t="s">
        <v>634</v>
      </c>
      <c r="B103" s="210" t="s">
        <v>757</v>
      </c>
      <c r="C103" s="211" t="s">
        <v>631</v>
      </c>
      <c r="D103" s="45">
        <v>198</v>
      </c>
      <c r="E103" s="45">
        <v>11</v>
      </c>
      <c r="F103" s="45">
        <v>4.99</v>
      </c>
      <c r="G103" s="45">
        <v>8</v>
      </c>
      <c r="H103" s="1" t="str">
        <f t="shared" si="0"/>
        <v>Development</v>
      </c>
      <c r="I103" s="1"/>
    </row>
    <row r="104" spans="1:9" ht="13">
      <c r="A104" s="209" t="s">
        <v>634</v>
      </c>
      <c r="B104" s="210" t="s">
        <v>121</v>
      </c>
      <c r="C104" s="207" t="s">
        <v>626</v>
      </c>
      <c r="D104" s="41">
        <v>129</v>
      </c>
      <c r="E104" s="41">
        <v>1</v>
      </c>
      <c r="F104" s="41">
        <v>4.7699999999999996</v>
      </c>
      <c r="G104" s="41">
        <v>6</v>
      </c>
      <c r="H104" s="1" t="str">
        <f t="shared" si="0"/>
        <v>Development</v>
      </c>
      <c r="I104" s="1"/>
    </row>
    <row r="105" spans="1:9" ht="13">
      <c r="A105" s="209" t="s">
        <v>634</v>
      </c>
      <c r="B105" s="210" t="s">
        <v>121</v>
      </c>
      <c r="C105" s="207" t="s">
        <v>628</v>
      </c>
      <c r="D105" s="41">
        <v>98</v>
      </c>
      <c r="E105" s="41">
        <v>29</v>
      </c>
      <c r="F105" s="41">
        <v>11.7</v>
      </c>
      <c r="G105" s="41">
        <v>12</v>
      </c>
      <c r="H105" s="1" t="str">
        <f t="shared" si="0"/>
        <v>Development</v>
      </c>
      <c r="I105" s="1"/>
    </row>
    <row r="106" spans="1:9" ht="13">
      <c r="A106" s="209" t="s">
        <v>634</v>
      </c>
      <c r="B106" s="210" t="s">
        <v>121</v>
      </c>
      <c r="C106" s="211" t="s">
        <v>631</v>
      </c>
      <c r="D106" s="45">
        <v>226</v>
      </c>
      <c r="E106" s="45">
        <v>30</v>
      </c>
      <c r="F106" s="45">
        <v>6.41</v>
      </c>
      <c r="G106" s="45">
        <v>18</v>
      </c>
      <c r="H106" s="1" t="str">
        <f t="shared" si="0"/>
        <v>Development</v>
      </c>
      <c r="I106" s="1"/>
    </row>
    <row r="107" spans="1:9" ht="13">
      <c r="A107" s="209" t="s">
        <v>157</v>
      </c>
      <c r="B107" s="210" t="s">
        <v>756</v>
      </c>
      <c r="C107" s="207" t="s">
        <v>626</v>
      </c>
      <c r="D107" s="41">
        <v>172</v>
      </c>
      <c r="E107" s="41">
        <v>3</v>
      </c>
      <c r="F107" s="41">
        <v>4.9800000000000004</v>
      </c>
      <c r="G107" s="41">
        <v>8</v>
      </c>
      <c r="H107" s="1" t="str">
        <f t="shared" si="0"/>
        <v>High Minute</v>
      </c>
      <c r="I107" s="1"/>
    </row>
    <row r="108" spans="1:9" ht="13">
      <c r="A108" s="209" t="s">
        <v>157</v>
      </c>
      <c r="B108" s="210" t="s">
        <v>756</v>
      </c>
      <c r="C108" s="207" t="s">
        <v>627</v>
      </c>
      <c r="D108" s="41">
        <v>87</v>
      </c>
      <c r="E108" s="41">
        <v>12</v>
      </c>
      <c r="F108" s="41">
        <v>11.94</v>
      </c>
      <c r="G108" s="41">
        <v>3</v>
      </c>
      <c r="H108" s="1" t="str">
        <f t="shared" si="0"/>
        <v>High Minute</v>
      </c>
      <c r="I108" s="1"/>
    </row>
    <row r="109" spans="1:9" ht="13">
      <c r="A109" s="209" t="s">
        <v>157</v>
      </c>
      <c r="B109" s="210" t="s">
        <v>756</v>
      </c>
      <c r="C109" s="207" t="s">
        <v>628</v>
      </c>
      <c r="D109" s="41">
        <v>90</v>
      </c>
      <c r="E109" s="41">
        <v>9</v>
      </c>
      <c r="F109" s="41">
        <v>10.62</v>
      </c>
      <c r="G109" s="41">
        <v>6</v>
      </c>
      <c r="H109" s="1" t="str">
        <f t="shared" si="0"/>
        <v>High Minute</v>
      </c>
      <c r="I109" s="1"/>
    </row>
    <row r="110" spans="1:9" ht="13">
      <c r="A110" s="209" t="s">
        <v>157</v>
      </c>
      <c r="B110" s="210" t="s">
        <v>756</v>
      </c>
      <c r="C110" s="207" t="s">
        <v>629</v>
      </c>
      <c r="D110" s="41">
        <v>76</v>
      </c>
      <c r="E110" s="41">
        <v>7</v>
      </c>
      <c r="F110" s="41">
        <v>9.84</v>
      </c>
      <c r="G110" s="41">
        <v>4</v>
      </c>
      <c r="H110" s="1" t="str">
        <f t="shared" si="0"/>
        <v>High Minute</v>
      </c>
      <c r="I110" s="1"/>
    </row>
    <row r="111" spans="1:9" ht="13">
      <c r="A111" s="209" t="s">
        <v>157</v>
      </c>
      <c r="B111" s="210" t="s">
        <v>756</v>
      </c>
      <c r="C111" s="211" t="s">
        <v>631</v>
      </c>
      <c r="D111" s="45">
        <v>425</v>
      </c>
      <c r="E111" s="45">
        <v>31</v>
      </c>
      <c r="F111" s="45">
        <v>7.33</v>
      </c>
      <c r="G111" s="45">
        <v>21</v>
      </c>
      <c r="H111" s="1" t="str">
        <f t="shared" si="0"/>
        <v>High Minute</v>
      </c>
      <c r="I111" s="1"/>
    </row>
    <row r="112" spans="1:9" ht="13">
      <c r="A112" s="209" t="s">
        <v>157</v>
      </c>
      <c r="B112" s="210" t="s">
        <v>625</v>
      </c>
      <c r="C112" s="207" t="s">
        <v>626</v>
      </c>
      <c r="D112" s="41">
        <v>128</v>
      </c>
      <c r="E112" s="41">
        <v>2</v>
      </c>
      <c r="F112" s="41">
        <v>5.37</v>
      </c>
      <c r="G112" s="41">
        <v>5</v>
      </c>
      <c r="H112" s="1" t="str">
        <f t="shared" si="0"/>
        <v>High Minute</v>
      </c>
      <c r="I112" s="1"/>
    </row>
    <row r="113" spans="1:9" ht="13">
      <c r="A113" s="209" t="s">
        <v>157</v>
      </c>
      <c r="B113" s="210" t="s">
        <v>625</v>
      </c>
      <c r="C113" s="207" t="s">
        <v>627</v>
      </c>
      <c r="D113" s="41">
        <v>76</v>
      </c>
      <c r="E113" s="41">
        <v>21</v>
      </c>
      <c r="F113" s="41">
        <v>9.49</v>
      </c>
      <c r="G113" s="41">
        <v>5</v>
      </c>
      <c r="H113" s="1" t="str">
        <f t="shared" si="0"/>
        <v>High Minute</v>
      </c>
      <c r="I113" s="1"/>
    </row>
    <row r="114" spans="1:9" ht="13">
      <c r="A114" s="209" t="s">
        <v>157</v>
      </c>
      <c r="B114" s="210" t="s">
        <v>625</v>
      </c>
      <c r="C114" s="207" t="s">
        <v>628</v>
      </c>
      <c r="D114" s="41">
        <v>98</v>
      </c>
      <c r="E114" s="41">
        <v>18</v>
      </c>
      <c r="F114" s="41">
        <v>10.94</v>
      </c>
      <c r="G114" s="41">
        <v>14</v>
      </c>
      <c r="H114" s="1" t="str">
        <f t="shared" si="0"/>
        <v>High Minute</v>
      </c>
      <c r="I114" s="1"/>
    </row>
    <row r="115" spans="1:9" ht="13">
      <c r="A115" s="209" t="s">
        <v>157</v>
      </c>
      <c r="B115" s="210" t="s">
        <v>625</v>
      </c>
      <c r="C115" s="207" t="s">
        <v>629</v>
      </c>
      <c r="D115" s="41">
        <v>37</v>
      </c>
      <c r="E115" s="41">
        <v>5</v>
      </c>
      <c r="F115" s="41">
        <v>10.94</v>
      </c>
      <c r="G115" s="41">
        <v>0</v>
      </c>
      <c r="H115" s="1" t="str">
        <f t="shared" si="0"/>
        <v>High Minute</v>
      </c>
      <c r="I115" s="1"/>
    </row>
    <row r="116" spans="1:9" ht="13">
      <c r="A116" s="209" t="s">
        <v>157</v>
      </c>
      <c r="B116" s="210" t="s">
        <v>625</v>
      </c>
      <c r="C116" s="207" t="s">
        <v>630</v>
      </c>
      <c r="D116" s="41">
        <v>41</v>
      </c>
      <c r="E116" s="41">
        <v>11</v>
      </c>
      <c r="F116" s="41">
        <v>10.48</v>
      </c>
      <c r="G116" s="41">
        <v>6</v>
      </c>
      <c r="H116" s="1" t="str">
        <f t="shared" si="0"/>
        <v>High Minute</v>
      </c>
      <c r="I116" s="1"/>
    </row>
    <row r="117" spans="1:9" ht="13">
      <c r="A117" s="209" t="s">
        <v>157</v>
      </c>
      <c r="B117" s="210" t="s">
        <v>625</v>
      </c>
      <c r="C117" s="211" t="s">
        <v>631</v>
      </c>
      <c r="D117" s="45">
        <v>379</v>
      </c>
      <c r="E117" s="45">
        <v>57</v>
      </c>
      <c r="F117" s="45">
        <v>7.9</v>
      </c>
      <c r="G117" s="45">
        <v>30</v>
      </c>
      <c r="H117" s="1" t="str">
        <f t="shared" si="0"/>
        <v>High Minute</v>
      </c>
      <c r="I117" s="1"/>
    </row>
    <row r="118" spans="1:9" ht="13">
      <c r="A118" s="209" t="s">
        <v>157</v>
      </c>
      <c r="B118" s="212" t="s">
        <v>757</v>
      </c>
      <c r="C118" s="207" t="s">
        <v>626</v>
      </c>
      <c r="D118" s="41">
        <v>178</v>
      </c>
      <c r="E118" s="41">
        <v>1</v>
      </c>
      <c r="F118" s="41">
        <v>4.75</v>
      </c>
      <c r="G118" s="41">
        <v>11</v>
      </c>
      <c r="H118" s="1" t="str">
        <f t="shared" si="0"/>
        <v>High Minute</v>
      </c>
      <c r="I118" s="1"/>
    </row>
    <row r="119" spans="1:9" ht="13">
      <c r="A119" s="209" t="s">
        <v>157</v>
      </c>
      <c r="B119" s="212" t="s">
        <v>757</v>
      </c>
      <c r="C119" s="207" t="s">
        <v>627</v>
      </c>
      <c r="D119" s="41">
        <v>82</v>
      </c>
      <c r="E119" s="41">
        <v>22</v>
      </c>
      <c r="F119" s="41">
        <v>9.39</v>
      </c>
      <c r="G119" s="41">
        <v>13</v>
      </c>
      <c r="H119" s="1" t="str">
        <f t="shared" si="0"/>
        <v>High Minute</v>
      </c>
      <c r="I119" s="1"/>
    </row>
    <row r="120" spans="1:9" ht="13">
      <c r="A120" s="209" t="s">
        <v>157</v>
      </c>
      <c r="B120" s="212" t="s">
        <v>757</v>
      </c>
      <c r="C120" s="207" t="s">
        <v>628</v>
      </c>
      <c r="D120" s="41">
        <v>115</v>
      </c>
      <c r="E120" s="41">
        <v>21</v>
      </c>
      <c r="F120" s="41">
        <v>9.02</v>
      </c>
      <c r="G120" s="41">
        <v>6</v>
      </c>
      <c r="H120" s="1" t="str">
        <f t="shared" si="0"/>
        <v>High Minute</v>
      </c>
      <c r="I120" s="1"/>
    </row>
    <row r="121" spans="1:9" ht="13">
      <c r="A121" s="209" t="s">
        <v>157</v>
      </c>
      <c r="B121" s="212" t="s">
        <v>757</v>
      </c>
      <c r="C121" s="207" t="s">
        <v>629</v>
      </c>
      <c r="D121" s="41">
        <v>59</v>
      </c>
      <c r="E121" s="41">
        <v>10</v>
      </c>
      <c r="F121" s="41">
        <v>8.4700000000000006</v>
      </c>
      <c r="G121" s="41">
        <v>6</v>
      </c>
      <c r="H121" s="1" t="str">
        <f t="shared" si="0"/>
        <v>High Minute</v>
      </c>
      <c r="I121" s="1"/>
    </row>
    <row r="122" spans="1:9" ht="13">
      <c r="A122" s="209" t="s">
        <v>157</v>
      </c>
      <c r="B122" s="212" t="s">
        <v>757</v>
      </c>
      <c r="C122" s="207" t="s">
        <v>630</v>
      </c>
      <c r="D122" s="41">
        <v>141</v>
      </c>
      <c r="E122" s="41">
        <v>15</v>
      </c>
      <c r="F122" s="41">
        <v>9.73</v>
      </c>
      <c r="G122" s="41">
        <v>8</v>
      </c>
      <c r="H122" s="1" t="str">
        <f t="shared" si="0"/>
        <v>High Minute</v>
      </c>
      <c r="I122" s="1"/>
    </row>
    <row r="123" spans="1:9" ht="13">
      <c r="A123" s="209" t="s">
        <v>157</v>
      </c>
      <c r="B123" s="212" t="s">
        <v>757</v>
      </c>
      <c r="C123" s="211" t="s">
        <v>631</v>
      </c>
      <c r="D123" s="45">
        <v>574</v>
      </c>
      <c r="E123" s="45">
        <v>69</v>
      </c>
      <c r="F123" s="45">
        <v>7.15</v>
      </c>
      <c r="G123" s="45">
        <v>44</v>
      </c>
      <c r="H123" s="1" t="str">
        <f t="shared" si="0"/>
        <v>High Minute</v>
      </c>
      <c r="I123" s="1"/>
    </row>
    <row r="124" spans="1:9" ht="13">
      <c r="A124" s="209" t="s">
        <v>157</v>
      </c>
      <c r="B124" s="212" t="s">
        <v>121</v>
      </c>
      <c r="C124" s="207" t="s">
        <v>626</v>
      </c>
      <c r="D124" s="41">
        <v>113</v>
      </c>
      <c r="E124" s="41">
        <v>1</v>
      </c>
      <c r="F124" s="41">
        <v>4.1900000000000004</v>
      </c>
      <c r="G124" s="41">
        <v>6</v>
      </c>
      <c r="H124" s="1" t="str">
        <f t="shared" si="0"/>
        <v>High Minute</v>
      </c>
      <c r="I124" s="1"/>
    </row>
    <row r="125" spans="1:9" ht="13">
      <c r="A125" s="209" t="s">
        <v>157</v>
      </c>
      <c r="B125" s="212" t="s">
        <v>121</v>
      </c>
      <c r="C125" s="207" t="s">
        <v>627</v>
      </c>
      <c r="D125" s="41">
        <v>143</v>
      </c>
      <c r="E125" s="41">
        <v>25</v>
      </c>
      <c r="F125" s="41">
        <v>9.52</v>
      </c>
      <c r="G125" s="41">
        <v>10</v>
      </c>
      <c r="H125" s="1" t="str">
        <f t="shared" si="0"/>
        <v>High Minute</v>
      </c>
      <c r="I125" s="1"/>
    </row>
    <row r="126" spans="1:9" ht="13">
      <c r="A126" s="209" t="s">
        <v>157</v>
      </c>
      <c r="B126" s="212" t="s">
        <v>121</v>
      </c>
      <c r="C126" s="207" t="s">
        <v>628</v>
      </c>
      <c r="D126" s="41">
        <v>132</v>
      </c>
      <c r="E126" s="41">
        <v>16</v>
      </c>
      <c r="F126" s="41">
        <v>9.6999999999999993</v>
      </c>
      <c r="G126" s="41">
        <v>12</v>
      </c>
      <c r="H126" s="1" t="str">
        <f t="shared" si="0"/>
        <v>High Minute</v>
      </c>
      <c r="I126" s="1"/>
    </row>
    <row r="127" spans="1:9" ht="13">
      <c r="A127" s="209" t="s">
        <v>157</v>
      </c>
      <c r="B127" s="212" t="s">
        <v>121</v>
      </c>
      <c r="C127" s="207" t="s">
        <v>629</v>
      </c>
      <c r="D127" s="41">
        <v>29</v>
      </c>
      <c r="E127" s="41">
        <v>3</v>
      </c>
      <c r="F127" s="41">
        <v>8.42</v>
      </c>
      <c r="G127" s="41">
        <v>5</v>
      </c>
      <c r="H127" s="1" t="str">
        <f t="shared" si="0"/>
        <v>High Minute</v>
      </c>
      <c r="I127" s="1"/>
    </row>
    <row r="128" spans="1:9" ht="13">
      <c r="A128" s="209" t="s">
        <v>157</v>
      </c>
      <c r="B128" s="212" t="s">
        <v>121</v>
      </c>
      <c r="C128" s="207" t="s">
        <v>630</v>
      </c>
      <c r="D128" s="41">
        <v>118</v>
      </c>
      <c r="E128" s="41">
        <v>7</v>
      </c>
      <c r="F128" s="41">
        <v>6.84</v>
      </c>
      <c r="G128" s="41">
        <v>7</v>
      </c>
      <c r="H128" s="1" t="str">
        <f t="shared" si="0"/>
        <v>High Minute</v>
      </c>
      <c r="I128" s="1"/>
    </row>
    <row r="129" spans="1:9" ht="13">
      <c r="A129" s="209" t="s">
        <v>157</v>
      </c>
      <c r="B129" s="212" t="s">
        <v>121</v>
      </c>
      <c r="C129" s="211" t="s">
        <v>631</v>
      </c>
      <c r="D129" s="45">
        <v>535</v>
      </c>
      <c r="E129" s="45">
        <v>52</v>
      </c>
      <c r="F129" s="45">
        <v>7.01</v>
      </c>
      <c r="G129" s="45">
        <v>40</v>
      </c>
      <c r="H129" s="1" t="str">
        <f t="shared" si="0"/>
        <v>High Minute</v>
      </c>
      <c r="I129" s="1"/>
    </row>
    <row r="130" spans="1:9" ht="13">
      <c r="A130" s="209" t="s">
        <v>159</v>
      </c>
      <c r="B130" s="210" t="s">
        <v>756</v>
      </c>
      <c r="C130" s="207" t="s">
        <v>626</v>
      </c>
      <c r="D130" s="41">
        <v>165</v>
      </c>
      <c r="E130" s="41">
        <v>4</v>
      </c>
      <c r="F130" s="41">
        <v>4.78</v>
      </c>
      <c r="G130" s="41">
        <v>2</v>
      </c>
      <c r="H130" s="1" t="str">
        <f t="shared" si="0"/>
        <v>High Minute</v>
      </c>
      <c r="I130" s="1"/>
    </row>
    <row r="131" spans="1:9" ht="13">
      <c r="A131" s="209" t="s">
        <v>159</v>
      </c>
      <c r="B131" s="210" t="s">
        <v>756</v>
      </c>
      <c r="C131" s="207" t="s">
        <v>627</v>
      </c>
      <c r="D131" s="41">
        <v>130</v>
      </c>
      <c r="E131" s="41">
        <v>19</v>
      </c>
      <c r="F131" s="41">
        <v>11.46</v>
      </c>
      <c r="G131" s="41">
        <v>9</v>
      </c>
      <c r="H131" s="1" t="str">
        <f t="shared" si="0"/>
        <v>High Minute</v>
      </c>
      <c r="I131" s="1"/>
    </row>
    <row r="132" spans="1:9" ht="13">
      <c r="A132" s="209" t="s">
        <v>159</v>
      </c>
      <c r="B132" s="210" t="s">
        <v>756</v>
      </c>
      <c r="C132" s="207" t="s">
        <v>628</v>
      </c>
      <c r="D132" s="41">
        <v>107</v>
      </c>
      <c r="E132" s="41">
        <v>15</v>
      </c>
      <c r="F132" s="41">
        <v>10.08</v>
      </c>
      <c r="G132" s="41">
        <v>6</v>
      </c>
      <c r="H132" s="1" t="str">
        <f t="shared" si="0"/>
        <v>High Minute</v>
      </c>
      <c r="I132" s="1"/>
    </row>
    <row r="133" spans="1:9" ht="13">
      <c r="A133" s="209" t="s">
        <v>159</v>
      </c>
      <c r="B133" s="210" t="s">
        <v>756</v>
      </c>
      <c r="C133" s="207" t="s">
        <v>629</v>
      </c>
      <c r="D133" s="41">
        <v>140</v>
      </c>
      <c r="E133" s="41">
        <v>20</v>
      </c>
      <c r="F133" s="41">
        <v>9.6</v>
      </c>
      <c r="G133" s="41">
        <v>4</v>
      </c>
      <c r="H133" s="1" t="str">
        <f t="shared" si="0"/>
        <v>High Minute</v>
      </c>
      <c r="I133" s="1"/>
    </row>
    <row r="134" spans="1:9" ht="13">
      <c r="A134" s="209" t="s">
        <v>159</v>
      </c>
      <c r="B134" s="210" t="s">
        <v>756</v>
      </c>
      <c r="C134" s="211" t="s">
        <v>631</v>
      </c>
      <c r="D134" s="45">
        <v>543</v>
      </c>
      <c r="E134" s="45">
        <v>58</v>
      </c>
      <c r="F134" s="45">
        <v>7.63</v>
      </c>
      <c r="G134" s="45">
        <v>21</v>
      </c>
      <c r="H134" s="1" t="str">
        <f t="shared" si="0"/>
        <v>High Minute</v>
      </c>
      <c r="I134" s="1"/>
    </row>
    <row r="135" spans="1:9" ht="13">
      <c r="A135" s="209" t="s">
        <v>159</v>
      </c>
      <c r="B135" s="210" t="s">
        <v>625</v>
      </c>
      <c r="C135" s="207" t="s">
        <v>626</v>
      </c>
      <c r="D135" s="41">
        <v>120</v>
      </c>
      <c r="E135" s="41">
        <v>4</v>
      </c>
      <c r="F135" s="41">
        <v>5.04</v>
      </c>
      <c r="G135" s="41">
        <v>1</v>
      </c>
      <c r="H135" s="1" t="str">
        <f t="shared" si="0"/>
        <v>High Minute</v>
      </c>
      <c r="I135" s="1"/>
    </row>
    <row r="136" spans="1:9" ht="13">
      <c r="A136" s="209" t="s">
        <v>159</v>
      </c>
      <c r="B136" s="210" t="s">
        <v>625</v>
      </c>
      <c r="C136" s="207" t="s">
        <v>627</v>
      </c>
      <c r="D136" s="41">
        <v>150</v>
      </c>
      <c r="E136" s="41">
        <v>27</v>
      </c>
      <c r="F136" s="41">
        <v>9.2200000000000006</v>
      </c>
      <c r="G136" s="41">
        <v>11</v>
      </c>
      <c r="H136" s="1" t="str">
        <f t="shared" si="0"/>
        <v>High Minute</v>
      </c>
      <c r="I136" s="1"/>
    </row>
    <row r="137" spans="1:9" ht="13">
      <c r="A137" s="209" t="s">
        <v>159</v>
      </c>
      <c r="B137" s="210" t="s">
        <v>625</v>
      </c>
      <c r="C137" s="207" t="s">
        <v>628</v>
      </c>
      <c r="D137" s="41">
        <v>105</v>
      </c>
      <c r="E137" s="41">
        <v>19</v>
      </c>
      <c r="F137" s="41">
        <v>10.63</v>
      </c>
      <c r="G137" s="41">
        <v>8</v>
      </c>
      <c r="H137" s="1" t="str">
        <f t="shared" si="0"/>
        <v>High Minute</v>
      </c>
      <c r="I137" s="1"/>
    </row>
    <row r="138" spans="1:9" ht="13">
      <c r="A138" s="209" t="s">
        <v>159</v>
      </c>
      <c r="B138" s="210" t="s">
        <v>625</v>
      </c>
      <c r="C138" s="207" t="s">
        <v>629</v>
      </c>
      <c r="D138" s="41">
        <v>162</v>
      </c>
      <c r="E138" s="41">
        <v>28</v>
      </c>
      <c r="F138" s="41">
        <v>9.76</v>
      </c>
      <c r="G138" s="41">
        <v>19</v>
      </c>
      <c r="H138" s="1" t="str">
        <f t="shared" si="0"/>
        <v>High Minute</v>
      </c>
      <c r="I138" s="1"/>
    </row>
    <row r="139" spans="1:9" ht="13">
      <c r="A139" s="209" t="s">
        <v>159</v>
      </c>
      <c r="B139" s="210" t="s">
        <v>625</v>
      </c>
      <c r="C139" s="207" t="s">
        <v>630</v>
      </c>
      <c r="D139" s="41">
        <v>98</v>
      </c>
      <c r="E139" s="41">
        <v>10</v>
      </c>
      <c r="F139" s="41">
        <v>8.31</v>
      </c>
      <c r="G139" s="41">
        <v>5</v>
      </c>
      <c r="H139" s="1" t="str">
        <f t="shared" si="0"/>
        <v>High Minute</v>
      </c>
      <c r="I139" s="1"/>
    </row>
    <row r="140" spans="1:9" ht="13">
      <c r="A140" s="209" t="s">
        <v>159</v>
      </c>
      <c r="B140" s="210" t="s">
        <v>625</v>
      </c>
      <c r="C140" s="211" t="s">
        <v>631</v>
      </c>
      <c r="D140" s="45">
        <v>635</v>
      </c>
      <c r="E140" s="45">
        <v>88</v>
      </c>
      <c r="F140" s="45">
        <v>8.1</v>
      </c>
      <c r="G140" s="45">
        <v>44</v>
      </c>
      <c r="H140" s="1" t="str">
        <f t="shared" si="0"/>
        <v>High Minute</v>
      </c>
      <c r="I140" s="1"/>
    </row>
    <row r="141" spans="1:9" ht="13">
      <c r="A141" s="209" t="s">
        <v>159</v>
      </c>
      <c r="B141" s="210" t="s">
        <v>757</v>
      </c>
      <c r="C141" s="207" t="s">
        <v>626</v>
      </c>
      <c r="D141" s="41">
        <v>176</v>
      </c>
      <c r="E141" s="41">
        <v>6</v>
      </c>
      <c r="F141" s="41">
        <v>4.68</v>
      </c>
      <c r="G141" s="41">
        <v>1</v>
      </c>
      <c r="H141" s="1" t="str">
        <f t="shared" si="0"/>
        <v>High Minute</v>
      </c>
      <c r="I141" s="1"/>
    </row>
    <row r="142" spans="1:9" ht="13">
      <c r="A142" s="209" t="s">
        <v>159</v>
      </c>
      <c r="B142" s="210" t="s">
        <v>757</v>
      </c>
      <c r="C142" s="207" t="s">
        <v>627</v>
      </c>
      <c r="D142" s="41">
        <v>160</v>
      </c>
      <c r="E142" s="41">
        <v>29</v>
      </c>
      <c r="F142" s="41">
        <v>9.1</v>
      </c>
      <c r="G142" s="41">
        <v>12</v>
      </c>
      <c r="H142" s="1" t="str">
        <f t="shared" si="0"/>
        <v>High Minute</v>
      </c>
      <c r="I142" s="1"/>
    </row>
    <row r="143" spans="1:9" ht="13">
      <c r="A143" s="209" t="s">
        <v>159</v>
      </c>
      <c r="B143" s="210" t="s">
        <v>757</v>
      </c>
      <c r="C143" s="207" t="s">
        <v>628</v>
      </c>
      <c r="D143" s="41">
        <v>68</v>
      </c>
      <c r="E143" s="41">
        <v>15</v>
      </c>
      <c r="F143" s="41">
        <v>9.32</v>
      </c>
      <c r="G143" s="41">
        <v>4</v>
      </c>
      <c r="H143" s="1" t="str">
        <f t="shared" si="0"/>
        <v>High Minute</v>
      </c>
      <c r="I143" s="1"/>
    </row>
    <row r="144" spans="1:9" ht="13">
      <c r="A144" s="209" t="s">
        <v>159</v>
      </c>
      <c r="B144" s="210" t="s">
        <v>757</v>
      </c>
      <c r="C144" s="207" t="s">
        <v>629</v>
      </c>
      <c r="D144" s="41">
        <v>103</v>
      </c>
      <c r="E144" s="41">
        <v>20</v>
      </c>
      <c r="F144" s="41">
        <v>8.7899999999999991</v>
      </c>
      <c r="G144" s="41">
        <v>9</v>
      </c>
      <c r="H144" s="1" t="str">
        <f t="shared" si="0"/>
        <v>High Minute</v>
      </c>
      <c r="I144" s="1"/>
    </row>
    <row r="145" spans="1:9" ht="13">
      <c r="A145" s="209" t="s">
        <v>159</v>
      </c>
      <c r="B145" s="210" t="s">
        <v>757</v>
      </c>
      <c r="C145" s="207" t="s">
        <v>630</v>
      </c>
      <c r="D145" s="41">
        <v>86</v>
      </c>
      <c r="E145" s="41">
        <v>18</v>
      </c>
      <c r="F145" s="41">
        <v>9.36</v>
      </c>
      <c r="G145" s="41">
        <v>5</v>
      </c>
      <c r="H145" s="1" t="str">
        <f t="shared" si="0"/>
        <v>High Minute</v>
      </c>
      <c r="I145" s="1"/>
    </row>
    <row r="146" spans="1:9" ht="13">
      <c r="A146" s="209" t="s">
        <v>159</v>
      </c>
      <c r="B146" s="210" t="s">
        <v>757</v>
      </c>
      <c r="C146" s="211" t="s">
        <v>631</v>
      </c>
      <c r="D146" s="45">
        <v>593</v>
      </c>
      <c r="E146" s="45">
        <v>88</v>
      </c>
      <c r="F146" s="45">
        <v>7.12</v>
      </c>
      <c r="G146" s="45">
        <v>31</v>
      </c>
      <c r="H146" s="1" t="str">
        <f t="shared" si="0"/>
        <v>High Minute</v>
      </c>
      <c r="I146" s="1"/>
    </row>
    <row r="147" spans="1:9" ht="13">
      <c r="A147" s="209" t="s">
        <v>159</v>
      </c>
      <c r="B147" s="210" t="s">
        <v>121</v>
      </c>
      <c r="C147" s="207" t="s">
        <v>626</v>
      </c>
      <c r="D147" s="41">
        <v>108</v>
      </c>
      <c r="E147" s="41">
        <v>1</v>
      </c>
      <c r="F147" s="41">
        <v>4.0199999999999996</v>
      </c>
      <c r="G147" s="41">
        <v>1</v>
      </c>
      <c r="H147" s="1" t="str">
        <f t="shared" si="0"/>
        <v>High Minute</v>
      </c>
      <c r="I147" s="1"/>
    </row>
    <row r="148" spans="1:9" ht="13">
      <c r="A148" s="209" t="s">
        <v>159</v>
      </c>
      <c r="B148" s="210" t="s">
        <v>121</v>
      </c>
      <c r="C148" s="207" t="s">
        <v>627</v>
      </c>
      <c r="D148" s="41">
        <v>143</v>
      </c>
      <c r="E148" s="41">
        <v>18</v>
      </c>
      <c r="F148" s="41">
        <v>9.59</v>
      </c>
      <c r="G148" s="41">
        <v>9</v>
      </c>
      <c r="H148" s="1" t="str">
        <f t="shared" si="0"/>
        <v>High Minute</v>
      </c>
      <c r="I148" s="1"/>
    </row>
    <row r="149" spans="1:9" ht="13">
      <c r="A149" s="209" t="s">
        <v>159</v>
      </c>
      <c r="B149" s="210" t="s">
        <v>121</v>
      </c>
      <c r="C149" s="207" t="s">
        <v>628</v>
      </c>
      <c r="D149" s="41">
        <v>175</v>
      </c>
      <c r="E149" s="41">
        <v>36</v>
      </c>
      <c r="F149" s="41">
        <v>9.43</v>
      </c>
      <c r="G149" s="41">
        <v>10</v>
      </c>
      <c r="H149" s="1" t="str">
        <f t="shared" si="0"/>
        <v>High Minute</v>
      </c>
      <c r="I149" s="1"/>
    </row>
    <row r="150" spans="1:9" ht="13">
      <c r="A150" s="209" t="s">
        <v>159</v>
      </c>
      <c r="B150" s="210" t="s">
        <v>121</v>
      </c>
      <c r="C150" s="207" t="s">
        <v>629</v>
      </c>
      <c r="D150" s="41">
        <v>149</v>
      </c>
      <c r="E150" s="41">
        <v>28</v>
      </c>
      <c r="F150" s="41">
        <v>10.1</v>
      </c>
      <c r="G150" s="41">
        <v>18</v>
      </c>
      <c r="H150" s="1" t="str">
        <f t="shared" si="0"/>
        <v>High Minute</v>
      </c>
      <c r="I150" s="1"/>
    </row>
    <row r="151" spans="1:9" ht="13">
      <c r="A151" s="209" t="s">
        <v>159</v>
      </c>
      <c r="B151" s="210" t="s">
        <v>121</v>
      </c>
      <c r="C151" s="207" t="s">
        <v>630</v>
      </c>
      <c r="D151" s="41">
        <v>118</v>
      </c>
      <c r="E151" s="41">
        <v>24</v>
      </c>
      <c r="F151" s="41">
        <v>8.6300000000000008</v>
      </c>
      <c r="G151" s="41">
        <v>11</v>
      </c>
      <c r="H151" s="1" t="str">
        <f t="shared" si="0"/>
        <v>High Minute</v>
      </c>
      <c r="I151" s="1"/>
    </row>
    <row r="152" spans="1:9" ht="13">
      <c r="A152" s="209" t="s">
        <v>159</v>
      </c>
      <c r="B152" s="210" t="s">
        <v>121</v>
      </c>
      <c r="C152" s="211" t="s">
        <v>631</v>
      </c>
      <c r="D152" s="45">
        <v>693</v>
      </c>
      <c r="E152" s="45">
        <v>107</v>
      </c>
      <c r="F152" s="45">
        <v>7.8</v>
      </c>
      <c r="G152" s="45">
        <v>49</v>
      </c>
      <c r="H152" s="1" t="str">
        <f t="shared" si="0"/>
        <v>High Minute</v>
      </c>
      <c r="I152" s="1"/>
    </row>
    <row r="153" spans="1:9" ht="13">
      <c r="A153" s="209" t="s">
        <v>638</v>
      </c>
      <c r="B153" s="210" t="s">
        <v>625</v>
      </c>
      <c r="C153" s="207" t="s">
        <v>626</v>
      </c>
      <c r="D153" s="41">
        <v>130</v>
      </c>
      <c r="E153" s="41">
        <v>1</v>
      </c>
      <c r="F153" s="41">
        <v>5.45</v>
      </c>
      <c r="G153" s="41">
        <v>3</v>
      </c>
      <c r="H153" s="1" t="str">
        <f t="shared" si="0"/>
        <v>High Minute</v>
      </c>
      <c r="I153" s="1"/>
    </row>
    <row r="154" spans="1:9" ht="13">
      <c r="A154" s="209" t="s">
        <v>638</v>
      </c>
      <c r="B154" s="210" t="s">
        <v>625</v>
      </c>
      <c r="C154" s="207" t="s">
        <v>627</v>
      </c>
      <c r="D154" s="41">
        <v>137</v>
      </c>
      <c r="E154" s="41">
        <v>33</v>
      </c>
      <c r="F154" s="41">
        <v>13.72</v>
      </c>
      <c r="G154" s="41">
        <v>25</v>
      </c>
      <c r="H154" s="1" t="str">
        <f t="shared" si="0"/>
        <v>High Minute</v>
      </c>
      <c r="I154" s="1"/>
    </row>
    <row r="155" spans="1:9" ht="13">
      <c r="A155" s="209" t="s">
        <v>638</v>
      </c>
      <c r="B155" s="210" t="s">
        <v>625</v>
      </c>
      <c r="C155" s="207" t="s">
        <v>628</v>
      </c>
      <c r="D155" s="41">
        <v>48</v>
      </c>
      <c r="E155" s="41">
        <v>12</v>
      </c>
      <c r="F155" s="41">
        <v>10.119999999999999</v>
      </c>
      <c r="G155" s="41">
        <v>9</v>
      </c>
      <c r="H155" s="1" t="str">
        <f t="shared" si="0"/>
        <v>High Minute</v>
      </c>
      <c r="I155" s="1"/>
    </row>
    <row r="156" spans="1:9" ht="13">
      <c r="A156" s="209" t="s">
        <v>638</v>
      </c>
      <c r="B156" s="210" t="s">
        <v>625</v>
      </c>
      <c r="C156" s="207" t="s">
        <v>629</v>
      </c>
      <c r="D156" s="41">
        <v>87</v>
      </c>
      <c r="E156" s="41">
        <v>18</v>
      </c>
      <c r="F156" s="41">
        <v>11.3</v>
      </c>
      <c r="G156" s="41">
        <v>13</v>
      </c>
      <c r="H156" s="1" t="str">
        <f t="shared" si="0"/>
        <v>High Minute</v>
      </c>
      <c r="I156" s="1"/>
    </row>
    <row r="157" spans="1:9" ht="13">
      <c r="A157" s="209" t="s">
        <v>638</v>
      </c>
      <c r="B157" s="210" t="s">
        <v>625</v>
      </c>
      <c r="C157" s="207" t="s">
        <v>630</v>
      </c>
      <c r="D157" s="41">
        <v>127</v>
      </c>
      <c r="E157" s="41">
        <v>25</v>
      </c>
      <c r="F157" s="41">
        <v>9.8000000000000007</v>
      </c>
      <c r="G157" s="41">
        <v>21</v>
      </c>
      <c r="H157" s="1" t="str">
        <f t="shared" si="0"/>
        <v>High Minute</v>
      </c>
      <c r="I157" s="1"/>
    </row>
    <row r="158" spans="1:9" ht="13">
      <c r="A158" s="209" t="s">
        <v>638</v>
      </c>
      <c r="B158" s="210" t="s">
        <v>625</v>
      </c>
      <c r="C158" s="211" t="s">
        <v>631</v>
      </c>
      <c r="D158" s="45">
        <v>530</v>
      </c>
      <c r="E158" s="45">
        <v>89</v>
      </c>
      <c r="F158" s="45">
        <v>8.94</v>
      </c>
      <c r="G158" s="45">
        <v>71</v>
      </c>
      <c r="H158" s="1" t="str">
        <f t="shared" si="0"/>
        <v>High Minute</v>
      </c>
      <c r="I158" s="1"/>
    </row>
    <row r="159" spans="1:9" ht="13">
      <c r="A159" s="209" t="s">
        <v>638</v>
      </c>
      <c r="B159" s="210" t="s">
        <v>757</v>
      </c>
      <c r="C159" s="207" t="s">
        <v>626</v>
      </c>
      <c r="D159" s="41">
        <v>155</v>
      </c>
      <c r="E159" s="41">
        <v>1</v>
      </c>
      <c r="F159" s="41">
        <v>4.1399999999999997</v>
      </c>
      <c r="G159" s="41">
        <v>4</v>
      </c>
      <c r="H159" s="1" t="str">
        <f t="shared" si="0"/>
        <v>High Minute</v>
      </c>
      <c r="I159" s="1"/>
    </row>
    <row r="160" spans="1:9" ht="13">
      <c r="A160" s="209" t="s">
        <v>638</v>
      </c>
      <c r="B160" s="210" t="s">
        <v>757</v>
      </c>
      <c r="C160" s="207" t="s">
        <v>627</v>
      </c>
      <c r="D160" s="41">
        <v>144</v>
      </c>
      <c r="E160" s="41">
        <v>34</v>
      </c>
      <c r="F160" s="41">
        <v>11.13</v>
      </c>
      <c r="G160" s="41">
        <v>17</v>
      </c>
      <c r="H160" s="1" t="str">
        <f t="shared" si="0"/>
        <v>High Minute</v>
      </c>
      <c r="I160" s="1"/>
    </row>
    <row r="161" spans="1:9" ht="13">
      <c r="A161" s="209" t="s">
        <v>638</v>
      </c>
      <c r="B161" s="210" t="s">
        <v>757</v>
      </c>
      <c r="C161" s="207" t="s">
        <v>628</v>
      </c>
      <c r="D161" s="41">
        <v>123</v>
      </c>
      <c r="E161" s="41">
        <v>33</v>
      </c>
      <c r="F161" s="41">
        <v>10.43</v>
      </c>
      <c r="G161" s="41">
        <v>25</v>
      </c>
      <c r="H161" s="1" t="str">
        <f t="shared" si="0"/>
        <v>High Minute</v>
      </c>
      <c r="I161" s="1"/>
    </row>
    <row r="162" spans="1:9" ht="13">
      <c r="A162" s="209" t="s">
        <v>638</v>
      </c>
      <c r="B162" s="210" t="s">
        <v>757</v>
      </c>
      <c r="C162" s="207" t="s">
        <v>629</v>
      </c>
      <c r="D162" s="41">
        <v>182</v>
      </c>
      <c r="E162" s="41">
        <v>39</v>
      </c>
      <c r="F162" s="41">
        <v>9.9700000000000006</v>
      </c>
      <c r="G162" s="41">
        <v>29</v>
      </c>
      <c r="H162" s="1" t="str">
        <f t="shared" si="0"/>
        <v>High Minute</v>
      </c>
      <c r="I162" s="1"/>
    </row>
    <row r="163" spans="1:9" ht="13">
      <c r="A163" s="209" t="s">
        <v>638</v>
      </c>
      <c r="B163" s="210" t="s">
        <v>757</v>
      </c>
      <c r="C163" s="207" t="s">
        <v>630</v>
      </c>
      <c r="D163" s="41">
        <v>95</v>
      </c>
      <c r="E163" s="41">
        <v>23</v>
      </c>
      <c r="F163" s="41">
        <v>10.87</v>
      </c>
      <c r="G163" s="41">
        <v>13</v>
      </c>
      <c r="H163" s="1" t="str">
        <f t="shared" si="0"/>
        <v>High Minute</v>
      </c>
      <c r="I163" s="1"/>
    </row>
    <row r="164" spans="1:9" ht="13">
      <c r="A164" s="209" t="s">
        <v>638</v>
      </c>
      <c r="B164" s="210" t="s">
        <v>757</v>
      </c>
      <c r="C164" s="211" t="s">
        <v>631</v>
      </c>
      <c r="D164" s="45">
        <v>699</v>
      </c>
      <c r="E164" s="45">
        <v>130</v>
      </c>
      <c r="F164" s="45">
        <v>7.84</v>
      </c>
      <c r="G164" s="45">
        <v>88</v>
      </c>
      <c r="H164" s="1" t="str">
        <f t="shared" si="0"/>
        <v>High Minute</v>
      </c>
      <c r="I164" s="1"/>
    </row>
    <row r="165" spans="1:9" ht="13">
      <c r="A165" s="209" t="s">
        <v>638</v>
      </c>
      <c r="B165" s="210" t="s">
        <v>121</v>
      </c>
      <c r="C165" s="207" t="s">
        <v>626</v>
      </c>
      <c r="D165" s="41">
        <v>115</v>
      </c>
      <c r="E165" s="41">
        <v>1</v>
      </c>
      <c r="F165" s="41">
        <v>4.28</v>
      </c>
      <c r="G165" s="41">
        <v>2</v>
      </c>
      <c r="H165" s="1" t="str">
        <f t="shared" si="0"/>
        <v>High Minute</v>
      </c>
      <c r="I165" s="1"/>
    </row>
    <row r="166" spans="1:9" ht="13">
      <c r="A166" s="209" t="s">
        <v>638</v>
      </c>
      <c r="B166" s="210" t="s">
        <v>121</v>
      </c>
      <c r="C166" s="207" t="s">
        <v>629</v>
      </c>
      <c r="D166" s="41">
        <v>93</v>
      </c>
      <c r="E166" s="41">
        <v>21</v>
      </c>
      <c r="F166" s="41">
        <v>12.68</v>
      </c>
      <c r="G166" s="41">
        <v>11</v>
      </c>
      <c r="H166" s="1" t="str">
        <f t="shared" si="0"/>
        <v>High Minute</v>
      </c>
      <c r="I166" s="1"/>
    </row>
    <row r="167" spans="1:9" ht="13">
      <c r="A167" s="209" t="s">
        <v>638</v>
      </c>
      <c r="B167" s="210" t="s">
        <v>121</v>
      </c>
      <c r="C167" s="207" t="s">
        <v>630</v>
      </c>
      <c r="D167" s="41">
        <v>151</v>
      </c>
      <c r="E167" s="41">
        <v>25</v>
      </c>
      <c r="F167" s="41">
        <v>8.35</v>
      </c>
      <c r="G167" s="41">
        <v>22</v>
      </c>
      <c r="H167" s="1" t="str">
        <f t="shared" si="0"/>
        <v>High Minute</v>
      </c>
      <c r="I167" s="1"/>
    </row>
    <row r="168" spans="1:9" ht="13">
      <c r="A168" s="209" t="s">
        <v>638</v>
      </c>
      <c r="B168" s="210" t="s">
        <v>121</v>
      </c>
      <c r="C168" s="211" t="s">
        <v>631</v>
      </c>
      <c r="D168" s="45">
        <v>359</v>
      </c>
      <c r="E168" s="45">
        <v>47</v>
      </c>
      <c r="F168" s="45">
        <v>6.86</v>
      </c>
      <c r="G168" s="45">
        <v>35</v>
      </c>
      <c r="H168" s="1" t="str">
        <f t="shared" si="0"/>
        <v>High Minute</v>
      </c>
      <c r="I168" s="1"/>
    </row>
    <row r="169" spans="1:9" ht="13">
      <c r="A169" s="209" t="s">
        <v>589</v>
      </c>
      <c r="B169" s="210" t="s">
        <v>756</v>
      </c>
      <c r="C169" s="207" t="s">
        <v>626</v>
      </c>
      <c r="D169" s="41">
        <v>174</v>
      </c>
      <c r="E169" s="41">
        <v>0</v>
      </c>
      <c r="F169" s="41">
        <v>5.03</v>
      </c>
      <c r="G169" s="41">
        <v>30</v>
      </c>
      <c r="H169" s="1" t="str">
        <f t="shared" si="0"/>
        <v>Posts</v>
      </c>
      <c r="I169" s="1"/>
    </row>
    <row r="170" spans="1:9" ht="13">
      <c r="A170" s="209" t="s">
        <v>589</v>
      </c>
      <c r="B170" s="210" t="s">
        <v>756</v>
      </c>
      <c r="C170" s="207" t="s">
        <v>627</v>
      </c>
      <c r="D170" s="41">
        <v>16</v>
      </c>
      <c r="E170" s="41">
        <v>4</v>
      </c>
      <c r="F170" s="41">
        <v>12.54</v>
      </c>
      <c r="G170" s="41">
        <v>8</v>
      </c>
      <c r="H170" s="1" t="str">
        <f t="shared" si="0"/>
        <v>Posts</v>
      </c>
      <c r="I170" s="1"/>
    </row>
    <row r="171" spans="1:9" ht="13">
      <c r="A171" s="209" t="s">
        <v>589</v>
      </c>
      <c r="B171" s="210" t="s">
        <v>756</v>
      </c>
      <c r="C171" s="207" t="s">
        <v>628</v>
      </c>
      <c r="D171" s="41">
        <v>43</v>
      </c>
      <c r="E171" s="41">
        <v>6</v>
      </c>
      <c r="F171" s="41">
        <v>10.5</v>
      </c>
      <c r="G171" s="41">
        <v>6</v>
      </c>
      <c r="H171" s="1" t="str">
        <f t="shared" si="0"/>
        <v>Posts</v>
      </c>
      <c r="I171" s="1"/>
    </row>
    <row r="172" spans="1:9" ht="13">
      <c r="A172" s="209" t="s">
        <v>589</v>
      </c>
      <c r="B172" s="210" t="s">
        <v>756</v>
      </c>
      <c r="C172" s="207" t="s">
        <v>629</v>
      </c>
      <c r="D172" s="41">
        <v>18</v>
      </c>
      <c r="E172" s="41">
        <v>3</v>
      </c>
      <c r="F172" s="41">
        <v>7.95</v>
      </c>
      <c r="G172" s="41">
        <v>2</v>
      </c>
      <c r="H172" s="1" t="str">
        <f t="shared" si="0"/>
        <v>Posts</v>
      </c>
      <c r="I172" s="1"/>
    </row>
    <row r="173" spans="1:9" ht="13">
      <c r="A173" s="209" t="s">
        <v>589</v>
      </c>
      <c r="B173" s="210" t="s">
        <v>756</v>
      </c>
      <c r="C173" s="207" t="s">
        <v>630</v>
      </c>
      <c r="D173" s="41">
        <v>100</v>
      </c>
      <c r="E173" s="41">
        <v>11</v>
      </c>
      <c r="F173" s="41">
        <v>8.8000000000000007</v>
      </c>
      <c r="G173" s="41">
        <v>12</v>
      </c>
      <c r="H173" s="1" t="str">
        <f t="shared" si="0"/>
        <v>Posts</v>
      </c>
      <c r="I173" s="1"/>
    </row>
    <row r="174" spans="1:9" ht="13">
      <c r="A174" s="209" t="s">
        <v>589</v>
      </c>
      <c r="B174" s="210" t="s">
        <v>756</v>
      </c>
      <c r="C174" s="211" t="s">
        <v>631</v>
      </c>
      <c r="D174" s="45">
        <v>350</v>
      </c>
      <c r="E174" s="45">
        <v>24</v>
      </c>
      <c r="F174" s="45">
        <v>6.55</v>
      </c>
      <c r="G174" s="45">
        <v>58</v>
      </c>
      <c r="H174" s="1" t="str">
        <f t="shared" si="0"/>
        <v>Posts</v>
      </c>
      <c r="I174" s="1"/>
    </row>
    <row r="175" spans="1:9" ht="13">
      <c r="A175" s="209" t="s">
        <v>589</v>
      </c>
      <c r="B175" s="210" t="s">
        <v>757</v>
      </c>
      <c r="C175" s="207" t="s">
        <v>626</v>
      </c>
      <c r="D175" s="41">
        <v>154</v>
      </c>
      <c r="E175" s="41">
        <v>0</v>
      </c>
      <c r="F175" s="41">
        <v>4.1100000000000003</v>
      </c>
      <c r="G175" s="41">
        <v>20</v>
      </c>
      <c r="H175" s="1" t="str">
        <f t="shared" si="0"/>
        <v>Posts</v>
      </c>
      <c r="I175" s="1"/>
    </row>
    <row r="176" spans="1:9" ht="13">
      <c r="A176" s="209" t="s">
        <v>589</v>
      </c>
      <c r="B176" s="210" t="s">
        <v>757</v>
      </c>
      <c r="C176" s="207" t="s">
        <v>628</v>
      </c>
      <c r="D176" s="41">
        <v>57</v>
      </c>
      <c r="E176" s="41">
        <v>10</v>
      </c>
      <c r="F176" s="41">
        <v>7.69</v>
      </c>
      <c r="G176" s="41">
        <v>3</v>
      </c>
      <c r="H176" s="1" t="str">
        <f t="shared" si="0"/>
        <v>Posts</v>
      </c>
      <c r="I176" s="1"/>
    </row>
    <row r="177" spans="1:9" ht="13">
      <c r="A177" s="209" t="s">
        <v>589</v>
      </c>
      <c r="B177" s="210" t="s">
        <v>757</v>
      </c>
      <c r="C177" s="207" t="s">
        <v>630</v>
      </c>
      <c r="D177" s="41">
        <v>32</v>
      </c>
      <c r="E177" s="41">
        <v>4</v>
      </c>
      <c r="F177" s="41">
        <v>9.4600000000000009</v>
      </c>
      <c r="G177" s="41">
        <v>3</v>
      </c>
      <c r="H177" s="1" t="str">
        <f t="shared" si="0"/>
        <v>Posts</v>
      </c>
      <c r="I177" s="1"/>
    </row>
    <row r="178" spans="1:9" ht="13">
      <c r="A178" s="209" t="s">
        <v>589</v>
      </c>
      <c r="B178" s="210" t="s">
        <v>757</v>
      </c>
      <c r="C178" s="211" t="s">
        <v>631</v>
      </c>
      <c r="D178" s="45">
        <v>243</v>
      </c>
      <c r="E178" s="45">
        <v>14</v>
      </c>
      <c r="F178" s="45">
        <v>5.03</v>
      </c>
      <c r="G178" s="45">
        <v>26</v>
      </c>
      <c r="H178" s="1" t="str">
        <f t="shared" si="0"/>
        <v>Posts</v>
      </c>
      <c r="I178" s="1"/>
    </row>
    <row r="179" spans="1:9" ht="13">
      <c r="A179" s="209" t="s">
        <v>589</v>
      </c>
      <c r="B179" s="210" t="s">
        <v>121</v>
      </c>
      <c r="C179" s="207" t="s">
        <v>626</v>
      </c>
      <c r="D179" s="41">
        <v>115</v>
      </c>
      <c r="E179" s="41">
        <v>0</v>
      </c>
      <c r="F179" s="41">
        <v>4.26</v>
      </c>
      <c r="G179" s="41">
        <v>13</v>
      </c>
      <c r="H179" s="1" t="str">
        <f t="shared" si="0"/>
        <v>Posts</v>
      </c>
      <c r="I179" s="1"/>
    </row>
    <row r="180" spans="1:9" ht="13">
      <c r="A180" s="209" t="s">
        <v>589</v>
      </c>
      <c r="B180" s="210" t="s">
        <v>121</v>
      </c>
      <c r="C180" s="207" t="s">
        <v>627</v>
      </c>
      <c r="D180" s="41">
        <v>35</v>
      </c>
      <c r="E180" s="41">
        <v>7</v>
      </c>
      <c r="F180" s="41">
        <v>9.6300000000000008</v>
      </c>
      <c r="G180" s="41">
        <v>3</v>
      </c>
      <c r="H180" s="1" t="str">
        <f t="shared" si="0"/>
        <v>Posts</v>
      </c>
      <c r="I180" s="1"/>
    </row>
    <row r="181" spans="1:9" ht="13">
      <c r="A181" s="209" t="s">
        <v>589</v>
      </c>
      <c r="B181" s="210" t="s">
        <v>121</v>
      </c>
      <c r="C181" s="207" t="s">
        <v>628</v>
      </c>
      <c r="D181" s="41">
        <v>38</v>
      </c>
      <c r="E181" s="41">
        <v>12</v>
      </c>
      <c r="F181" s="41">
        <v>11</v>
      </c>
      <c r="G181" s="41">
        <v>9</v>
      </c>
      <c r="H181" s="1" t="str">
        <f t="shared" si="0"/>
        <v>Posts</v>
      </c>
      <c r="I181" s="1"/>
    </row>
    <row r="182" spans="1:9" ht="13">
      <c r="A182" s="209" t="s">
        <v>589</v>
      </c>
      <c r="B182" s="210" t="s">
        <v>121</v>
      </c>
      <c r="C182" s="207" t="s">
        <v>630</v>
      </c>
      <c r="D182" s="41">
        <v>89</v>
      </c>
      <c r="E182" s="41">
        <v>14</v>
      </c>
      <c r="F182" s="41">
        <v>7.83</v>
      </c>
      <c r="G182" s="41">
        <v>12</v>
      </c>
      <c r="H182" s="1" t="str">
        <f t="shared" si="0"/>
        <v>Posts</v>
      </c>
      <c r="I182" s="1"/>
    </row>
    <row r="183" spans="1:9" ht="13">
      <c r="A183" s="209" t="s">
        <v>589</v>
      </c>
      <c r="B183" s="210" t="s">
        <v>121</v>
      </c>
      <c r="C183" s="211" t="s">
        <v>631</v>
      </c>
      <c r="D183" s="45">
        <v>276</v>
      </c>
      <c r="E183" s="45">
        <v>33</v>
      </c>
      <c r="F183" s="45">
        <v>6.09</v>
      </c>
      <c r="G183" s="45">
        <v>37</v>
      </c>
      <c r="H183" s="1" t="str">
        <f t="shared" si="0"/>
        <v>Posts</v>
      </c>
      <c r="I183" s="1"/>
    </row>
    <row r="184" spans="1:9" ht="13">
      <c r="A184" s="209" t="s">
        <v>590</v>
      </c>
      <c r="B184" s="210" t="s">
        <v>756</v>
      </c>
      <c r="C184" s="207" t="s">
        <v>626</v>
      </c>
      <c r="D184" s="41">
        <v>167</v>
      </c>
      <c r="E184" s="41">
        <v>3</v>
      </c>
      <c r="F184" s="41">
        <v>4.83</v>
      </c>
      <c r="G184" s="41">
        <v>8</v>
      </c>
      <c r="H184" s="1" t="str">
        <f t="shared" si="0"/>
        <v>Posts</v>
      </c>
      <c r="I184" s="1"/>
    </row>
    <row r="185" spans="1:9" ht="13">
      <c r="A185" s="209" t="s">
        <v>590</v>
      </c>
      <c r="B185" s="210" t="s">
        <v>756</v>
      </c>
      <c r="C185" s="207" t="s">
        <v>627</v>
      </c>
      <c r="D185" s="41">
        <v>59</v>
      </c>
      <c r="E185" s="41">
        <v>8</v>
      </c>
      <c r="F185" s="41">
        <v>10.97</v>
      </c>
      <c r="G185" s="41">
        <v>8</v>
      </c>
      <c r="H185" s="1" t="str">
        <f t="shared" si="0"/>
        <v>Posts</v>
      </c>
      <c r="I185" s="1"/>
    </row>
    <row r="186" spans="1:9" ht="13">
      <c r="A186" s="209" t="s">
        <v>590</v>
      </c>
      <c r="B186" s="210" t="s">
        <v>756</v>
      </c>
      <c r="C186" s="207" t="s">
        <v>628</v>
      </c>
      <c r="D186" s="41">
        <v>97</v>
      </c>
      <c r="E186" s="41">
        <v>17</v>
      </c>
      <c r="F186" s="41">
        <v>9.1300000000000008</v>
      </c>
      <c r="G186" s="41">
        <v>7</v>
      </c>
      <c r="H186" s="1" t="str">
        <f t="shared" si="0"/>
        <v>Posts</v>
      </c>
      <c r="I186" s="1"/>
    </row>
    <row r="187" spans="1:9" ht="13">
      <c r="A187" s="209" t="s">
        <v>590</v>
      </c>
      <c r="B187" s="210" t="s">
        <v>756</v>
      </c>
      <c r="C187" s="207" t="s">
        <v>629</v>
      </c>
      <c r="D187" s="41">
        <v>65</v>
      </c>
      <c r="E187" s="41">
        <v>12</v>
      </c>
      <c r="F187" s="41">
        <v>8.14</v>
      </c>
      <c r="G187" s="41">
        <v>5</v>
      </c>
      <c r="H187" s="1" t="str">
        <f t="shared" si="0"/>
        <v>Posts</v>
      </c>
      <c r="I187" s="1"/>
    </row>
    <row r="188" spans="1:9" ht="13">
      <c r="A188" s="209" t="s">
        <v>590</v>
      </c>
      <c r="B188" s="210" t="s">
        <v>756</v>
      </c>
      <c r="C188" s="207" t="s">
        <v>630</v>
      </c>
      <c r="D188" s="41">
        <v>23</v>
      </c>
      <c r="E188" s="41">
        <v>2</v>
      </c>
      <c r="F188" s="41">
        <v>9.81</v>
      </c>
      <c r="G188" s="41">
        <v>0</v>
      </c>
      <c r="H188" s="1" t="str">
        <f t="shared" si="0"/>
        <v>Posts</v>
      </c>
      <c r="I188" s="1"/>
    </row>
    <row r="189" spans="1:9" ht="13">
      <c r="A189" s="209" t="s">
        <v>590</v>
      </c>
      <c r="B189" s="210" t="s">
        <v>756</v>
      </c>
      <c r="C189" s="211" t="s">
        <v>631</v>
      </c>
      <c r="D189" s="45">
        <v>411</v>
      </c>
      <c r="E189" s="45">
        <v>42</v>
      </c>
      <c r="F189" s="45">
        <v>6.75</v>
      </c>
      <c r="G189" s="45">
        <v>28</v>
      </c>
      <c r="H189" s="1" t="str">
        <f t="shared" si="0"/>
        <v>Posts</v>
      </c>
      <c r="I189" s="1"/>
    </row>
    <row r="190" spans="1:9" ht="13">
      <c r="A190" s="209" t="s">
        <v>590</v>
      </c>
      <c r="B190" s="210" t="s">
        <v>625</v>
      </c>
      <c r="C190" s="207" t="s">
        <v>626</v>
      </c>
      <c r="D190" s="41">
        <v>114</v>
      </c>
      <c r="E190" s="41">
        <v>0</v>
      </c>
      <c r="F190" s="41">
        <v>4.79</v>
      </c>
      <c r="G190" s="41">
        <v>11</v>
      </c>
      <c r="H190" s="1" t="str">
        <f t="shared" si="0"/>
        <v>Posts</v>
      </c>
      <c r="I190" s="1"/>
    </row>
    <row r="191" spans="1:9" ht="13">
      <c r="A191" s="209" t="s">
        <v>590</v>
      </c>
      <c r="B191" s="210" t="s">
        <v>625</v>
      </c>
      <c r="C191" s="207" t="s">
        <v>627</v>
      </c>
      <c r="D191" s="41">
        <v>91</v>
      </c>
      <c r="E191" s="41">
        <v>11</v>
      </c>
      <c r="F191" s="41">
        <v>11.11</v>
      </c>
      <c r="G191" s="41">
        <v>6</v>
      </c>
      <c r="H191" s="1" t="str">
        <f t="shared" si="0"/>
        <v>Posts</v>
      </c>
      <c r="I191" s="1"/>
    </row>
    <row r="192" spans="1:9" ht="13">
      <c r="A192" s="209" t="s">
        <v>590</v>
      </c>
      <c r="B192" s="210" t="s">
        <v>625</v>
      </c>
      <c r="C192" s="207" t="s">
        <v>628</v>
      </c>
      <c r="D192" s="41">
        <v>87</v>
      </c>
      <c r="E192" s="41">
        <v>12</v>
      </c>
      <c r="F192" s="41">
        <v>9.33</v>
      </c>
      <c r="G192" s="41">
        <v>12</v>
      </c>
      <c r="H192" s="1" t="str">
        <f t="shared" si="0"/>
        <v>Posts</v>
      </c>
      <c r="I192" s="1"/>
    </row>
    <row r="193" spans="1:9" ht="13">
      <c r="A193" s="209" t="s">
        <v>590</v>
      </c>
      <c r="B193" s="210" t="s">
        <v>625</v>
      </c>
      <c r="C193" s="207" t="s">
        <v>629</v>
      </c>
      <c r="D193" s="41">
        <v>142</v>
      </c>
      <c r="E193" s="41">
        <v>22</v>
      </c>
      <c r="F193" s="41">
        <v>8.9700000000000006</v>
      </c>
      <c r="G193" s="41">
        <v>13</v>
      </c>
      <c r="H193" s="1" t="str">
        <f t="shared" si="0"/>
        <v>Posts</v>
      </c>
      <c r="I193" s="1"/>
    </row>
    <row r="194" spans="1:9" ht="13">
      <c r="A194" s="209" t="s">
        <v>590</v>
      </c>
      <c r="B194" s="210" t="s">
        <v>625</v>
      </c>
      <c r="C194" s="207" t="s">
        <v>630</v>
      </c>
      <c r="D194" s="41">
        <v>125</v>
      </c>
      <c r="E194" s="41">
        <v>12</v>
      </c>
      <c r="F194" s="41">
        <v>7.38</v>
      </c>
      <c r="G194" s="41">
        <v>8</v>
      </c>
      <c r="H194" s="1" t="str">
        <f t="shared" si="0"/>
        <v>Posts</v>
      </c>
      <c r="I194" s="1"/>
    </row>
    <row r="195" spans="1:9" ht="13">
      <c r="A195" s="209" t="s">
        <v>590</v>
      </c>
      <c r="B195" s="210" t="s">
        <v>625</v>
      </c>
      <c r="C195" s="211" t="s">
        <v>631</v>
      </c>
      <c r="D195" s="45">
        <v>558</v>
      </c>
      <c r="E195" s="45">
        <v>57</v>
      </c>
      <c r="F195" s="45">
        <v>7.54</v>
      </c>
      <c r="G195" s="45">
        <v>50</v>
      </c>
      <c r="H195" s="1" t="str">
        <f t="shared" si="0"/>
        <v>Posts</v>
      </c>
      <c r="I195" s="1"/>
    </row>
    <row r="196" spans="1:9" ht="13">
      <c r="A196" s="209" t="s">
        <v>590</v>
      </c>
      <c r="B196" s="210" t="s">
        <v>757</v>
      </c>
      <c r="C196" s="207" t="s">
        <v>626</v>
      </c>
      <c r="D196" s="41">
        <v>136</v>
      </c>
      <c r="E196" s="41">
        <v>3</v>
      </c>
      <c r="F196" s="41">
        <v>3.62</v>
      </c>
      <c r="G196" s="41">
        <v>4</v>
      </c>
      <c r="H196" s="1" t="str">
        <f t="shared" si="0"/>
        <v>Posts</v>
      </c>
      <c r="I196" s="1"/>
    </row>
    <row r="197" spans="1:9" ht="13">
      <c r="A197" s="209" t="s">
        <v>590</v>
      </c>
      <c r="B197" s="210" t="s">
        <v>757</v>
      </c>
      <c r="C197" s="207" t="s">
        <v>627</v>
      </c>
      <c r="D197" s="41">
        <v>85</v>
      </c>
      <c r="E197" s="41">
        <v>17</v>
      </c>
      <c r="F197" s="41">
        <v>9.6300000000000008</v>
      </c>
      <c r="G197" s="41">
        <v>6</v>
      </c>
      <c r="H197" s="1" t="str">
        <f t="shared" si="0"/>
        <v>Posts</v>
      </c>
      <c r="I197" s="1"/>
    </row>
    <row r="198" spans="1:9" ht="13">
      <c r="A198" s="209" t="s">
        <v>590</v>
      </c>
      <c r="B198" s="210" t="s">
        <v>757</v>
      </c>
      <c r="C198" s="207" t="s">
        <v>628</v>
      </c>
      <c r="D198" s="41">
        <v>35</v>
      </c>
      <c r="E198" s="41">
        <v>5</v>
      </c>
      <c r="F198" s="41">
        <v>6.98</v>
      </c>
      <c r="G198" s="41">
        <v>6</v>
      </c>
      <c r="H198" s="1" t="str">
        <f t="shared" si="0"/>
        <v>Posts</v>
      </c>
      <c r="I198" s="1"/>
    </row>
    <row r="199" spans="1:9" ht="13">
      <c r="A199" s="209" t="s">
        <v>590</v>
      </c>
      <c r="B199" s="210" t="s">
        <v>757</v>
      </c>
      <c r="C199" s="207" t="s">
        <v>629</v>
      </c>
      <c r="D199" s="41">
        <v>96</v>
      </c>
      <c r="E199" s="41">
        <v>14</v>
      </c>
      <c r="F199" s="41">
        <v>8.2899999999999991</v>
      </c>
      <c r="G199" s="41">
        <v>14</v>
      </c>
      <c r="H199" s="1" t="str">
        <f t="shared" si="0"/>
        <v>Posts</v>
      </c>
      <c r="I199" s="1"/>
    </row>
    <row r="200" spans="1:9" ht="13">
      <c r="A200" s="209" t="s">
        <v>590</v>
      </c>
      <c r="B200" s="210" t="s">
        <v>757</v>
      </c>
      <c r="C200" s="207" t="s">
        <v>630</v>
      </c>
      <c r="D200" s="41">
        <v>101</v>
      </c>
      <c r="E200" s="41">
        <v>9</v>
      </c>
      <c r="F200" s="41">
        <v>9.1300000000000008</v>
      </c>
      <c r="G200" s="41">
        <v>12</v>
      </c>
      <c r="H200" s="1" t="str">
        <f t="shared" si="0"/>
        <v>Posts</v>
      </c>
      <c r="I200" s="1"/>
    </row>
    <row r="201" spans="1:9" ht="13">
      <c r="A201" s="209" t="s">
        <v>590</v>
      </c>
      <c r="B201" s="210" t="s">
        <v>757</v>
      </c>
      <c r="C201" s="211" t="s">
        <v>631</v>
      </c>
      <c r="D201" s="45">
        <v>453</v>
      </c>
      <c r="E201" s="45">
        <v>48</v>
      </c>
      <c r="F201" s="45">
        <v>6.12</v>
      </c>
      <c r="G201" s="45">
        <v>42</v>
      </c>
      <c r="H201" s="1" t="str">
        <f t="shared" si="0"/>
        <v>Posts</v>
      </c>
      <c r="I201" s="1"/>
    </row>
    <row r="202" spans="1:9" ht="13">
      <c r="A202" s="209" t="s">
        <v>590</v>
      </c>
      <c r="B202" s="210" t="s">
        <v>121</v>
      </c>
      <c r="C202" s="207" t="s">
        <v>626</v>
      </c>
      <c r="D202" s="41">
        <v>102</v>
      </c>
      <c r="E202" s="41">
        <v>1</v>
      </c>
      <c r="F202" s="41">
        <v>3.8</v>
      </c>
      <c r="G202" s="41">
        <v>1</v>
      </c>
      <c r="H202" s="1" t="str">
        <f t="shared" si="0"/>
        <v>Posts</v>
      </c>
      <c r="I202" s="1"/>
    </row>
    <row r="203" spans="1:9" ht="13">
      <c r="A203" s="209" t="s">
        <v>590</v>
      </c>
      <c r="B203" s="210" t="s">
        <v>121</v>
      </c>
      <c r="C203" s="207" t="s">
        <v>627</v>
      </c>
      <c r="D203" s="41">
        <v>91</v>
      </c>
      <c r="E203" s="41">
        <v>11</v>
      </c>
      <c r="F203" s="41">
        <v>10.28</v>
      </c>
      <c r="G203" s="41">
        <v>4</v>
      </c>
      <c r="H203" s="1" t="str">
        <f t="shared" si="0"/>
        <v>Posts</v>
      </c>
      <c r="I203" s="1"/>
    </row>
    <row r="204" spans="1:9" ht="13">
      <c r="A204" s="209" t="s">
        <v>590</v>
      </c>
      <c r="B204" s="210" t="s">
        <v>121</v>
      </c>
      <c r="C204" s="207" t="s">
        <v>628</v>
      </c>
      <c r="D204" s="41">
        <v>82</v>
      </c>
      <c r="E204" s="41">
        <v>5</v>
      </c>
      <c r="F204" s="41">
        <v>7.65</v>
      </c>
      <c r="G204" s="41">
        <v>11</v>
      </c>
      <c r="H204" s="1" t="str">
        <f t="shared" si="0"/>
        <v>Posts</v>
      </c>
      <c r="I204" s="1"/>
    </row>
    <row r="205" spans="1:9" ht="13">
      <c r="A205" s="209" t="s">
        <v>590</v>
      </c>
      <c r="B205" s="210" t="s">
        <v>121</v>
      </c>
      <c r="C205" s="207" t="s">
        <v>629</v>
      </c>
      <c r="D205" s="41">
        <v>82</v>
      </c>
      <c r="E205" s="41">
        <v>5</v>
      </c>
      <c r="F205" s="41">
        <v>8.0399999999999991</v>
      </c>
      <c r="G205" s="41">
        <v>14</v>
      </c>
      <c r="H205" s="1" t="str">
        <f t="shared" si="0"/>
        <v>Posts</v>
      </c>
      <c r="I205" s="1"/>
    </row>
    <row r="206" spans="1:9" ht="13">
      <c r="A206" s="209" t="s">
        <v>590</v>
      </c>
      <c r="B206" s="210" t="s">
        <v>121</v>
      </c>
      <c r="C206" s="207" t="s">
        <v>630</v>
      </c>
      <c r="D206" s="41">
        <v>35</v>
      </c>
      <c r="E206" s="41">
        <v>5</v>
      </c>
      <c r="F206" s="41">
        <v>7.64</v>
      </c>
      <c r="G206" s="41">
        <v>6</v>
      </c>
      <c r="H206" s="1" t="str">
        <f t="shared" si="0"/>
        <v>Posts</v>
      </c>
      <c r="I206" s="1"/>
    </row>
    <row r="207" spans="1:9" ht="13">
      <c r="A207" s="209" t="s">
        <v>590</v>
      </c>
      <c r="B207" s="210" t="s">
        <v>121</v>
      </c>
      <c r="C207" s="211" t="s">
        <v>631</v>
      </c>
      <c r="D207" s="45">
        <v>392</v>
      </c>
      <c r="E207" s="45">
        <v>27</v>
      </c>
      <c r="F207" s="45">
        <v>6.4</v>
      </c>
      <c r="G207" s="45">
        <v>36</v>
      </c>
      <c r="H207" s="1" t="str">
        <f t="shared" si="0"/>
        <v>Posts</v>
      </c>
      <c r="I207" s="1"/>
    </row>
    <row r="208" spans="1:9" ht="13">
      <c r="A208" s="209" t="s">
        <v>167</v>
      </c>
      <c r="B208" s="210" t="s">
        <v>756</v>
      </c>
      <c r="C208" s="207" t="s">
        <v>626</v>
      </c>
      <c r="D208" s="41">
        <v>181</v>
      </c>
      <c r="E208" s="41">
        <v>7</v>
      </c>
      <c r="F208" s="41">
        <v>5.24</v>
      </c>
      <c r="G208" s="41">
        <v>3</v>
      </c>
      <c r="H208" s="1" t="str">
        <f t="shared" si="0"/>
        <v>Development</v>
      </c>
      <c r="I208" s="1"/>
    </row>
    <row r="209" spans="1:9" ht="13">
      <c r="A209" s="209" t="s">
        <v>167</v>
      </c>
      <c r="B209" s="210" t="s">
        <v>756</v>
      </c>
      <c r="C209" s="207" t="s">
        <v>630</v>
      </c>
      <c r="D209" s="41">
        <v>66</v>
      </c>
      <c r="E209" s="41">
        <v>7</v>
      </c>
      <c r="F209" s="41">
        <v>9.57</v>
      </c>
      <c r="G209" s="41">
        <v>2</v>
      </c>
      <c r="H209" s="1" t="str">
        <f t="shared" si="0"/>
        <v>Development</v>
      </c>
      <c r="I209" s="1"/>
    </row>
    <row r="210" spans="1:9" ht="13">
      <c r="A210" s="209" t="s">
        <v>167</v>
      </c>
      <c r="B210" s="210" t="s">
        <v>756</v>
      </c>
      <c r="C210" s="211" t="s">
        <v>631</v>
      </c>
      <c r="D210" s="45">
        <v>248</v>
      </c>
      <c r="E210" s="45">
        <v>14</v>
      </c>
      <c r="F210" s="45">
        <v>5.97</v>
      </c>
      <c r="G210" s="45">
        <v>5</v>
      </c>
      <c r="H210" s="1" t="str">
        <f t="shared" si="0"/>
        <v>Development</v>
      </c>
      <c r="I210" s="1"/>
    </row>
    <row r="211" spans="1:9" ht="13">
      <c r="A211" s="209" t="s">
        <v>167</v>
      </c>
      <c r="B211" s="210" t="s">
        <v>625</v>
      </c>
      <c r="C211" s="207" t="s">
        <v>626</v>
      </c>
      <c r="D211" s="41">
        <v>143</v>
      </c>
      <c r="E211" s="41">
        <v>2</v>
      </c>
      <c r="F211" s="41">
        <v>6.01</v>
      </c>
      <c r="G211" s="41">
        <v>3</v>
      </c>
      <c r="H211" s="1" t="str">
        <f t="shared" si="0"/>
        <v>Development</v>
      </c>
      <c r="I211" s="1"/>
    </row>
    <row r="212" spans="1:9" ht="13">
      <c r="A212" s="209" t="s">
        <v>167</v>
      </c>
      <c r="B212" s="210" t="s">
        <v>625</v>
      </c>
      <c r="C212" s="211" t="s">
        <v>631</v>
      </c>
      <c r="D212" s="45">
        <v>143</v>
      </c>
      <c r="E212" s="45">
        <v>2</v>
      </c>
      <c r="F212" s="45">
        <v>6.01</v>
      </c>
      <c r="G212" s="45">
        <v>3</v>
      </c>
      <c r="H212" s="1" t="str">
        <f t="shared" si="0"/>
        <v>Development</v>
      </c>
      <c r="I212" s="1"/>
    </row>
    <row r="213" spans="1:9" ht="13">
      <c r="A213" s="209" t="s">
        <v>167</v>
      </c>
      <c r="B213" s="210" t="s">
        <v>757</v>
      </c>
      <c r="C213" s="207" t="s">
        <v>626</v>
      </c>
      <c r="D213" s="41">
        <v>178</v>
      </c>
      <c r="E213" s="41">
        <v>3</v>
      </c>
      <c r="F213" s="41">
        <v>4.74</v>
      </c>
      <c r="G213" s="41">
        <v>8</v>
      </c>
      <c r="H213" s="1" t="str">
        <f t="shared" si="0"/>
        <v>Development</v>
      </c>
      <c r="I213" s="1"/>
    </row>
    <row r="214" spans="1:9" ht="13">
      <c r="A214" s="209" t="s">
        <v>167</v>
      </c>
      <c r="B214" s="210" t="s">
        <v>757</v>
      </c>
      <c r="C214" s="211" t="s">
        <v>631</v>
      </c>
      <c r="D214" s="45">
        <v>178</v>
      </c>
      <c r="E214" s="45">
        <v>3</v>
      </c>
      <c r="F214" s="45">
        <v>4.74</v>
      </c>
      <c r="G214" s="45">
        <v>8</v>
      </c>
      <c r="H214" s="1" t="str">
        <f t="shared" si="0"/>
        <v>Development</v>
      </c>
      <c r="I214" s="1"/>
    </row>
    <row r="215" spans="1:9" ht="13">
      <c r="A215" s="209" t="s">
        <v>167</v>
      </c>
      <c r="B215" s="210" t="s">
        <v>121</v>
      </c>
      <c r="C215" s="207" t="s">
        <v>626</v>
      </c>
      <c r="D215" s="41">
        <v>122</v>
      </c>
      <c r="E215" s="41">
        <v>2</v>
      </c>
      <c r="F215" s="41">
        <v>4.53</v>
      </c>
      <c r="G215" s="41">
        <v>2</v>
      </c>
      <c r="H215" s="1" t="str">
        <f t="shared" si="0"/>
        <v>Development</v>
      </c>
      <c r="I215" s="1"/>
    </row>
    <row r="216" spans="1:9" ht="13">
      <c r="A216" s="209" t="s">
        <v>167</v>
      </c>
      <c r="B216" s="210" t="s">
        <v>121</v>
      </c>
      <c r="C216" s="211" t="s">
        <v>631</v>
      </c>
      <c r="D216" s="45">
        <v>122</v>
      </c>
      <c r="E216" s="45">
        <v>2</v>
      </c>
      <c r="F216" s="45">
        <v>4.53</v>
      </c>
      <c r="G216" s="45">
        <v>2</v>
      </c>
      <c r="H216" s="1" t="str">
        <f t="shared" si="0"/>
        <v>Development</v>
      </c>
      <c r="I216" s="1"/>
    </row>
    <row r="217" spans="1:9" ht="13">
      <c r="A217" s="209" t="s">
        <v>633</v>
      </c>
      <c r="B217" s="210" t="s">
        <v>756</v>
      </c>
      <c r="C217" s="207" t="s">
        <v>626</v>
      </c>
      <c r="D217" s="41">
        <v>184</v>
      </c>
      <c r="E217" s="41">
        <v>2</v>
      </c>
      <c r="F217" s="41">
        <v>5.32</v>
      </c>
      <c r="G217" s="41">
        <v>4</v>
      </c>
      <c r="H217" s="1" t="str">
        <f t="shared" si="0"/>
        <v>High Minute</v>
      </c>
      <c r="I217" s="1"/>
    </row>
    <row r="218" spans="1:9" ht="13">
      <c r="A218" s="209" t="s">
        <v>633</v>
      </c>
      <c r="B218" s="210" t="s">
        <v>756</v>
      </c>
      <c r="C218" s="207" t="s">
        <v>627</v>
      </c>
      <c r="D218" s="41">
        <v>57</v>
      </c>
      <c r="E218" s="41">
        <v>7</v>
      </c>
      <c r="F218" s="41">
        <v>10.53</v>
      </c>
      <c r="G218" s="41">
        <v>6</v>
      </c>
      <c r="H218" s="1" t="str">
        <f t="shared" si="0"/>
        <v>High Minute</v>
      </c>
      <c r="I218" s="1"/>
    </row>
    <row r="219" spans="1:9" ht="13">
      <c r="A219" s="209" t="s">
        <v>633</v>
      </c>
      <c r="B219" s="210" t="s">
        <v>756</v>
      </c>
      <c r="C219" s="207" t="s">
        <v>628</v>
      </c>
      <c r="D219" s="41">
        <v>88</v>
      </c>
      <c r="E219" s="41">
        <v>8</v>
      </c>
      <c r="F219" s="41">
        <v>9.92</v>
      </c>
      <c r="G219" s="41">
        <v>14</v>
      </c>
      <c r="H219" s="1" t="str">
        <f t="shared" si="0"/>
        <v>High Minute</v>
      </c>
      <c r="I219" s="1"/>
    </row>
    <row r="220" spans="1:9" ht="13">
      <c r="A220" s="209" t="s">
        <v>633</v>
      </c>
      <c r="B220" s="210" t="s">
        <v>756</v>
      </c>
      <c r="C220" s="207" t="s">
        <v>629</v>
      </c>
      <c r="D220" s="41">
        <v>112</v>
      </c>
      <c r="E220" s="41">
        <v>7</v>
      </c>
      <c r="F220" s="41">
        <v>9.3000000000000007</v>
      </c>
      <c r="G220" s="41">
        <v>13</v>
      </c>
      <c r="H220" s="1" t="str">
        <f t="shared" si="0"/>
        <v>High Minute</v>
      </c>
      <c r="I220" s="1"/>
    </row>
    <row r="221" spans="1:9" ht="13">
      <c r="A221" s="209" t="s">
        <v>633</v>
      </c>
      <c r="B221" s="210" t="s">
        <v>756</v>
      </c>
      <c r="C221" s="211" t="s">
        <v>631</v>
      </c>
      <c r="D221" s="45">
        <v>440</v>
      </c>
      <c r="E221" s="45">
        <v>24</v>
      </c>
      <c r="F221" s="45">
        <v>7.24</v>
      </c>
      <c r="G221" s="45">
        <v>37</v>
      </c>
      <c r="H221" s="1" t="str">
        <f t="shared" si="0"/>
        <v>High Minute</v>
      </c>
      <c r="I221" s="1"/>
    </row>
    <row r="222" spans="1:9" ht="13">
      <c r="A222" s="209" t="s">
        <v>633</v>
      </c>
      <c r="B222" s="210" t="s">
        <v>625</v>
      </c>
      <c r="C222" s="207" t="s">
        <v>626</v>
      </c>
      <c r="D222" s="41">
        <v>137</v>
      </c>
      <c r="E222" s="41">
        <v>0</v>
      </c>
      <c r="F222" s="41">
        <v>5.35</v>
      </c>
      <c r="G222" s="41">
        <v>7</v>
      </c>
      <c r="H222" s="1" t="str">
        <f t="shared" si="0"/>
        <v>High Minute</v>
      </c>
      <c r="I222" s="1"/>
    </row>
    <row r="223" spans="1:9" ht="13">
      <c r="A223" s="209" t="s">
        <v>633</v>
      </c>
      <c r="B223" s="210" t="s">
        <v>625</v>
      </c>
      <c r="C223" s="207" t="s">
        <v>627</v>
      </c>
      <c r="D223" s="41">
        <v>116</v>
      </c>
      <c r="E223" s="41">
        <v>9</v>
      </c>
      <c r="F223" s="41">
        <v>9.64</v>
      </c>
      <c r="G223" s="41">
        <v>12</v>
      </c>
      <c r="H223" s="1" t="str">
        <f t="shared" si="0"/>
        <v>High Minute</v>
      </c>
      <c r="I223" s="1"/>
    </row>
    <row r="224" spans="1:9" ht="13">
      <c r="A224" s="209" t="s">
        <v>633</v>
      </c>
      <c r="B224" s="210" t="s">
        <v>625</v>
      </c>
      <c r="C224" s="207" t="s">
        <v>628</v>
      </c>
      <c r="D224" s="41">
        <v>118</v>
      </c>
      <c r="E224" s="41">
        <v>10</v>
      </c>
      <c r="F224" s="41">
        <v>10.07</v>
      </c>
      <c r="G224" s="41">
        <v>16</v>
      </c>
      <c r="H224" s="1" t="str">
        <f t="shared" si="0"/>
        <v>High Minute</v>
      </c>
      <c r="I224" s="1"/>
    </row>
    <row r="225" spans="1:9" ht="13">
      <c r="A225" s="209" t="s">
        <v>633</v>
      </c>
      <c r="B225" s="210" t="s">
        <v>625</v>
      </c>
      <c r="C225" s="207" t="s">
        <v>629</v>
      </c>
      <c r="D225" s="41">
        <v>154</v>
      </c>
      <c r="E225" s="41">
        <v>14</v>
      </c>
      <c r="F225" s="41">
        <v>9.24</v>
      </c>
      <c r="G225" s="41">
        <v>17</v>
      </c>
      <c r="H225" s="1" t="str">
        <f t="shared" si="0"/>
        <v>High Minute</v>
      </c>
      <c r="I225" s="1"/>
    </row>
    <row r="226" spans="1:9" ht="13">
      <c r="A226" s="209" t="s">
        <v>633</v>
      </c>
      <c r="B226" s="210" t="s">
        <v>625</v>
      </c>
      <c r="C226" s="207" t="s">
        <v>630</v>
      </c>
      <c r="D226" s="41">
        <v>140</v>
      </c>
      <c r="E226" s="41">
        <v>5</v>
      </c>
      <c r="F226" s="41">
        <v>8.1999999999999993</v>
      </c>
      <c r="G226" s="41">
        <v>15</v>
      </c>
      <c r="H226" s="1" t="str">
        <f t="shared" si="0"/>
        <v>High Minute</v>
      </c>
      <c r="I226" s="1"/>
    </row>
    <row r="227" spans="1:9" ht="13">
      <c r="A227" s="209" t="s">
        <v>633</v>
      </c>
      <c r="B227" s="210" t="s">
        <v>625</v>
      </c>
      <c r="C227" s="211" t="s">
        <v>631</v>
      </c>
      <c r="D227" s="45">
        <v>666</v>
      </c>
      <c r="E227" s="45">
        <v>38</v>
      </c>
      <c r="F227" s="45">
        <v>8</v>
      </c>
      <c r="G227" s="45">
        <v>67</v>
      </c>
      <c r="H227" s="1" t="str">
        <f t="shared" si="0"/>
        <v>High Minute</v>
      </c>
      <c r="I227" s="1"/>
    </row>
    <row r="228" spans="1:9" ht="13">
      <c r="A228" s="209" t="s">
        <v>633</v>
      </c>
      <c r="B228" s="210" t="s">
        <v>757</v>
      </c>
      <c r="C228" s="207" t="s">
        <v>626</v>
      </c>
      <c r="D228" s="41">
        <v>174</v>
      </c>
      <c r="E228" s="41">
        <v>0</v>
      </c>
      <c r="F228" s="41">
        <v>4.6500000000000004</v>
      </c>
      <c r="G228" s="41">
        <v>5</v>
      </c>
      <c r="H228" s="1" t="str">
        <f t="shared" si="0"/>
        <v>High Minute</v>
      </c>
      <c r="I228" s="1"/>
    </row>
    <row r="229" spans="1:9" ht="13">
      <c r="A229" s="209" t="s">
        <v>633</v>
      </c>
      <c r="B229" s="210" t="s">
        <v>757</v>
      </c>
      <c r="C229" s="207" t="s">
        <v>627</v>
      </c>
      <c r="D229" s="41">
        <v>113</v>
      </c>
      <c r="E229" s="41">
        <v>7</v>
      </c>
      <c r="F229" s="41">
        <v>9.33</v>
      </c>
      <c r="G229" s="41">
        <v>12</v>
      </c>
      <c r="H229" s="1" t="str">
        <f t="shared" si="0"/>
        <v>High Minute</v>
      </c>
      <c r="I229" s="1"/>
    </row>
    <row r="230" spans="1:9" ht="13">
      <c r="A230" s="209" t="s">
        <v>633</v>
      </c>
      <c r="B230" s="210" t="s">
        <v>757</v>
      </c>
      <c r="C230" s="207" t="s">
        <v>628</v>
      </c>
      <c r="D230" s="41">
        <v>152</v>
      </c>
      <c r="E230" s="41">
        <v>12</v>
      </c>
      <c r="F230" s="41">
        <v>7.59</v>
      </c>
      <c r="G230" s="41">
        <v>20</v>
      </c>
      <c r="H230" s="1" t="str">
        <f t="shared" si="0"/>
        <v>High Minute</v>
      </c>
      <c r="I230" s="1"/>
    </row>
    <row r="231" spans="1:9" ht="13">
      <c r="A231" s="209" t="s">
        <v>633</v>
      </c>
      <c r="B231" s="210" t="s">
        <v>757</v>
      </c>
      <c r="C231" s="207" t="s">
        <v>629</v>
      </c>
      <c r="D231" s="41">
        <v>143</v>
      </c>
      <c r="E231" s="41">
        <v>8</v>
      </c>
      <c r="F231" s="41">
        <v>7.84</v>
      </c>
      <c r="G231" s="41">
        <v>14</v>
      </c>
      <c r="H231" s="1" t="str">
        <f t="shared" si="0"/>
        <v>High Minute</v>
      </c>
      <c r="I231" s="1"/>
    </row>
    <row r="232" spans="1:9" ht="13">
      <c r="A232" s="209" t="s">
        <v>633</v>
      </c>
      <c r="B232" s="210" t="s">
        <v>757</v>
      </c>
      <c r="C232" s="207" t="s">
        <v>630</v>
      </c>
      <c r="D232" s="41">
        <v>132</v>
      </c>
      <c r="E232" s="41">
        <v>5</v>
      </c>
      <c r="F232" s="41">
        <v>9.1</v>
      </c>
      <c r="G232" s="41">
        <v>16</v>
      </c>
      <c r="H232" s="1" t="str">
        <f t="shared" si="0"/>
        <v>High Minute</v>
      </c>
      <c r="I232" s="1"/>
    </row>
    <row r="233" spans="1:9" ht="13">
      <c r="A233" s="209" t="s">
        <v>633</v>
      </c>
      <c r="B233" s="210" t="s">
        <v>757</v>
      </c>
      <c r="C233" s="211" t="s">
        <v>631</v>
      </c>
      <c r="D233" s="45">
        <v>714</v>
      </c>
      <c r="E233" s="45">
        <v>32</v>
      </c>
      <c r="F233" s="45">
        <v>6.98</v>
      </c>
      <c r="G233" s="45">
        <v>67</v>
      </c>
      <c r="H233" s="1" t="str">
        <f t="shared" si="0"/>
        <v>High Minute</v>
      </c>
      <c r="I233" s="1"/>
    </row>
    <row r="234" spans="1:9" ht="13">
      <c r="A234" s="209" t="s">
        <v>633</v>
      </c>
      <c r="B234" s="210" t="s">
        <v>121</v>
      </c>
      <c r="C234" s="207" t="s">
        <v>626</v>
      </c>
      <c r="D234" s="41">
        <v>123</v>
      </c>
      <c r="E234" s="41">
        <v>0</v>
      </c>
      <c r="F234" s="41">
        <v>4.58</v>
      </c>
      <c r="G234" s="41">
        <v>1</v>
      </c>
      <c r="H234" s="1" t="str">
        <f t="shared" si="0"/>
        <v>High Minute</v>
      </c>
      <c r="I234" s="1"/>
    </row>
    <row r="235" spans="1:9" ht="13">
      <c r="A235" s="209" t="s">
        <v>633</v>
      </c>
      <c r="B235" s="210" t="s">
        <v>121</v>
      </c>
      <c r="C235" s="207" t="s">
        <v>627</v>
      </c>
      <c r="D235" s="41">
        <v>172</v>
      </c>
      <c r="E235" s="41">
        <v>10</v>
      </c>
      <c r="F235" s="41">
        <v>8.7100000000000009</v>
      </c>
      <c r="G235" s="41">
        <v>16</v>
      </c>
      <c r="H235" s="1" t="str">
        <f t="shared" si="0"/>
        <v>High Minute</v>
      </c>
      <c r="I235" s="1"/>
    </row>
    <row r="236" spans="1:9" ht="13">
      <c r="A236" s="209" t="s">
        <v>633</v>
      </c>
      <c r="B236" s="210" t="s">
        <v>121</v>
      </c>
      <c r="C236" s="207" t="s">
        <v>628</v>
      </c>
      <c r="D236" s="41">
        <v>115</v>
      </c>
      <c r="E236" s="41">
        <v>7</v>
      </c>
      <c r="F236" s="41">
        <v>7.96</v>
      </c>
      <c r="G236" s="41">
        <v>10</v>
      </c>
      <c r="H236" s="1" t="str">
        <f t="shared" si="0"/>
        <v>High Minute</v>
      </c>
      <c r="I236" s="1"/>
    </row>
    <row r="237" spans="1:9" ht="13">
      <c r="A237" s="209" t="s">
        <v>633</v>
      </c>
      <c r="B237" s="210" t="s">
        <v>121</v>
      </c>
      <c r="C237" s="207" t="s">
        <v>629</v>
      </c>
      <c r="D237" s="41">
        <v>131</v>
      </c>
      <c r="E237" s="41">
        <v>6</v>
      </c>
      <c r="F237" s="41">
        <v>8.86</v>
      </c>
      <c r="G237" s="41">
        <v>13</v>
      </c>
      <c r="H237" s="1" t="str">
        <f t="shared" si="0"/>
        <v>High Minute</v>
      </c>
      <c r="I237" s="1"/>
    </row>
    <row r="238" spans="1:9" ht="13">
      <c r="A238" s="209" t="s">
        <v>633</v>
      </c>
      <c r="B238" s="210" t="s">
        <v>121</v>
      </c>
      <c r="C238" s="207" t="s">
        <v>630</v>
      </c>
      <c r="D238" s="41">
        <v>158</v>
      </c>
      <c r="E238" s="41">
        <v>8</v>
      </c>
      <c r="F238" s="41">
        <v>7.27</v>
      </c>
      <c r="G238" s="41">
        <v>25</v>
      </c>
      <c r="H238" s="1" t="str">
        <f t="shared" si="0"/>
        <v>High Minute</v>
      </c>
      <c r="I238" s="1"/>
    </row>
    <row r="239" spans="1:9" ht="13">
      <c r="A239" s="209" t="s">
        <v>633</v>
      </c>
      <c r="B239" s="210" t="s">
        <v>121</v>
      </c>
      <c r="C239" s="211" t="s">
        <v>631</v>
      </c>
      <c r="D239" s="45">
        <v>700</v>
      </c>
      <c r="E239" s="45">
        <v>31</v>
      </c>
      <c r="F239" s="45">
        <v>7.16</v>
      </c>
      <c r="G239" s="45">
        <v>65</v>
      </c>
      <c r="H239" s="1" t="str">
        <f t="shared" si="0"/>
        <v>High Minute</v>
      </c>
      <c r="I239" s="1"/>
    </row>
    <row r="240" spans="1:9" ht="13">
      <c r="A240" s="209" t="s">
        <v>622</v>
      </c>
      <c r="B240" s="1" t="s">
        <v>758</v>
      </c>
      <c r="C240" s="207" t="s">
        <v>626</v>
      </c>
      <c r="D240" s="41">
        <v>140</v>
      </c>
      <c r="E240" s="41">
        <v>3</v>
      </c>
      <c r="F240" s="41">
        <v>4.18</v>
      </c>
      <c r="G240" s="41">
        <v>2</v>
      </c>
      <c r="H240" s="1" t="str">
        <f t="shared" si="0"/>
        <v>High Minute</v>
      </c>
      <c r="I240" s="1"/>
    </row>
    <row r="241" spans="1:9" ht="13">
      <c r="A241" s="209" t="s">
        <v>622</v>
      </c>
      <c r="B241" s="1" t="s">
        <v>758</v>
      </c>
      <c r="C241" s="207" t="s">
        <v>627</v>
      </c>
      <c r="D241" s="41">
        <v>148</v>
      </c>
      <c r="E241" s="41">
        <v>28</v>
      </c>
      <c r="F241" s="41">
        <v>12.29</v>
      </c>
      <c r="G241" s="41">
        <v>17</v>
      </c>
      <c r="H241" s="1" t="str">
        <f t="shared" si="0"/>
        <v>High Minute</v>
      </c>
      <c r="I241" s="1"/>
    </row>
    <row r="242" spans="1:9" ht="13">
      <c r="A242" s="209" t="s">
        <v>622</v>
      </c>
      <c r="B242" s="1" t="s">
        <v>758</v>
      </c>
      <c r="C242" s="207" t="s">
        <v>628</v>
      </c>
      <c r="D242" s="41">
        <v>171</v>
      </c>
      <c r="E242" s="41">
        <v>34</v>
      </c>
      <c r="F242" s="41">
        <v>11.21</v>
      </c>
      <c r="G242" s="41">
        <v>15</v>
      </c>
      <c r="H242" s="1" t="str">
        <f t="shared" si="0"/>
        <v>High Minute</v>
      </c>
      <c r="I242" s="1"/>
    </row>
    <row r="243" spans="1:9" ht="13">
      <c r="A243" s="209" t="s">
        <v>622</v>
      </c>
      <c r="B243" s="1" t="s">
        <v>758</v>
      </c>
      <c r="C243" s="207" t="s">
        <v>629</v>
      </c>
      <c r="D243" s="41">
        <v>125</v>
      </c>
      <c r="E243" s="41">
        <v>27</v>
      </c>
      <c r="F243" s="41">
        <v>10.31</v>
      </c>
      <c r="G243" s="41">
        <v>16</v>
      </c>
      <c r="H243" s="1" t="str">
        <f t="shared" si="0"/>
        <v>High Minute</v>
      </c>
      <c r="I243" s="1"/>
    </row>
    <row r="244" spans="1:9" ht="13">
      <c r="A244" s="209" t="s">
        <v>622</v>
      </c>
      <c r="B244" s="1" t="s">
        <v>758</v>
      </c>
      <c r="C244" s="207" t="s">
        <v>630</v>
      </c>
      <c r="D244" s="41">
        <v>180</v>
      </c>
      <c r="E244" s="41">
        <v>36</v>
      </c>
      <c r="F244" s="41">
        <v>10.49</v>
      </c>
      <c r="G244" s="41">
        <v>22</v>
      </c>
      <c r="H244" s="1" t="str">
        <f t="shared" si="0"/>
        <v>High Minute</v>
      </c>
      <c r="I244" s="1"/>
    </row>
    <row r="245" spans="1:9" ht="13">
      <c r="A245" s="209" t="s">
        <v>622</v>
      </c>
      <c r="B245" s="1" t="s">
        <v>758</v>
      </c>
      <c r="C245" s="211" t="s">
        <v>631</v>
      </c>
      <c r="D245" s="45">
        <v>764</v>
      </c>
      <c r="E245" s="45">
        <v>128</v>
      </c>
      <c r="F245" s="45">
        <v>8.4700000000000006</v>
      </c>
      <c r="G245" s="45">
        <v>72</v>
      </c>
      <c r="H245" s="1" t="str">
        <f t="shared" si="0"/>
        <v>High Minute</v>
      </c>
      <c r="I245" s="1"/>
    </row>
    <row r="246" spans="1:9" ht="13">
      <c r="A246" s="209" t="s">
        <v>622</v>
      </c>
      <c r="B246" s="210" t="s">
        <v>759</v>
      </c>
      <c r="C246" s="207" t="s">
        <v>626</v>
      </c>
      <c r="D246" s="41">
        <v>143</v>
      </c>
      <c r="E246" s="41">
        <v>2</v>
      </c>
      <c r="F246" s="41">
        <v>4.57</v>
      </c>
      <c r="G246" s="41">
        <v>4</v>
      </c>
      <c r="H246" s="1" t="str">
        <f t="shared" si="0"/>
        <v>High Minute</v>
      </c>
      <c r="I246" s="1"/>
    </row>
    <row r="247" spans="1:9" ht="13">
      <c r="A247" s="209" t="s">
        <v>622</v>
      </c>
      <c r="B247" s="210" t="s">
        <v>759</v>
      </c>
      <c r="C247" s="207" t="s">
        <v>627</v>
      </c>
      <c r="D247" s="41">
        <v>133</v>
      </c>
      <c r="E247" s="41">
        <v>31</v>
      </c>
      <c r="F247" s="41">
        <v>12.82</v>
      </c>
      <c r="G247" s="41">
        <v>10</v>
      </c>
      <c r="H247" s="1" t="str">
        <f t="shared" si="0"/>
        <v>High Minute</v>
      </c>
      <c r="I247" s="1"/>
    </row>
    <row r="248" spans="1:9" ht="13">
      <c r="A248" s="209" t="s">
        <v>622</v>
      </c>
      <c r="B248" s="210" t="s">
        <v>759</v>
      </c>
      <c r="C248" s="207" t="s">
        <v>628</v>
      </c>
      <c r="D248" s="41">
        <v>134</v>
      </c>
      <c r="E248" s="41">
        <v>24</v>
      </c>
      <c r="F248" s="41">
        <v>11.29</v>
      </c>
      <c r="G248" s="41">
        <v>11</v>
      </c>
      <c r="H248" s="1" t="str">
        <f t="shared" si="0"/>
        <v>High Minute</v>
      </c>
      <c r="I248" s="1"/>
    </row>
    <row r="249" spans="1:9" ht="13">
      <c r="A249" s="209" t="s">
        <v>622</v>
      </c>
      <c r="B249" s="210" t="s">
        <v>759</v>
      </c>
      <c r="C249" s="207" t="s">
        <v>629</v>
      </c>
      <c r="D249" s="41">
        <v>109</v>
      </c>
      <c r="E249" s="41">
        <v>21</v>
      </c>
      <c r="F249" s="41">
        <v>9.18</v>
      </c>
      <c r="G249" s="41">
        <v>12</v>
      </c>
      <c r="H249" s="1" t="str">
        <f t="shared" si="0"/>
        <v>High Minute</v>
      </c>
      <c r="I249" s="1"/>
    </row>
    <row r="250" spans="1:9" ht="13">
      <c r="A250" s="209" t="s">
        <v>622</v>
      </c>
      <c r="B250" s="210" t="s">
        <v>759</v>
      </c>
      <c r="C250" s="207" t="s">
        <v>630</v>
      </c>
      <c r="D250" s="41">
        <v>109</v>
      </c>
      <c r="E250" s="41">
        <v>19</v>
      </c>
      <c r="F250" s="41">
        <v>9.99</v>
      </c>
      <c r="G250" s="41">
        <v>15</v>
      </c>
      <c r="H250" s="1" t="str">
        <f t="shared" si="0"/>
        <v>High Minute</v>
      </c>
      <c r="I250" s="1"/>
    </row>
    <row r="251" spans="1:9" ht="13">
      <c r="A251" s="209" t="s">
        <v>622</v>
      </c>
      <c r="B251" s="210" t="s">
        <v>759</v>
      </c>
      <c r="C251" s="211" t="s">
        <v>631</v>
      </c>
      <c r="D251" s="45">
        <v>628</v>
      </c>
      <c r="E251" s="45">
        <v>97</v>
      </c>
      <c r="F251" s="45">
        <v>8.23</v>
      </c>
      <c r="G251" s="45">
        <v>52</v>
      </c>
      <c r="H251" s="1" t="str">
        <f t="shared" si="0"/>
        <v>High Minute</v>
      </c>
      <c r="I251" s="1"/>
    </row>
    <row r="252" spans="1:9" ht="13">
      <c r="A252" s="209" t="s">
        <v>622</v>
      </c>
      <c r="B252" s="1" t="s">
        <v>760</v>
      </c>
      <c r="C252" s="207" t="s">
        <v>626</v>
      </c>
      <c r="D252" s="41">
        <v>147</v>
      </c>
      <c r="E252" s="41">
        <v>3</v>
      </c>
      <c r="F252" s="41">
        <v>3.92</v>
      </c>
      <c r="G252" s="41">
        <v>2</v>
      </c>
      <c r="H252" s="1" t="str">
        <f t="shared" si="0"/>
        <v>High Minute</v>
      </c>
      <c r="I252" s="1"/>
    </row>
    <row r="253" spans="1:9" ht="13">
      <c r="A253" s="209" t="s">
        <v>622</v>
      </c>
      <c r="B253" s="1" t="s">
        <v>760</v>
      </c>
      <c r="C253" s="207" t="s">
        <v>627</v>
      </c>
      <c r="D253" s="41">
        <v>134</v>
      </c>
      <c r="E253" s="41">
        <v>24</v>
      </c>
      <c r="F253" s="41">
        <v>10.88</v>
      </c>
      <c r="G253" s="41">
        <v>14</v>
      </c>
      <c r="H253" s="1" t="str">
        <f t="shared" si="0"/>
        <v>High Minute</v>
      </c>
      <c r="I253" s="1"/>
    </row>
    <row r="254" spans="1:9" ht="13">
      <c r="A254" s="209" t="s">
        <v>622</v>
      </c>
      <c r="B254" s="1" t="s">
        <v>760</v>
      </c>
      <c r="C254" s="207" t="s">
        <v>628</v>
      </c>
      <c r="D254" s="41">
        <v>165</v>
      </c>
      <c r="E254" s="41">
        <v>23</v>
      </c>
      <c r="F254" s="41">
        <v>9.09</v>
      </c>
      <c r="G254" s="41">
        <v>13</v>
      </c>
      <c r="H254" s="1" t="str">
        <f t="shared" si="0"/>
        <v>High Minute</v>
      </c>
      <c r="I254" s="1"/>
    </row>
    <row r="255" spans="1:9" ht="13">
      <c r="A255" s="209" t="s">
        <v>622</v>
      </c>
      <c r="B255" s="1" t="s">
        <v>760</v>
      </c>
      <c r="C255" s="207" t="s">
        <v>629</v>
      </c>
      <c r="D255" s="41">
        <v>143</v>
      </c>
      <c r="E255" s="41">
        <v>24</v>
      </c>
      <c r="F255" s="41">
        <v>10.36</v>
      </c>
      <c r="G255" s="41">
        <v>15</v>
      </c>
      <c r="H255" s="1" t="str">
        <f t="shared" si="0"/>
        <v>High Minute</v>
      </c>
      <c r="I255" s="1"/>
    </row>
    <row r="256" spans="1:9" ht="13">
      <c r="A256" s="209" t="s">
        <v>622</v>
      </c>
      <c r="B256" s="1" t="s">
        <v>760</v>
      </c>
      <c r="C256" s="207" t="s">
        <v>630</v>
      </c>
      <c r="D256" s="41">
        <v>166</v>
      </c>
      <c r="E256" s="41">
        <v>27</v>
      </c>
      <c r="F256" s="41">
        <v>9.5</v>
      </c>
      <c r="G256" s="41">
        <v>21</v>
      </c>
      <c r="H256" s="1" t="str">
        <f t="shared" si="0"/>
        <v>High Minute</v>
      </c>
      <c r="I256" s="1"/>
    </row>
    <row r="257" spans="1:9" ht="13">
      <c r="A257" s="209" t="s">
        <v>622</v>
      </c>
      <c r="B257" s="1" t="s">
        <v>760</v>
      </c>
      <c r="C257" s="211" t="s">
        <v>631</v>
      </c>
      <c r="D257" s="45">
        <v>754</v>
      </c>
      <c r="E257" s="45">
        <v>101</v>
      </c>
      <c r="F257" s="45">
        <v>7.61</v>
      </c>
      <c r="G257" s="45">
        <v>65</v>
      </c>
      <c r="H257" s="1" t="str">
        <f t="shared" ref="H257:H511" si="1">IF(OR(A257="Aliyahna Morris", A257="Lulu Laditan-Twidale", A257="Taylor Barnes", A257="Gisella Maul", A257="Lola Donez", A257="Mjracle Sheppard"), "High Minute",
 IF(OR(A257="Sakima Walker", A257="Naya Ojukwu", A257="Claudia Langarita"), "Posts",
 "Development"))</f>
        <v>High Minute</v>
      </c>
      <c r="I257" s="1"/>
    </row>
    <row r="258" spans="1:9" ht="13">
      <c r="A258" s="209" t="s">
        <v>149</v>
      </c>
      <c r="B258" s="210" t="s">
        <v>758</v>
      </c>
      <c r="C258" s="207" t="s">
        <v>626</v>
      </c>
      <c r="D258" s="41">
        <v>209</v>
      </c>
      <c r="E258" s="41">
        <v>25</v>
      </c>
      <c r="F258" s="41">
        <v>6.22</v>
      </c>
      <c r="G258" s="41">
        <v>8</v>
      </c>
      <c r="H258" s="1" t="str">
        <f t="shared" si="1"/>
        <v>Development</v>
      </c>
      <c r="I258" s="1"/>
    </row>
    <row r="259" spans="1:9" ht="13">
      <c r="A259" s="209" t="s">
        <v>149</v>
      </c>
      <c r="B259" s="210" t="s">
        <v>758</v>
      </c>
      <c r="C259" s="207" t="s">
        <v>630</v>
      </c>
      <c r="D259" s="41">
        <v>29</v>
      </c>
      <c r="E259" s="41">
        <v>9</v>
      </c>
      <c r="F259" s="41">
        <v>11.62</v>
      </c>
      <c r="G259" s="41">
        <v>1</v>
      </c>
      <c r="H259" s="1" t="str">
        <f t="shared" si="1"/>
        <v>Development</v>
      </c>
      <c r="I259" s="1"/>
    </row>
    <row r="260" spans="1:9" ht="13">
      <c r="A260" s="209" t="s">
        <v>149</v>
      </c>
      <c r="B260" s="210" t="s">
        <v>758</v>
      </c>
      <c r="C260" s="211" t="s">
        <v>631</v>
      </c>
      <c r="D260" s="45">
        <v>238</v>
      </c>
      <c r="E260" s="45">
        <v>34</v>
      </c>
      <c r="F260" s="45">
        <v>6.59</v>
      </c>
      <c r="G260" s="45">
        <v>9</v>
      </c>
      <c r="H260" s="1" t="str">
        <f t="shared" si="1"/>
        <v>Development</v>
      </c>
      <c r="I260" s="1"/>
    </row>
    <row r="261" spans="1:9" ht="13">
      <c r="A261" s="209" t="s">
        <v>149</v>
      </c>
      <c r="B261" s="210" t="s">
        <v>759</v>
      </c>
      <c r="C261" s="207" t="s">
        <v>626</v>
      </c>
      <c r="D261" s="41">
        <v>186</v>
      </c>
      <c r="E261" s="41">
        <v>14</v>
      </c>
      <c r="F261" s="41">
        <v>5.94</v>
      </c>
      <c r="G261" s="41">
        <v>6</v>
      </c>
      <c r="H261" s="1" t="str">
        <f t="shared" si="1"/>
        <v>Development</v>
      </c>
      <c r="I261" s="1"/>
    </row>
    <row r="262" spans="1:9" ht="13">
      <c r="A262" s="209" t="s">
        <v>149</v>
      </c>
      <c r="B262" s="210" t="s">
        <v>759</v>
      </c>
      <c r="C262" s="211" t="s">
        <v>631</v>
      </c>
      <c r="D262" s="45">
        <v>186</v>
      </c>
      <c r="E262" s="45">
        <v>14</v>
      </c>
      <c r="F262" s="45">
        <v>5.94</v>
      </c>
      <c r="G262" s="45">
        <v>6</v>
      </c>
      <c r="H262" s="1" t="str">
        <f t="shared" si="1"/>
        <v>Development</v>
      </c>
      <c r="I262" s="1"/>
    </row>
    <row r="263" spans="1:9" ht="13">
      <c r="A263" s="209" t="s">
        <v>149</v>
      </c>
      <c r="B263" s="210" t="s">
        <v>760</v>
      </c>
      <c r="C263" s="207" t="s">
        <v>626</v>
      </c>
      <c r="D263" s="41">
        <v>215</v>
      </c>
      <c r="E263" s="41">
        <v>14</v>
      </c>
      <c r="F263" s="41">
        <v>5.76</v>
      </c>
      <c r="G263" s="41">
        <v>8</v>
      </c>
      <c r="H263" s="1" t="str">
        <f t="shared" si="1"/>
        <v>Development</v>
      </c>
      <c r="I263" s="1"/>
    </row>
    <row r="264" spans="1:9" ht="13">
      <c r="A264" s="209" t="s">
        <v>149</v>
      </c>
      <c r="B264" s="210" t="s">
        <v>760</v>
      </c>
      <c r="C264" s="211" t="s">
        <v>631</v>
      </c>
      <c r="D264" s="45">
        <v>215</v>
      </c>
      <c r="E264" s="45">
        <v>14</v>
      </c>
      <c r="F264" s="45">
        <v>5.76</v>
      </c>
      <c r="G264" s="45">
        <v>8</v>
      </c>
      <c r="H264" s="1" t="str">
        <f t="shared" si="1"/>
        <v>Development</v>
      </c>
      <c r="I264" s="1"/>
    </row>
    <row r="265" spans="1:9" ht="13">
      <c r="A265" s="209" t="s">
        <v>190</v>
      </c>
      <c r="B265" s="210" t="s">
        <v>758</v>
      </c>
      <c r="C265" s="207" t="s">
        <v>626</v>
      </c>
      <c r="D265" s="41">
        <v>119</v>
      </c>
      <c r="E265" s="41">
        <v>1</v>
      </c>
      <c r="F265" s="41">
        <v>3.56</v>
      </c>
      <c r="G265" s="41">
        <v>2</v>
      </c>
      <c r="H265" s="1" t="str">
        <f t="shared" si="1"/>
        <v>Posts</v>
      </c>
      <c r="I265" s="1"/>
    </row>
    <row r="266" spans="1:9" ht="13">
      <c r="A266" s="209" t="s">
        <v>190</v>
      </c>
      <c r="B266" s="210" t="s">
        <v>758</v>
      </c>
      <c r="C266" s="207" t="s">
        <v>627</v>
      </c>
      <c r="D266" s="41">
        <v>88</v>
      </c>
      <c r="E266" s="41">
        <v>4</v>
      </c>
      <c r="F266" s="41">
        <v>8.42</v>
      </c>
      <c r="G266" s="41">
        <v>8</v>
      </c>
      <c r="H266" s="1" t="str">
        <f t="shared" si="1"/>
        <v>Posts</v>
      </c>
      <c r="I266" s="1"/>
    </row>
    <row r="267" spans="1:9" ht="13">
      <c r="A267" s="209" t="s">
        <v>190</v>
      </c>
      <c r="B267" s="210" t="s">
        <v>758</v>
      </c>
      <c r="C267" s="207" t="s">
        <v>628</v>
      </c>
      <c r="D267" s="41">
        <v>12</v>
      </c>
      <c r="E267" s="41">
        <v>1</v>
      </c>
      <c r="F267" s="41">
        <v>6.53</v>
      </c>
      <c r="G267" s="41">
        <v>1</v>
      </c>
      <c r="H267" s="1" t="str">
        <f t="shared" si="1"/>
        <v>Posts</v>
      </c>
      <c r="I267" s="1"/>
    </row>
    <row r="268" spans="1:9" ht="13">
      <c r="A268" s="209" t="s">
        <v>190</v>
      </c>
      <c r="B268" s="210" t="s">
        <v>758</v>
      </c>
      <c r="C268" s="207" t="s">
        <v>630</v>
      </c>
      <c r="D268" s="41">
        <v>34</v>
      </c>
      <c r="E268" s="41">
        <v>1</v>
      </c>
      <c r="F268" s="41">
        <v>7.95</v>
      </c>
      <c r="G268" s="41">
        <v>2</v>
      </c>
      <c r="H268" s="1" t="str">
        <f t="shared" si="1"/>
        <v>Posts</v>
      </c>
      <c r="I268" s="1"/>
    </row>
    <row r="269" spans="1:9" ht="13">
      <c r="A269" s="209" t="s">
        <v>190</v>
      </c>
      <c r="B269" s="210" t="s">
        <v>758</v>
      </c>
      <c r="C269" s="211" t="s">
        <v>631</v>
      </c>
      <c r="D269" s="45">
        <v>253</v>
      </c>
      <c r="E269" s="45">
        <v>7</v>
      </c>
      <c r="F269" s="45">
        <v>5.05</v>
      </c>
      <c r="G269" s="45">
        <v>13</v>
      </c>
      <c r="H269" s="1" t="str">
        <f t="shared" si="1"/>
        <v>Posts</v>
      </c>
      <c r="I269" s="1"/>
    </row>
    <row r="270" spans="1:9" ht="13">
      <c r="A270" s="209" t="s">
        <v>190</v>
      </c>
      <c r="B270" s="210" t="s">
        <v>759</v>
      </c>
      <c r="C270" s="207" t="s">
        <v>626</v>
      </c>
      <c r="D270" s="41">
        <v>108</v>
      </c>
      <c r="E270" s="41">
        <v>0</v>
      </c>
      <c r="F270" s="41">
        <v>3.45</v>
      </c>
      <c r="G270" s="41">
        <v>1</v>
      </c>
      <c r="H270" s="1" t="str">
        <f t="shared" si="1"/>
        <v>Posts</v>
      </c>
      <c r="I270" s="1"/>
    </row>
    <row r="271" spans="1:9" ht="13">
      <c r="A271" s="209" t="s">
        <v>190</v>
      </c>
      <c r="B271" s="210" t="s">
        <v>759</v>
      </c>
      <c r="C271" s="207" t="s">
        <v>627</v>
      </c>
      <c r="D271" s="41">
        <v>30</v>
      </c>
      <c r="E271" s="41">
        <v>1</v>
      </c>
      <c r="F271" s="41">
        <v>7.29</v>
      </c>
      <c r="G271" s="41">
        <v>2</v>
      </c>
      <c r="H271" s="1" t="str">
        <f t="shared" si="1"/>
        <v>Posts</v>
      </c>
      <c r="I271" s="1"/>
    </row>
    <row r="272" spans="1:9" ht="13">
      <c r="A272" s="209" t="s">
        <v>190</v>
      </c>
      <c r="B272" s="210" t="s">
        <v>759</v>
      </c>
      <c r="C272" s="211" t="s">
        <v>631</v>
      </c>
      <c r="D272" s="45">
        <v>138</v>
      </c>
      <c r="E272" s="45">
        <v>1</v>
      </c>
      <c r="F272" s="45">
        <v>3.89</v>
      </c>
      <c r="G272" s="45">
        <v>3</v>
      </c>
      <c r="H272" s="1" t="str">
        <f t="shared" si="1"/>
        <v>Posts</v>
      </c>
      <c r="I272" s="1"/>
    </row>
    <row r="273" spans="1:9" ht="13">
      <c r="A273" s="209" t="s">
        <v>190</v>
      </c>
      <c r="B273" s="210" t="s">
        <v>760</v>
      </c>
      <c r="C273" s="207" t="s">
        <v>626</v>
      </c>
      <c r="D273" s="41">
        <v>129</v>
      </c>
      <c r="E273" s="41">
        <v>0</v>
      </c>
      <c r="F273" s="41">
        <v>3.46</v>
      </c>
      <c r="G273" s="41">
        <v>2</v>
      </c>
      <c r="H273" s="1" t="str">
        <f t="shared" si="1"/>
        <v>Posts</v>
      </c>
      <c r="I273" s="1"/>
    </row>
    <row r="274" spans="1:9" ht="13">
      <c r="A274" s="209" t="s">
        <v>190</v>
      </c>
      <c r="B274" s="210" t="s">
        <v>760</v>
      </c>
      <c r="C274" s="207" t="s">
        <v>627</v>
      </c>
      <c r="D274" s="41">
        <v>49</v>
      </c>
      <c r="E274" s="41">
        <v>2</v>
      </c>
      <c r="F274" s="41">
        <v>8.07</v>
      </c>
      <c r="G274" s="41">
        <v>1</v>
      </c>
      <c r="H274" s="1" t="str">
        <f t="shared" si="1"/>
        <v>Posts</v>
      </c>
      <c r="I274" s="1"/>
    </row>
    <row r="275" spans="1:9" ht="13">
      <c r="A275" s="209" t="s">
        <v>190</v>
      </c>
      <c r="B275" s="210" t="s">
        <v>760</v>
      </c>
      <c r="C275" s="207" t="s">
        <v>628</v>
      </c>
      <c r="D275" s="41">
        <v>41</v>
      </c>
      <c r="E275" s="41">
        <v>2</v>
      </c>
      <c r="F275" s="41">
        <v>7.56</v>
      </c>
      <c r="G275" s="41">
        <v>4</v>
      </c>
      <c r="H275" s="1" t="str">
        <f t="shared" si="1"/>
        <v>Posts</v>
      </c>
      <c r="I275" s="1"/>
    </row>
    <row r="276" spans="1:9" ht="13">
      <c r="A276" s="209" t="s">
        <v>190</v>
      </c>
      <c r="B276" s="210" t="s">
        <v>760</v>
      </c>
      <c r="C276" s="207" t="s">
        <v>629</v>
      </c>
      <c r="D276" s="41">
        <v>22</v>
      </c>
      <c r="E276" s="41">
        <v>1</v>
      </c>
      <c r="F276" s="41">
        <v>7.53</v>
      </c>
      <c r="G276" s="41">
        <v>3</v>
      </c>
      <c r="H276" s="1" t="str">
        <f t="shared" si="1"/>
        <v>Posts</v>
      </c>
      <c r="I276" s="1"/>
    </row>
    <row r="277" spans="1:9" ht="13">
      <c r="A277" s="209" t="s">
        <v>190</v>
      </c>
      <c r="B277" s="210" t="s">
        <v>760</v>
      </c>
      <c r="C277" s="211" t="s">
        <v>631</v>
      </c>
      <c r="D277" s="45">
        <v>242</v>
      </c>
      <c r="E277" s="45">
        <v>5</v>
      </c>
      <c r="F277" s="45">
        <v>4.66</v>
      </c>
      <c r="G277" s="45">
        <v>10</v>
      </c>
      <c r="H277" s="1" t="str">
        <f t="shared" si="1"/>
        <v>Posts</v>
      </c>
      <c r="I277" s="1"/>
    </row>
    <row r="278" spans="1:9" ht="13">
      <c r="A278" s="1" t="s">
        <v>189</v>
      </c>
      <c r="B278" s="210" t="s">
        <v>758</v>
      </c>
      <c r="C278" s="207" t="s">
        <v>626</v>
      </c>
      <c r="D278" s="41">
        <v>172</v>
      </c>
      <c r="E278" s="41">
        <v>8</v>
      </c>
      <c r="F278" s="41">
        <v>5.12</v>
      </c>
      <c r="G278" s="41">
        <v>4</v>
      </c>
      <c r="H278" s="1" t="str">
        <f t="shared" si="1"/>
        <v>High Minute</v>
      </c>
      <c r="I278" s="1"/>
    </row>
    <row r="279" spans="1:9" ht="13">
      <c r="A279" s="1" t="s">
        <v>189</v>
      </c>
      <c r="B279" s="210" t="s">
        <v>758</v>
      </c>
      <c r="C279" s="207" t="s">
        <v>627</v>
      </c>
      <c r="D279" s="41">
        <v>63</v>
      </c>
      <c r="E279" s="41">
        <v>13</v>
      </c>
      <c r="F279" s="41">
        <v>11.45</v>
      </c>
      <c r="G279" s="41">
        <v>7</v>
      </c>
      <c r="H279" s="1" t="str">
        <f t="shared" si="1"/>
        <v>High Minute</v>
      </c>
      <c r="I279" s="1"/>
    </row>
    <row r="280" spans="1:9" ht="13">
      <c r="A280" s="1" t="s">
        <v>189</v>
      </c>
      <c r="B280" s="210" t="s">
        <v>758</v>
      </c>
      <c r="C280" s="207" t="s">
        <v>628</v>
      </c>
      <c r="D280" s="41">
        <v>127</v>
      </c>
      <c r="E280" s="41">
        <v>29</v>
      </c>
      <c r="F280" s="41">
        <v>12</v>
      </c>
      <c r="G280" s="41">
        <v>14</v>
      </c>
      <c r="H280" s="1" t="str">
        <f t="shared" si="1"/>
        <v>High Minute</v>
      </c>
      <c r="I280" s="1"/>
    </row>
    <row r="281" spans="1:9" ht="13">
      <c r="A281" s="1" t="s">
        <v>189</v>
      </c>
      <c r="B281" s="210" t="s">
        <v>758</v>
      </c>
      <c r="C281" s="207" t="s">
        <v>629</v>
      </c>
      <c r="D281" s="41">
        <v>94</v>
      </c>
      <c r="E281" s="41">
        <v>21</v>
      </c>
      <c r="F281" s="41">
        <v>10.77</v>
      </c>
      <c r="G281" s="41">
        <v>12</v>
      </c>
      <c r="H281" s="1" t="str">
        <f t="shared" si="1"/>
        <v>High Minute</v>
      </c>
      <c r="I281" s="1"/>
    </row>
    <row r="282" spans="1:9" ht="13">
      <c r="A282" s="1" t="s">
        <v>189</v>
      </c>
      <c r="B282" s="210" t="s">
        <v>758</v>
      </c>
      <c r="C282" s="207" t="s">
        <v>630</v>
      </c>
      <c r="D282" s="41">
        <v>111</v>
      </c>
      <c r="E282" s="41">
        <v>18</v>
      </c>
      <c r="F282" s="41">
        <v>9.9499999999999993</v>
      </c>
      <c r="G282" s="41">
        <v>7</v>
      </c>
      <c r="H282" s="1" t="str">
        <f t="shared" si="1"/>
        <v>High Minute</v>
      </c>
      <c r="I282" s="1"/>
    </row>
    <row r="283" spans="1:9" ht="13">
      <c r="A283" s="1" t="s">
        <v>189</v>
      </c>
      <c r="B283" s="210" t="s">
        <v>758</v>
      </c>
      <c r="C283" s="211" t="s">
        <v>631</v>
      </c>
      <c r="D283" s="45">
        <v>568</v>
      </c>
      <c r="E283" s="45">
        <v>89</v>
      </c>
      <c r="F283" s="45">
        <v>8.15</v>
      </c>
      <c r="G283" s="45">
        <v>44</v>
      </c>
      <c r="H283" s="1" t="str">
        <f t="shared" si="1"/>
        <v>High Minute</v>
      </c>
      <c r="I283" s="1"/>
    </row>
    <row r="284" spans="1:9" ht="13">
      <c r="A284" s="1" t="s">
        <v>189</v>
      </c>
      <c r="B284" s="210" t="s">
        <v>759</v>
      </c>
      <c r="C284" s="207" t="s">
        <v>626</v>
      </c>
      <c r="D284" s="41">
        <v>158</v>
      </c>
      <c r="E284" s="41">
        <v>7</v>
      </c>
      <c r="F284" s="41">
        <v>5.04</v>
      </c>
      <c r="G284" s="41">
        <v>10</v>
      </c>
      <c r="H284" s="1" t="str">
        <f t="shared" si="1"/>
        <v>High Minute</v>
      </c>
      <c r="I284" s="1"/>
    </row>
    <row r="285" spans="1:9" ht="13">
      <c r="A285" s="1" t="s">
        <v>189</v>
      </c>
      <c r="B285" s="210" t="s">
        <v>759</v>
      </c>
      <c r="C285" s="207" t="s">
        <v>627</v>
      </c>
      <c r="D285" s="41">
        <v>51</v>
      </c>
      <c r="E285" s="41">
        <v>12</v>
      </c>
      <c r="F285" s="41">
        <v>11.9</v>
      </c>
      <c r="G285" s="41">
        <v>6</v>
      </c>
      <c r="H285" s="1" t="str">
        <f t="shared" si="1"/>
        <v>High Minute</v>
      </c>
      <c r="I285" s="1"/>
    </row>
    <row r="286" spans="1:9" ht="13">
      <c r="A286" s="1" t="s">
        <v>189</v>
      </c>
      <c r="B286" s="210" t="s">
        <v>759</v>
      </c>
      <c r="C286" s="207" t="s">
        <v>628</v>
      </c>
      <c r="D286" s="41">
        <v>93</v>
      </c>
      <c r="E286" s="41">
        <v>24</v>
      </c>
      <c r="F286" s="41">
        <v>11.89</v>
      </c>
      <c r="G286" s="41">
        <v>8</v>
      </c>
      <c r="H286" s="1" t="str">
        <f t="shared" si="1"/>
        <v>High Minute</v>
      </c>
      <c r="I286" s="1"/>
    </row>
    <row r="287" spans="1:9" ht="13">
      <c r="A287" s="1" t="s">
        <v>189</v>
      </c>
      <c r="B287" s="210" t="s">
        <v>759</v>
      </c>
      <c r="C287" s="207" t="s">
        <v>629</v>
      </c>
      <c r="D287" s="41">
        <v>113</v>
      </c>
      <c r="E287" s="41">
        <v>33</v>
      </c>
      <c r="F287" s="41">
        <v>10.95</v>
      </c>
      <c r="G287" s="41">
        <v>9</v>
      </c>
      <c r="H287" s="1" t="str">
        <f t="shared" si="1"/>
        <v>High Minute</v>
      </c>
      <c r="I287" s="1"/>
    </row>
    <row r="288" spans="1:9" ht="13">
      <c r="A288" s="1" t="s">
        <v>189</v>
      </c>
      <c r="B288" s="210" t="s">
        <v>759</v>
      </c>
      <c r="C288" s="207" t="s">
        <v>630</v>
      </c>
      <c r="D288" s="41">
        <v>206</v>
      </c>
      <c r="E288" s="41">
        <v>43</v>
      </c>
      <c r="F288" s="41">
        <v>9.52</v>
      </c>
      <c r="G288" s="41">
        <v>18</v>
      </c>
      <c r="H288" s="1" t="str">
        <f t="shared" si="1"/>
        <v>High Minute</v>
      </c>
      <c r="I288" s="1"/>
    </row>
    <row r="289" spans="1:9" ht="13">
      <c r="A289" s="1" t="s">
        <v>189</v>
      </c>
      <c r="B289" s="210" t="s">
        <v>759</v>
      </c>
      <c r="C289" s="211" t="s">
        <v>631</v>
      </c>
      <c r="D289" s="45">
        <v>621</v>
      </c>
      <c r="E289" s="45">
        <v>119</v>
      </c>
      <c r="F289" s="45">
        <v>8.24</v>
      </c>
      <c r="G289" s="45">
        <v>51</v>
      </c>
      <c r="H289" s="1" t="str">
        <f t="shared" si="1"/>
        <v>High Minute</v>
      </c>
      <c r="I289" s="1"/>
    </row>
    <row r="290" spans="1:9" ht="13">
      <c r="A290" s="1" t="s">
        <v>189</v>
      </c>
      <c r="B290" s="210" t="s">
        <v>760</v>
      </c>
      <c r="C290" s="207" t="s">
        <v>626</v>
      </c>
      <c r="D290" s="41">
        <v>194</v>
      </c>
      <c r="E290" s="41">
        <v>7</v>
      </c>
      <c r="F290" s="41">
        <v>5.2</v>
      </c>
      <c r="G290" s="41">
        <v>11</v>
      </c>
      <c r="H290" s="1" t="str">
        <f t="shared" si="1"/>
        <v>High Minute</v>
      </c>
      <c r="I290" s="1"/>
    </row>
    <row r="291" spans="1:9" ht="13">
      <c r="A291" s="1" t="s">
        <v>189</v>
      </c>
      <c r="B291" s="210" t="s">
        <v>760</v>
      </c>
      <c r="C291" s="207" t="s">
        <v>627</v>
      </c>
      <c r="D291" s="41">
        <v>106</v>
      </c>
      <c r="E291" s="41">
        <v>21</v>
      </c>
      <c r="F291" s="41">
        <v>13.05</v>
      </c>
      <c r="G291" s="41">
        <v>8</v>
      </c>
      <c r="H291" s="1" t="str">
        <f t="shared" si="1"/>
        <v>High Minute</v>
      </c>
      <c r="I291" s="1"/>
    </row>
    <row r="292" spans="1:9" ht="13">
      <c r="A292" s="1" t="s">
        <v>189</v>
      </c>
      <c r="B292" s="210" t="s">
        <v>760</v>
      </c>
      <c r="C292" s="207" t="s">
        <v>628</v>
      </c>
      <c r="D292" s="41">
        <v>70</v>
      </c>
      <c r="E292" s="41">
        <v>17</v>
      </c>
      <c r="F292" s="41">
        <v>10.83</v>
      </c>
      <c r="G292" s="41">
        <v>7</v>
      </c>
      <c r="H292" s="1" t="str">
        <f t="shared" si="1"/>
        <v>High Minute</v>
      </c>
      <c r="I292" s="1"/>
    </row>
    <row r="293" spans="1:9" ht="13">
      <c r="A293" s="1" t="s">
        <v>189</v>
      </c>
      <c r="B293" s="210" t="s">
        <v>760</v>
      </c>
      <c r="C293" s="207" t="s">
        <v>629</v>
      </c>
      <c r="D293" s="41">
        <v>115</v>
      </c>
      <c r="E293" s="41">
        <v>25</v>
      </c>
      <c r="F293" s="41">
        <v>9.75</v>
      </c>
      <c r="G293" s="41">
        <v>8</v>
      </c>
      <c r="H293" s="1" t="str">
        <f t="shared" si="1"/>
        <v>High Minute</v>
      </c>
      <c r="I293" s="1"/>
    </row>
    <row r="294" spans="1:9" ht="13">
      <c r="A294" s="1" t="s">
        <v>189</v>
      </c>
      <c r="B294" s="210" t="s">
        <v>760</v>
      </c>
      <c r="C294" s="207" t="s">
        <v>630</v>
      </c>
      <c r="D294" s="41">
        <v>137</v>
      </c>
      <c r="E294" s="41">
        <v>21</v>
      </c>
      <c r="F294" s="41">
        <v>10.8</v>
      </c>
      <c r="G294" s="41">
        <v>10</v>
      </c>
      <c r="H294" s="1" t="str">
        <f t="shared" si="1"/>
        <v>High Minute</v>
      </c>
      <c r="I294" s="1"/>
    </row>
    <row r="295" spans="1:9" ht="13">
      <c r="A295" s="1" t="s">
        <v>189</v>
      </c>
      <c r="B295" s="210" t="s">
        <v>760</v>
      </c>
      <c r="C295" s="211" t="s">
        <v>631</v>
      </c>
      <c r="D295" s="45">
        <v>623</v>
      </c>
      <c r="E295" s="45">
        <v>91</v>
      </c>
      <c r="F295" s="45">
        <v>8.15</v>
      </c>
      <c r="G295" s="45">
        <v>44</v>
      </c>
      <c r="H295" s="1" t="str">
        <f t="shared" si="1"/>
        <v>High Minute</v>
      </c>
      <c r="I295" s="1"/>
    </row>
    <row r="296" spans="1:9" ht="13">
      <c r="A296" s="1" t="s">
        <v>637</v>
      </c>
      <c r="B296" s="210" t="s">
        <v>758</v>
      </c>
      <c r="C296" s="207" t="s">
        <v>626</v>
      </c>
      <c r="D296" s="41">
        <v>163</v>
      </c>
      <c r="E296" s="41">
        <v>3</v>
      </c>
      <c r="F296" s="41">
        <v>4.8600000000000003</v>
      </c>
      <c r="G296" s="41">
        <v>2</v>
      </c>
      <c r="H296" s="1" t="str">
        <f t="shared" si="1"/>
        <v>Development</v>
      </c>
      <c r="I296" s="1"/>
    </row>
    <row r="297" spans="1:9" ht="13">
      <c r="A297" s="1" t="s">
        <v>637</v>
      </c>
      <c r="B297" s="210" t="s">
        <v>758</v>
      </c>
      <c r="C297" s="207" t="s">
        <v>630</v>
      </c>
      <c r="D297" s="41">
        <v>24</v>
      </c>
      <c r="E297" s="41">
        <v>6</v>
      </c>
      <c r="F297" s="41">
        <v>9.67</v>
      </c>
      <c r="G297" s="41">
        <v>4</v>
      </c>
      <c r="H297" s="1" t="str">
        <f t="shared" si="1"/>
        <v>Development</v>
      </c>
      <c r="I297" s="1"/>
    </row>
    <row r="298" spans="1:9" ht="13">
      <c r="A298" s="1" t="s">
        <v>637</v>
      </c>
      <c r="B298" s="210" t="s">
        <v>758</v>
      </c>
      <c r="C298" s="211" t="s">
        <v>631</v>
      </c>
      <c r="D298" s="45">
        <v>187</v>
      </c>
      <c r="E298" s="45">
        <v>9</v>
      </c>
      <c r="F298" s="45">
        <v>5.19</v>
      </c>
      <c r="G298" s="45">
        <v>6</v>
      </c>
      <c r="H298" s="1" t="str">
        <f t="shared" si="1"/>
        <v>Development</v>
      </c>
      <c r="I298" s="1"/>
    </row>
    <row r="299" spans="1:9" ht="13">
      <c r="A299" s="1" t="s">
        <v>637</v>
      </c>
      <c r="B299" s="210" t="s">
        <v>759</v>
      </c>
      <c r="C299" s="207" t="s">
        <v>626</v>
      </c>
      <c r="D299" s="41">
        <v>133</v>
      </c>
      <c r="E299" s="41">
        <v>2</v>
      </c>
      <c r="F299" s="41">
        <v>4.24</v>
      </c>
      <c r="G299" s="41">
        <v>3</v>
      </c>
      <c r="H299" s="1" t="str">
        <f t="shared" si="1"/>
        <v>Development</v>
      </c>
      <c r="I299" s="1"/>
    </row>
    <row r="300" spans="1:9" ht="13">
      <c r="A300" s="1" t="s">
        <v>637</v>
      </c>
      <c r="B300" s="210" t="s">
        <v>759</v>
      </c>
      <c r="C300" s="211" t="s">
        <v>631</v>
      </c>
      <c r="D300" s="45">
        <v>133</v>
      </c>
      <c r="E300" s="45">
        <v>2</v>
      </c>
      <c r="F300" s="45">
        <v>4.24</v>
      </c>
      <c r="G300" s="45">
        <v>3</v>
      </c>
      <c r="H300" s="1" t="str">
        <f t="shared" si="1"/>
        <v>Development</v>
      </c>
      <c r="I300" s="1"/>
    </row>
    <row r="301" spans="1:9" ht="13">
      <c r="A301" s="1" t="s">
        <v>637</v>
      </c>
      <c r="B301" s="210" t="s">
        <v>760</v>
      </c>
      <c r="C301" s="207" t="s">
        <v>626</v>
      </c>
      <c r="D301" s="41">
        <v>156</v>
      </c>
      <c r="E301" s="41">
        <v>4</v>
      </c>
      <c r="F301" s="41">
        <v>4.1900000000000004</v>
      </c>
      <c r="G301" s="41">
        <v>2</v>
      </c>
      <c r="H301" s="1" t="str">
        <f t="shared" si="1"/>
        <v>Development</v>
      </c>
      <c r="I301" s="1"/>
    </row>
    <row r="302" spans="1:9" ht="13">
      <c r="A302" s="1" t="s">
        <v>637</v>
      </c>
      <c r="B302" s="1" t="s">
        <v>760</v>
      </c>
      <c r="C302" s="211" t="s">
        <v>631</v>
      </c>
      <c r="D302" s="45">
        <v>156</v>
      </c>
      <c r="E302" s="45">
        <v>4</v>
      </c>
      <c r="F302" s="45">
        <v>4.1900000000000004</v>
      </c>
      <c r="G302" s="45">
        <v>2</v>
      </c>
      <c r="H302" s="1" t="str">
        <f t="shared" si="1"/>
        <v>Development</v>
      </c>
      <c r="I302" s="1"/>
    </row>
    <row r="303" spans="1:9" ht="13">
      <c r="A303" s="1" t="s">
        <v>634</v>
      </c>
      <c r="B303" s="210" t="s">
        <v>758</v>
      </c>
      <c r="C303" s="207" t="s">
        <v>626</v>
      </c>
      <c r="D303" s="41">
        <v>147</v>
      </c>
      <c r="E303" s="41">
        <v>1</v>
      </c>
      <c r="F303" s="41">
        <v>4.38</v>
      </c>
      <c r="G303" s="41">
        <v>5</v>
      </c>
      <c r="H303" s="1" t="str">
        <f t="shared" si="1"/>
        <v>Development</v>
      </c>
      <c r="I303" s="1"/>
    </row>
    <row r="304" spans="1:9" ht="13">
      <c r="A304" s="1" t="s">
        <v>634</v>
      </c>
      <c r="B304" s="210" t="s">
        <v>758</v>
      </c>
      <c r="C304" s="207" t="s">
        <v>630</v>
      </c>
      <c r="D304" s="41">
        <v>75</v>
      </c>
      <c r="E304" s="41">
        <v>12</v>
      </c>
      <c r="F304" s="41">
        <v>8.89</v>
      </c>
      <c r="G304" s="41">
        <v>9</v>
      </c>
      <c r="H304" s="1" t="str">
        <f t="shared" si="1"/>
        <v>Development</v>
      </c>
      <c r="I304" s="1"/>
    </row>
    <row r="305" spans="1:9" ht="13">
      <c r="A305" s="1" t="s">
        <v>634</v>
      </c>
      <c r="B305" s="210" t="s">
        <v>758</v>
      </c>
      <c r="C305" s="211" t="s">
        <v>631</v>
      </c>
      <c r="D305" s="45">
        <v>222</v>
      </c>
      <c r="E305" s="45">
        <v>13</v>
      </c>
      <c r="F305" s="45">
        <v>5.29</v>
      </c>
      <c r="G305" s="45">
        <v>14</v>
      </c>
      <c r="H305" s="1" t="str">
        <f t="shared" si="1"/>
        <v>Development</v>
      </c>
      <c r="I305" s="1"/>
    </row>
    <row r="306" spans="1:9" ht="13">
      <c r="A306" s="1" t="s">
        <v>634</v>
      </c>
      <c r="B306" s="210" t="s">
        <v>759</v>
      </c>
      <c r="C306" s="207" t="s">
        <v>626</v>
      </c>
      <c r="D306" s="41">
        <v>147</v>
      </c>
      <c r="E306" s="41">
        <v>2</v>
      </c>
      <c r="F306" s="41">
        <v>4.7</v>
      </c>
      <c r="G306" s="41">
        <v>6</v>
      </c>
      <c r="H306" s="1" t="str">
        <f t="shared" si="1"/>
        <v>Development</v>
      </c>
      <c r="I306" s="1"/>
    </row>
    <row r="307" spans="1:9" ht="13">
      <c r="A307" s="1" t="s">
        <v>634</v>
      </c>
      <c r="B307" s="210" t="s">
        <v>759</v>
      </c>
      <c r="C307" s="211" t="s">
        <v>631</v>
      </c>
      <c r="D307" s="45">
        <v>147</v>
      </c>
      <c r="E307" s="45">
        <v>2</v>
      </c>
      <c r="F307" s="45">
        <v>4.7</v>
      </c>
      <c r="G307" s="45">
        <v>6</v>
      </c>
      <c r="H307" s="1" t="str">
        <f t="shared" si="1"/>
        <v>Development</v>
      </c>
      <c r="I307" s="1"/>
    </row>
    <row r="308" spans="1:9" ht="13">
      <c r="A308" s="1" t="s">
        <v>634</v>
      </c>
      <c r="B308" s="210" t="s">
        <v>760</v>
      </c>
      <c r="C308" s="207" t="s">
        <v>626</v>
      </c>
      <c r="D308" s="41">
        <v>163</v>
      </c>
      <c r="E308" s="41">
        <v>4</v>
      </c>
      <c r="F308" s="41">
        <v>4.37</v>
      </c>
      <c r="G308" s="41">
        <v>5</v>
      </c>
      <c r="H308" s="1" t="str">
        <f t="shared" si="1"/>
        <v>Development</v>
      </c>
      <c r="I308" s="1"/>
    </row>
    <row r="309" spans="1:9" ht="13">
      <c r="A309" s="1" t="s">
        <v>634</v>
      </c>
      <c r="B309" s="210" t="s">
        <v>760</v>
      </c>
      <c r="C309" s="207" t="s">
        <v>628</v>
      </c>
      <c r="D309" s="41">
        <v>83</v>
      </c>
      <c r="E309" s="41">
        <v>22</v>
      </c>
      <c r="F309" s="41">
        <v>11.87</v>
      </c>
      <c r="G309" s="41">
        <v>9</v>
      </c>
      <c r="H309" s="1" t="str">
        <f t="shared" si="1"/>
        <v>Development</v>
      </c>
      <c r="I309" s="1"/>
    </row>
    <row r="310" spans="1:9" ht="13">
      <c r="A310" s="1" t="s">
        <v>634</v>
      </c>
      <c r="B310" s="210" t="s">
        <v>760</v>
      </c>
      <c r="C310" s="211" t="s">
        <v>631</v>
      </c>
      <c r="D310" s="45">
        <v>246</v>
      </c>
      <c r="E310" s="45">
        <v>26</v>
      </c>
      <c r="F310" s="45">
        <v>5.55</v>
      </c>
      <c r="G310" s="45">
        <v>14</v>
      </c>
      <c r="H310" s="1" t="str">
        <f t="shared" si="1"/>
        <v>Development</v>
      </c>
      <c r="I310" s="1"/>
    </row>
    <row r="311" spans="1:9" ht="13">
      <c r="A311" s="1" t="s">
        <v>157</v>
      </c>
      <c r="B311" s="210" t="s">
        <v>758</v>
      </c>
      <c r="C311" s="207" t="s">
        <v>626</v>
      </c>
      <c r="D311" s="41">
        <v>154</v>
      </c>
      <c r="E311" s="41">
        <v>3</v>
      </c>
      <c r="F311" s="41">
        <v>4.59</v>
      </c>
      <c r="G311" s="41">
        <v>7</v>
      </c>
      <c r="H311" s="1" t="str">
        <f t="shared" si="1"/>
        <v>High Minute</v>
      </c>
      <c r="I311" s="1"/>
    </row>
    <row r="312" spans="1:9" ht="13">
      <c r="A312" s="1" t="s">
        <v>157</v>
      </c>
      <c r="B312" s="210" t="s">
        <v>758</v>
      </c>
      <c r="C312" s="207" t="s">
        <v>627</v>
      </c>
      <c r="D312" s="41">
        <v>85</v>
      </c>
      <c r="E312" s="41">
        <v>10</v>
      </c>
      <c r="F312" s="41">
        <v>9.19</v>
      </c>
      <c r="G312" s="41">
        <v>2</v>
      </c>
      <c r="H312" s="1" t="str">
        <f t="shared" si="1"/>
        <v>High Minute</v>
      </c>
      <c r="I312" s="1"/>
    </row>
    <row r="313" spans="1:9" ht="13">
      <c r="A313" s="1" t="s">
        <v>157</v>
      </c>
      <c r="B313" s="210" t="s">
        <v>758</v>
      </c>
      <c r="C313" s="207" t="s">
        <v>628</v>
      </c>
      <c r="D313" s="41">
        <v>127</v>
      </c>
      <c r="E313" s="41">
        <v>23</v>
      </c>
      <c r="F313" s="41">
        <v>9.41</v>
      </c>
      <c r="G313" s="41">
        <v>10</v>
      </c>
      <c r="H313" s="1" t="str">
        <f t="shared" si="1"/>
        <v>High Minute</v>
      </c>
      <c r="I313" s="1"/>
    </row>
    <row r="314" spans="1:9" ht="13">
      <c r="A314" s="1" t="s">
        <v>157</v>
      </c>
      <c r="B314" s="210" t="s">
        <v>758</v>
      </c>
      <c r="C314" s="207" t="s">
        <v>629</v>
      </c>
      <c r="D314" s="41">
        <v>158</v>
      </c>
      <c r="E314" s="41">
        <v>23</v>
      </c>
      <c r="F314" s="41">
        <v>8.5500000000000007</v>
      </c>
      <c r="G314" s="41">
        <v>7</v>
      </c>
      <c r="H314" s="1" t="str">
        <f t="shared" si="1"/>
        <v>High Minute</v>
      </c>
      <c r="I314" s="1"/>
    </row>
    <row r="315" spans="1:9" ht="13">
      <c r="A315" s="1" t="s">
        <v>157</v>
      </c>
      <c r="B315" s="210" t="s">
        <v>758</v>
      </c>
      <c r="C315" s="207" t="s">
        <v>630</v>
      </c>
      <c r="D315" s="41">
        <v>57</v>
      </c>
      <c r="E315" s="41">
        <v>3</v>
      </c>
      <c r="F315" s="41">
        <v>8.81</v>
      </c>
      <c r="G315" s="41">
        <v>4</v>
      </c>
      <c r="H315" s="1" t="str">
        <f t="shared" si="1"/>
        <v>High Minute</v>
      </c>
      <c r="I315" s="1"/>
    </row>
    <row r="316" spans="1:9" ht="13">
      <c r="A316" s="1" t="s">
        <v>157</v>
      </c>
      <c r="B316" s="210" t="s">
        <v>758</v>
      </c>
      <c r="C316" s="211" t="s">
        <v>631</v>
      </c>
      <c r="D316" s="45">
        <v>580</v>
      </c>
      <c r="E316" s="45">
        <v>62</v>
      </c>
      <c r="F316" s="45">
        <v>7.15</v>
      </c>
      <c r="G316" s="45">
        <v>30</v>
      </c>
      <c r="H316" s="1" t="str">
        <f t="shared" si="1"/>
        <v>High Minute</v>
      </c>
      <c r="I316" s="1"/>
    </row>
    <row r="317" spans="1:9" ht="13">
      <c r="A317" s="1" t="s">
        <v>157</v>
      </c>
      <c r="B317" s="210" t="s">
        <v>759</v>
      </c>
      <c r="C317" s="207" t="s">
        <v>626</v>
      </c>
      <c r="D317" s="41">
        <v>140</v>
      </c>
      <c r="E317" s="41">
        <v>1</v>
      </c>
      <c r="F317" s="41">
        <v>4.4800000000000004</v>
      </c>
      <c r="G317" s="41">
        <v>4</v>
      </c>
      <c r="H317" s="1" t="str">
        <f t="shared" si="1"/>
        <v>High Minute</v>
      </c>
      <c r="I317" s="1"/>
    </row>
    <row r="318" spans="1:9" ht="13">
      <c r="A318" s="1" t="s">
        <v>157</v>
      </c>
      <c r="B318" s="210" t="s">
        <v>759</v>
      </c>
      <c r="C318" s="207" t="s">
        <v>627</v>
      </c>
      <c r="D318" s="41">
        <v>83</v>
      </c>
      <c r="E318" s="41">
        <v>12</v>
      </c>
      <c r="F318" s="41">
        <v>9.8699999999999992</v>
      </c>
      <c r="G318" s="41">
        <v>3</v>
      </c>
      <c r="H318" s="1" t="str">
        <f t="shared" si="1"/>
        <v>High Minute</v>
      </c>
      <c r="I318" s="1"/>
    </row>
    <row r="319" spans="1:9" ht="13">
      <c r="A319" s="1" t="s">
        <v>157</v>
      </c>
      <c r="B319" s="210" t="s">
        <v>759</v>
      </c>
      <c r="C319" s="207" t="s">
        <v>628</v>
      </c>
      <c r="D319" s="41">
        <v>137</v>
      </c>
      <c r="E319" s="41">
        <v>19</v>
      </c>
      <c r="F319" s="41">
        <v>10.220000000000001</v>
      </c>
      <c r="G319" s="41">
        <v>6</v>
      </c>
      <c r="H319" s="1" t="str">
        <f t="shared" si="1"/>
        <v>High Minute</v>
      </c>
      <c r="I319" s="1"/>
    </row>
    <row r="320" spans="1:9" ht="13">
      <c r="A320" s="1" t="s">
        <v>157</v>
      </c>
      <c r="B320" s="210" t="s">
        <v>759</v>
      </c>
      <c r="C320" s="207" t="s">
        <v>629</v>
      </c>
      <c r="D320" s="41">
        <v>124</v>
      </c>
      <c r="E320" s="41">
        <v>22</v>
      </c>
      <c r="F320" s="41">
        <v>8.51</v>
      </c>
      <c r="G320" s="41">
        <v>10</v>
      </c>
      <c r="H320" s="1" t="str">
        <f t="shared" si="1"/>
        <v>High Minute</v>
      </c>
      <c r="I320" s="1"/>
    </row>
    <row r="321" spans="1:9" ht="13">
      <c r="A321" s="1" t="s">
        <v>157</v>
      </c>
      <c r="B321" s="210" t="s">
        <v>759</v>
      </c>
      <c r="C321" s="211" t="s">
        <v>631</v>
      </c>
      <c r="D321" s="45">
        <v>484</v>
      </c>
      <c r="E321" s="45">
        <v>54</v>
      </c>
      <c r="F321" s="45">
        <v>7.15</v>
      </c>
      <c r="G321" s="45">
        <v>23</v>
      </c>
      <c r="H321" s="1" t="str">
        <f t="shared" si="1"/>
        <v>High Minute</v>
      </c>
      <c r="I321" s="1"/>
    </row>
    <row r="322" spans="1:9" ht="13">
      <c r="A322" s="1" t="s">
        <v>157</v>
      </c>
      <c r="B322" s="210" t="s">
        <v>760</v>
      </c>
      <c r="C322" s="207" t="s">
        <v>626</v>
      </c>
      <c r="D322" s="41">
        <v>174</v>
      </c>
      <c r="E322" s="41">
        <v>3</v>
      </c>
      <c r="F322" s="41">
        <v>4.6500000000000004</v>
      </c>
      <c r="G322" s="41">
        <v>10</v>
      </c>
      <c r="H322" s="1" t="str">
        <f t="shared" si="1"/>
        <v>High Minute</v>
      </c>
      <c r="I322" s="1"/>
    </row>
    <row r="323" spans="1:9" ht="13">
      <c r="A323" s="1" t="s">
        <v>157</v>
      </c>
      <c r="B323" s="210" t="s">
        <v>760</v>
      </c>
      <c r="C323" s="207" t="s">
        <v>627</v>
      </c>
      <c r="D323" s="41">
        <v>91</v>
      </c>
      <c r="E323" s="41">
        <v>12</v>
      </c>
      <c r="F323" s="41">
        <v>10.01</v>
      </c>
      <c r="G323" s="41">
        <v>8</v>
      </c>
      <c r="H323" s="1" t="str">
        <f t="shared" si="1"/>
        <v>High Minute</v>
      </c>
      <c r="I323" s="1"/>
    </row>
    <row r="324" spans="1:9" ht="13">
      <c r="A324" s="1" t="s">
        <v>157</v>
      </c>
      <c r="B324" s="210" t="s">
        <v>760</v>
      </c>
      <c r="C324" s="207" t="s">
        <v>628</v>
      </c>
      <c r="D324" s="41">
        <v>68</v>
      </c>
      <c r="E324" s="41">
        <v>7</v>
      </c>
      <c r="F324" s="41">
        <v>9.4</v>
      </c>
      <c r="G324" s="41">
        <v>6</v>
      </c>
      <c r="H324" s="1" t="str">
        <f t="shared" si="1"/>
        <v>High Minute</v>
      </c>
      <c r="I324" s="1"/>
    </row>
    <row r="325" spans="1:9" ht="13">
      <c r="A325" s="1" t="s">
        <v>157</v>
      </c>
      <c r="B325" s="210" t="s">
        <v>760</v>
      </c>
      <c r="C325" s="207" t="s">
        <v>629</v>
      </c>
      <c r="D325" s="41">
        <v>65</v>
      </c>
      <c r="E325" s="41">
        <v>1</v>
      </c>
      <c r="F325" s="41">
        <v>8.23</v>
      </c>
      <c r="G325" s="41">
        <v>140</v>
      </c>
      <c r="H325" s="1" t="str">
        <f t="shared" si="1"/>
        <v>High Minute</v>
      </c>
      <c r="I325" s="1"/>
    </row>
    <row r="326" spans="1:9" ht="13">
      <c r="A326" s="1" t="s">
        <v>157</v>
      </c>
      <c r="B326" s="210" t="s">
        <v>760</v>
      </c>
      <c r="C326" s="207" t="s">
        <v>630</v>
      </c>
      <c r="D326" s="41">
        <v>40</v>
      </c>
      <c r="E326" s="41">
        <v>3</v>
      </c>
      <c r="F326" s="41">
        <v>5.51</v>
      </c>
      <c r="G326" s="41">
        <v>90</v>
      </c>
      <c r="H326" s="1" t="str">
        <f t="shared" si="1"/>
        <v>High Minute</v>
      </c>
      <c r="I326" s="1"/>
    </row>
    <row r="327" spans="1:9" ht="13">
      <c r="A327" s="1" t="s">
        <v>157</v>
      </c>
      <c r="B327" s="210" t="s">
        <v>760</v>
      </c>
      <c r="C327" s="211" t="s">
        <v>631</v>
      </c>
      <c r="D327" s="45">
        <v>438</v>
      </c>
      <c r="E327" s="45">
        <v>26</v>
      </c>
      <c r="F327" s="45">
        <v>6.36</v>
      </c>
      <c r="G327" s="45">
        <v>254</v>
      </c>
      <c r="H327" s="1" t="str">
        <f t="shared" si="1"/>
        <v>High Minute</v>
      </c>
      <c r="I327" s="1"/>
    </row>
    <row r="328" spans="1:9" ht="13">
      <c r="A328" s="1" t="s">
        <v>159</v>
      </c>
      <c r="B328" s="210" t="s">
        <v>759</v>
      </c>
      <c r="C328" s="207" t="s">
        <v>626</v>
      </c>
      <c r="D328" s="41">
        <v>124</v>
      </c>
      <c r="E328" s="41">
        <v>2</v>
      </c>
      <c r="F328" s="41">
        <v>3.97</v>
      </c>
      <c r="G328" s="41">
        <v>1</v>
      </c>
      <c r="H328" s="1" t="str">
        <f t="shared" si="1"/>
        <v>High Minute</v>
      </c>
      <c r="I328" s="1"/>
    </row>
    <row r="329" spans="1:9" ht="13">
      <c r="A329" s="1" t="s">
        <v>159</v>
      </c>
      <c r="B329" s="210" t="s">
        <v>759</v>
      </c>
      <c r="C329" s="207" t="s">
        <v>627</v>
      </c>
      <c r="D329" s="41">
        <v>139</v>
      </c>
      <c r="E329" s="41">
        <v>22</v>
      </c>
      <c r="F329" s="41">
        <v>10.93</v>
      </c>
      <c r="G329" s="41">
        <v>7</v>
      </c>
      <c r="H329" s="1" t="str">
        <f t="shared" si="1"/>
        <v>High Minute</v>
      </c>
      <c r="I329" s="1"/>
    </row>
    <row r="330" spans="1:9" ht="13">
      <c r="A330" s="1" t="s">
        <v>159</v>
      </c>
      <c r="B330" s="210" t="s">
        <v>759</v>
      </c>
      <c r="C330" s="207" t="s">
        <v>628</v>
      </c>
      <c r="D330" s="41">
        <v>49</v>
      </c>
      <c r="E330" s="41">
        <v>11</v>
      </c>
      <c r="F330" s="41">
        <v>9.52</v>
      </c>
      <c r="G330" s="41">
        <v>8</v>
      </c>
      <c r="H330" s="1" t="str">
        <f t="shared" si="1"/>
        <v>High Minute</v>
      </c>
      <c r="I330" s="1"/>
    </row>
    <row r="331" spans="1:9" ht="13">
      <c r="A331" s="1" t="s">
        <v>159</v>
      </c>
      <c r="B331" s="210" t="s">
        <v>759</v>
      </c>
      <c r="C331" s="207" t="s">
        <v>629</v>
      </c>
      <c r="D331" s="41">
        <v>171</v>
      </c>
      <c r="E331" s="41">
        <v>25</v>
      </c>
      <c r="F331" s="41">
        <v>8.8699999999999992</v>
      </c>
      <c r="G331" s="41">
        <v>16</v>
      </c>
      <c r="H331" s="1" t="str">
        <f t="shared" si="1"/>
        <v>High Minute</v>
      </c>
      <c r="I331" s="1"/>
    </row>
    <row r="332" spans="1:9" ht="13">
      <c r="A332" s="1" t="s">
        <v>159</v>
      </c>
      <c r="B332" s="210" t="s">
        <v>759</v>
      </c>
      <c r="C332" s="207" t="s">
        <v>630</v>
      </c>
      <c r="D332" s="41">
        <v>98</v>
      </c>
      <c r="E332" s="41">
        <v>19</v>
      </c>
      <c r="F332" s="41">
        <v>8.34</v>
      </c>
      <c r="G332" s="41">
        <v>11</v>
      </c>
      <c r="H332" s="1" t="str">
        <f t="shared" si="1"/>
        <v>High Minute</v>
      </c>
      <c r="I332" s="1"/>
    </row>
    <row r="333" spans="1:9" ht="13">
      <c r="A333" s="1" t="s">
        <v>159</v>
      </c>
      <c r="B333" s="210" t="s">
        <v>759</v>
      </c>
      <c r="C333" s="211" t="s">
        <v>631</v>
      </c>
      <c r="D333" s="45">
        <v>581</v>
      </c>
      <c r="E333" s="45">
        <v>79</v>
      </c>
      <c r="F333" s="45">
        <v>7.25</v>
      </c>
      <c r="G333" s="45">
        <v>43</v>
      </c>
      <c r="H333" s="1" t="str">
        <f t="shared" si="1"/>
        <v>High Minute</v>
      </c>
      <c r="I333" s="1"/>
    </row>
    <row r="334" spans="1:9" ht="13">
      <c r="A334" s="1" t="s">
        <v>159</v>
      </c>
      <c r="B334" s="210" t="s">
        <v>760</v>
      </c>
      <c r="C334" s="207" t="s">
        <v>626</v>
      </c>
      <c r="D334" s="41">
        <v>164</v>
      </c>
      <c r="E334" s="41">
        <v>3</v>
      </c>
      <c r="F334" s="41">
        <v>4.3899999999999997</v>
      </c>
      <c r="G334" s="41">
        <v>4</v>
      </c>
      <c r="H334" s="1" t="str">
        <f t="shared" si="1"/>
        <v>High Minute</v>
      </c>
      <c r="I334" s="1"/>
    </row>
    <row r="335" spans="1:9" ht="13">
      <c r="A335" s="1" t="s">
        <v>159</v>
      </c>
      <c r="B335" s="210" t="s">
        <v>760</v>
      </c>
      <c r="C335" s="207" t="s">
        <v>627</v>
      </c>
      <c r="D335" s="41">
        <v>148</v>
      </c>
      <c r="E335" s="41">
        <v>19</v>
      </c>
      <c r="F335" s="41">
        <v>10.78</v>
      </c>
      <c r="G335" s="41">
        <v>10</v>
      </c>
      <c r="H335" s="1" t="str">
        <f t="shared" si="1"/>
        <v>High Minute</v>
      </c>
      <c r="I335" s="1"/>
    </row>
    <row r="336" spans="1:9" ht="13">
      <c r="A336" s="1" t="s">
        <v>159</v>
      </c>
      <c r="B336" s="210" t="s">
        <v>760</v>
      </c>
      <c r="C336" s="207" t="s">
        <v>628</v>
      </c>
      <c r="D336" s="41">
        <v>112</v>
      </c>
      <c r="E336" s="41">
        <v>13</v>
      </c>
      <c r="F336" s="41">
        <v>8.27</v>
      </c>
      <c r="G336" s="41">
        <v>5</v>
      </c>
      <c r="H336" s="1" t="str">
        <f t="shared" si="1"/>
        <v>High Minute</v>
      </c>
      <c r="I336" s="1"/>
    </row>
    <row r="337" spans="1:9" ht="13">
      <c r="A337" s="1" t="s">
        <v>159</v>
      </c>
      <c r="B337" s="210" t="s">
        <v>760</v>
      </c>
      <c r="C337" s="207" t="s">
        <v>629</v>
      </c>
      <c r="D337" s="41">
        <v>149</v>
      </c>
      <c r="E337" s="41">
        <v>20</v>
      </c>
      <c r="F337" s="41">
        <v>8.89</v>
      </c>
      <c r="G337" s="41">
        <v>13</v>
      </c>
      <c r="H337" s="1" t="str">
        <f t="shared" si="1"/>
        <v>High Minute</v>
      </c>
      <c r="I337" s="1"/>
    </row>
    <row r="338" spans="1:9" ht="13">
      <c r="A338" s="1" t="s">
        <v>159</v>
      </c>
      <c r="B338" s="210" t="s">
        <v>760</v>
      </c>
      <c r="C338" s="207" t="s">
        <v>630</v>
      </c>
      <c r="D338" s="41">
        <v>160</v>
      </c>
      <c r="E338" s="41">
        <v>19</v>
      </c>
      <c r="F338" s="41">
        <v>9.15</v>
      </c>
      <c r="G338" s="41">
        <v>8</v>
      </c>
      <c r="H338" s="1" t="str">
        <f t="shared" si="1"/>
        <v>High Minute</v>
      </c>
      <c r="I338" s="1"/>
    </row>
    <row r="339" spans="1:9" ht="13">
      <c r="A339" s="1" t="s">
        <v>159</v>
      </c>
      <c r="B339" s="210" t="s">
        <v>760</v>
      </c>
      <c r="C339" s="211" t="s">
        <v>631</v>
      </c>
      <c r="D339" s="45">
        <v>732</v>
      </c>
      <c r="E339" s="45">
        <v>74</v>
      </c>
      <c r="F339" s="45">
        <v>7.41</v>
      </c>
      <c r="G339" s="45">
        <v>40</v>
      </c>
      <c r="H339" s="1" t="str">
        <f t="shared" si="1"/>
        <v>High Minute</v>
      </c>
      <c r="I339" s="1"/>
    </row>
    <row r="340" spans="1:9" ht="13">
      <c r="A340" s="1" t="s">
        <v>638</v>
      </c>
      <c r="B340" s="1" t="s">
        <v>758</v>
      </c>
      <c r="C340" s="207" t="s">
        <v>626</v>
      </c>
      <c r="D340" s="41">
        <v>155</v>
      </c>
      <c r="E340" s="41">
        <v>3</v>
      </c>
      <c r="F340" s="41">
        <v>4.62</v>
      </c>
      <c r="G340" s="41">
        <v>5</v>
      </c>
      <c r="H340" s="1" t="str">
        <f t="shared" si="1"/>
        <v>High Minute</v>
      </c>
      <c r="I340" s="1"/>
    </row>
    <row r="341" spans="1:9" ht="13">
      <c r="A341" s="1" t="s">
        <v>638</v>
      </c>
      <c r="B341" s="1" t="s">
        <v>758</v>
      </c>
      <c r="C341" s="207" t="s">
        <v>627</v>
      </c>
      <c r="D341" s="41">
        <v>164</v>
      </c>
      <c r="E341" s="41">
        <v>37</v>
      </c>
      <c r="F341" s="41">
        <v>11.17</v>
      </c>
      <c r="G341" s="41">
        <v>25</v>
      </c>
      <c r="H341" s="1" t="str">
        <f t="shared" si="1"/>
        <v>High Minute</v>
      </c>
      <c r="I341" s="1"/>
    </row>
    <row r="342" spans="1:9" ht="13">
      <c r="A342" s="1" t="s">
        <v>638</v>
      </c>
      <c r="B342" s="1" t="s">
        <v>758</v>
      </c>
      <c r="C342" s="207" t="s">
        <v>628</v>
      </c>
      <c r="D342" s="41">
        <v>104</v>
      </c>
      <c r="E342" s="41">
        <v>21</v>
      </c>
      <c r="F342" s="41">
        <v>11.17</v>
      </c>
      <c r="G342" s="41">
        <v>14</v>
      </c>
      <c r="H342" s="1" t="str">
        <f t="shared" si="1"/>
        <v>High Minute</v>
      </c>
      <c r="I342" s="1"/>
    </row>
    <row r="343" spans="1:9" ht="13">
      <c r="A343" s="1" t="s">
        <v>638</v>
      </c>
      <c r="B343" s="1" t="s">
        <v>758</v>
      </c>
      <c r="C343" s="207" t="s">
        <v>629</v>
      </c>
      <c r="D343" s="41">
        <v>148</v>
      </c>
      <c r="E343" s="41">
        <v>30</v>
      </c>
      <c r="F343" s="41">
        <v>9.27</v>
      </c>
      <c r="G343" s="41">
        <v>27</v>
      </c>
      <c r="H343" s="1" t="str">
        <f t="shared" si="1"/>
        <v>High Minute</v>
      </c>
      <c r="I343" s="1"/>
    </row>
    <row r="344" spans="1:9" ht="13">
      <c r="A344" s="1" t="s">
        <v>638</v>
      </c>
      <c r="B344" s="1" t="s">
        <v>758</v>
      </c>
      <c r="C344" s="207" t="s">
        <v>630</v>
      </c>
      <c r="D344" s="41">
        <v>127</v>
      </c>
      <c r="E344" s="41">
        <v>26</v>
      </c>
      <c r="F344" s="41">
        <v>8.42</v>
      </c>
      <c r="G344" s="41">
        <v>23</v>
      </c>
      <c r="H344" s="1" t="str">
        <f t="shared" si="1"/>
        <v>High Minute</v>
      </c>
      <c r="I344" s="1"/>
    </row>
    <row r="345" spans="1:9" ht="13">
      <c r="A345" s="1" t="s">
        <v>638</v>
      </c>
      <c r="B345" s="1" t="s">
        <v>758</v>
      </c>
      <c r="C345" s="211" t="s">
        <v>631</v>
      </c>
      <c r="D345" s="45">
        <v>699</v>
      </c>
      <c r="E345" s="45">
        <v>117</v>
      </c>
      <c r="F345" s="45">
        <v>7.88</v>
      </c>
      <c r="G345" s="45">
        <v>94</v>
      </c>
      <c r="H345" s="1" t="str">
        <f t="shared" si="1"/>
        <v>High Minute</v>
      </c>
      <c r="I345" s="1"/>
    </row>
    <row r="346" spans="1:9" ht="13">
      <c r="A346" s="1" t="s">
        <v>638</v>
      </c>
      <c r="B346" s="1" t="s">
        <v>759</v>
      </c>
      <c r="C346" s="207" t="s">
        <v>626</v>
      </c>
      <c r="D346" s="41">
        <v>135</v>
      </c>
      <c r="E346" s="41">
        <v>1</v>
      </c>
      <c r="F346" s="41">
        <v>4.32</v>
      </c>
      <c r="G346" s="41">
        <v>3</v>
      </c>
      <c r="H346" s="1" t="str">
        <f t="shared" si="1"/>
        <v>High Minute</v>
      </c>
      <c r="I346" s="1"/>
    </row>
    <row r="347" spans="1:9" ht="13">
      <c r="A347" s="1" t="s">
        <v>638</v>
      </c>
      <c r="B347" s="1" t="s">
        <v>759</v>
      </c>
      <c r="C347" s="207" t="s">
        <v>627</v>
      </c>
      <c r="D347" s="41">
        <v>130</v>
      </c>
      <c r="E347" s="41">
        <v>31</v>
      </c>
      <c r="F347" s="41">
        <v>12.75</v>
      </c>
      <c r="G347" s="41">
        <v>16</v>
      </c>
      <c r="H347" s="1" t="str">
        <f t="shared" si="1"/>
        <v>High Minute</v>
      </c>
      <c r="I347" s="1"/>
    </row>
    <row r="348" spans="1:9" ht="13">
      <c r="A348" s="1" t="s">
        <v>638</v>
      </c>
      <c r="B348" s="1" t="s">
        <v>759</v>
      </c>
      <c r="C348" s="207" t="s">
        <v>628</v>
      </c>
      <c r="D348" s="41">
        <v>112</v>
      </c>
      <c r="E348" s="41">
        <v>27</v>
      </c>
      <c r="F348" s="41">
        <v>8.7899999999999991</v>
      </c>
      <c r="G348" s="41">
        <v>13</v>
      </c>
      <c r="H348" s="1" t="str">
        <f t="shared" si="1"/>
        <v>High Minute</v>
      </c>
      <c r="I348" s="1"/>
    </row>
    <row r="349" spans="1:9" ht="13">
      <c r="A349" s="1" t="s">
        <v>638</v>
      </c>
      <c r="B349" s="1" t="s">
        <v>759</v>
      </c>
      <c r="C349" s="207" t="s">
        <v>629</v>
      </c>
      <c r="D349" s="41">
        <v>54</v>
      </c>
      <c r="E349" s="41">
        <v>9</v>
      </c>
      <c r="F349" s="41">
        <v>9.7100000000000009</v>
      </c>
      <c r="G349" s="41">
        <v>3</v>
      </c>
      <c r="H349" s="1" t="str">
        <f t="shared" si="1"/>
        <v>High Minute</v>
      </c>
      <c r="I349" s="1"/>
    </row>
    <row r="350" spans="1:9" ht="13">
      <c r="A350" s="1" t="s">
        <v>638</v>
      </c>
      <c r="B350" s="1" t="s">
        <v>759</v>
      </c>
      <c r="C350" s="207" t="s">
        <v>630</v>
      </c>
      <c r="D350" s="41">
        <v>178</v>
      </c>
      <c r="E350" s="41">
        <v>44</v>
      </c>
      <c r="F350" s="41">
        <v>8.65</v>
      </c>
      <c r="G350" s="41">
        <v>18</v>
      </c>
      <c r="H350" s="1" t="str">
        <f t="shared" si="1"/>
        <v>High Minute</v>
      </c>
      <c r="I350" s="1"/>
    </row>
    <row r="351" spans="1:9" ht="13">
      <c r="A351" s="1" t="s">
        <v>638</v>
      </c>
      <c r="B351" s="1" t="s">
        <v>759</v>
      </c>
      <c r="C351" s="211" t="s">
        <v>631</v>
      </c>
      <c r="D351" s="45">
        <v>609</v>
      </c>
      <c r="E351" s="45">
        <v>112</v>
      </c>
      <c r="F351" s="45">
        <v>7.58</v>
      </c>
      <c r="G351" s="45">
        <v>53</v>
      </c>
      <c r="H351" s="1" t="str">
        <f t="shared" si="1"/>
        <v>High Minute</v>
      </c>
      <c r="I351" s="1"/>
    </row>
    <row r="352" spans="1:9" ht="13">
      <c r="A352" s="1" t="s">
        <v>589</v>
      </c>
      <c r="B352" s="210" t="s">
        <v>758</v>
      </c>
      <c r="C352" s="207" t="s">
        <v>626</v>
      </c>
      <c r="D352" s="41">
        <v>134</v>
      </c>
      <c r="E352" s="41">
        <v>4</v>
      </c>
      <c r="F352" s="41">
        <v>3.99</v>
      </c>
      <c r="G352" s="41">
        <v>27</v>
      </c>
      <c r="H352" s="1" t="str">
        <f t="shared" si="1"/>
        <v>Posts</v>
      </c>
      <c r="I352" s="1"/>
    </row>
    <row r="353" spans="1:9" ht="13">
      <c r="A353" s="1" t="s">
        <v>589</v>
      </c>
      <c r="B353" s="210" t="s">
        <v>758</v>
      </c>
      <c r="C353" s="207" t="s">
        <v>627</v>
      </c>
      <c r="D353" s="41">
        <v>25</v>
      </c>
      <c r="E353" s="41">
        <v>6</v>
      </c>
      <c r="F353" s="41">
        <v>9.43</v>
      </c>
      <c r="G353" s="41">
        <v>4</v>
      </c>
      <c r="H353" s="1" t="str">
        <f t="shared" si="1"/>
        <v>Posts</v>
      </c>
      <c r="I353" s="1"/>
    </row>
    <row r="354" spans="1:9" ht="13">
      <c r="A354" s="1" t="s">
        <v>589</v>
      </c>
      <c r="B354" s="210" t="s">
        <v>758</v>
      </c>
      <c r="C354" s="207" t="s">
        <v>628</v>
      </c>
      <c r="D354" s="41">
        <v>17</v>
      </c>
      <c r="E354" s="41">
        <v>2</v>
      </c>
      <c r="F354" s="41">
        <v>9.41</v>
      </c>
      <c r="G354" s="41">
        <v>2</v>
      </c>
      <c r="H354" s="1" t="str">
        <f t="shared" si="1"/>
        <v>Posts</v>
      </c>
      <c r="I354" s="1"/>
    </row>
    <row r="355" spans="1:9" ht="13">
      <c r="A355" s="1" t="s">
        <v>589</v>
      </c>
      <c r="B355" s="210" t="s">
        <v>758</v>
      </c>
      <c r="C355" s="207" t="s">
        <v>629</v>
      </c>
      <c r="D355" s="41">
        <v>43</v>
      </c>
      <c r="E355" s="41">
        <v>5</v>
      </c>
      <c r="F355" s="41">
        <v>8.3000000000000007</v>
      </c>
      <c r="G355" s="41">
        <v>11</v>
      </c>
      <c r="H355" s="1" t="str">
        <f t="shared" si="1"/>
        <v>Posts</v>
      </c>
      <c r="I355" s="1"/>
    </row>
    <row r="356" spans="1:9" ht="13">
      <c r="A356" s="1" t="s">
        <v>589</v>
      </c>
      <c r="B356" s="210" t="s">
        <v>758</v>
      </c>
      <c r="C356" s="207" t="s">
        <v>630</v>
      </c>
      <c r="D356" s="41">
        <v>67</v>
      </c>
      <c r="E356" s="41">
        <v>11</v>
      </c>
      <c r="F356" s="41">
        <v>8.2200000000000006</v>
      </c>
      <c r="G356" s="41">
        <v>9</v>
      </c>
      <c r="H356" s="1" t="str">
        <f t="shared" si="1"/>
        <v>Posts</v>
      </c>
      <c r="I356" s="1"/>
    </row>
    <row r="357" spans="1:9" ht="13">
      <c r="A357" s="1" t="s">
        <v>589</v>
      </c>
      <c r="B357" s="210" t="s">
        <v>758</v>
      </c>
      <c r="C357" s="211" t="s">
        <v>631</v>
      </c>
      <c r="D357" s="45">
        <v>286</v>
      </c>
      <c r="E357" s="45">
        <v>28</v>
      </c>
      <c r="F357" s="45">
        <v>5.57</v>
      </c>
      <c r="G357" s="45">
        <v>53</v>
      </c>
      <c r="H357" s="1" t="str">
        <f t="shared" si="1"/>
        <v>Posts</v>
      </c>
      <c r="I357" s="1"/>
    </row>
    <row r="358" spans="1:9" ht="13">
      <c r="A358" s="1" t="s">
        <v>589</v>
      </c>
      <c r="B358" s="210" t="s">
        <v>759</v>
      </c>
      <c r="C358" s="207" t="s">
        <v>626</v>
      </c>
      <c r="D358" s="41">
        <v>149</v>
      </c>
      <c r="E358" s="41">
        <v>1</v>
      </c>
      <c r="F358" s="41">
        <v>4.76</v>
      </c>
      <c r="G358" s="41">
        <v>15</v>
      </c>
      <c r="H358" s="1" t="str">
        <f t="shared" si="1"/>
        <v>Posts</v>
      </c>
      <c r="I358" s="1"/>
    </row>
    <row r="359" spans="1:9" ht="13">
      <c r="A359" s="1" t="s">
        <v>589</v>
      </c>
      <c r="B359" s="210" t="s">
        <v>759</v>
      </c>
      <c r="C359" s="207" t="s">
        <v>628</v>
      </c>
      <c r="D359" s="41">
        <v>79</v>
      </c>
      <c r="E359" s="41">
        <v>15</v>
      </c>
      <c r="F359" s="41">
        <v>10.11</v>
      </c>
      <c r="G359" s="41">
        <v>11</v>
      </c>
      <c r="H359" s="1" t="str">
        <f t="shared" si="1"/>
        <v>Posts</v>
      </c>
      <c r="I359" s="1"/>
    </row>
    <row r="360" spans="1:9" ht="13">
      <c r="A360" s="1" t="s">
        <v>589</v>
      </c>
      <c r="B360" s="210" t="s">
        <v>759</v>
      </c>
      <c r="C360" s="207" t="s">
        <v>629</v>
      </c>
      <c r="D360" s="41">
        <v>94</v>
      </c>
      <c r="E360" s="41">
        <v>14</v>
      </c>
      <c r="F360" s="41">
        <v>9.33</v>
      </c>
      <c r="G360" s="41">
        <v>18</v>
      </c>
      <c r="H360" s="1" t="str">
        <f t="shared" si="1"/>
        <v>Posts</v>
      </c>
      <c r="I360" s="1"/>
    </row>
    <row r="361" spans="1:9" ht="13">
      <c r="A361" s="1" t="s">
        <v>589</v>
      </c>
      <c r="B361" s="210" t="s">
        <v>759</v>
      </c>
      <c r="C361" s="207" t="s">
        <v>630</v>
      </c>
      <c r="D361" s="41">
        <v>38</v>
      </c>
      <c r="E361" s="41">
        <v>5</v>
      </c>
      <c r="F361" s="41">
        <v>7.38</v>
      </c>
      <c r="G361" s="41">
        <v>2</v>
      </c>
      <c r="H361" s="1" t="str">
        <f t="shared" si="1"/>
        <v>Posts</v>
      </c>
      <c r="I361" s="1"/>
    </row>
    <row r="362" spans="1:9" ht="13">
      <c r="A362" s="1" t="s">
        <v>589</v>
      </c>
      <c r="B362" s="210" t="s">
        <v>759</v>
      </c>
      <c r="C362" s="211" t="s">
        <v>631</v>
      </c>
      <c r="D362" s="45">
        <v>360</v>
      </c>
      <c r="E362" s="45">
        <v>35</v>
      </c>
      <c r="F362" s="45">
        <v>6.63</v>
      </c>
      <c r="G362" s="45">
        <v>46</v>
      </c>
      <c r="H362" s="1" t="str">
        <f t="shared" si="1"/>
        <v>Posts</v>
      </c>
      <c r="I362" s="1"/>
    </row>
    <row r="363" spans="1:9" ht="13">
      <c r="A363" s="1" t="s">
        <v>589</v>
      </c>
      <c r="B363" s="1" t="s">
        <v>760</v>
      </c>
      <c r="C363" s="207" t="s">
        <v>626</v>
      </c>
      <c r="D363" s="41">
        <v>173</v>
      </c>
      <c r="E363" s="41">
        <v>0</v>
      </c>
      <c r="F363" s="41">
        <v>2.87</v>
      </c>
      <c r="G363" s="41">
        <v>11</v>
      </c>
      <c r="H363" s="1" t="str">
        <f t="shared" si="1"/>
        <v>Posts</v>
      </c>
      <c r="I363" s="1"/>
    </row>
    <row r="364" spans="1:9" ht="13">
      <c r="A364" s="1" t="s">
        <v>589</v>
      </c>
      <c r="B364" s="1" t="s">
        <v>760</v>
      </c>
      <c r="C364" s="207" t="s">
        <v>628</v>
      </c>
      <c r="D364" s="41">
        <v>33</v>
      </c>
      <c r="E364" s="41">
        <v>2</v>
      </c>
      <c r="F364" s="41">
        <v>8.66</v>
      </c>
      <c r="G364" s="41">
        <v>1</v>
      </c>
      <c r="H364" s="1" t="str">
        <f t="shared" si="1"/>
        <v>Posts</v>
      </c>
      <c r="I364" s="1"/>
    </row>
    <row r="365" spans="1:9" ht="13">
      <c r="A365" s="1" t="s">
        <v>589</v>
      </c>
      <c r="B365" s="1" t="s">
        <v>760</v>
      </c>
      <c r="C365" s="211" t="s">
        <v>631</v>
      </c>
      <c r="D365" s="45">
        <v>206</v>
      </c>
      <c r="E365" s="45">
        <v>2</v>
      </c>
      <c r="F365" s="45">
        <v>3.21</v>
      </c>
      <c r="G365" s="45">
        <v>12</v>
      </c>
      <c r="H365" s="1" t="str">
        <f t="shared" si="1"/>
        <v>Posts</v>
      </c>
      <c r="I365" s="1"/>
    </row>
    <row r="366" spans="1:9" ht="13">
      <c r="A366" s="1" t="s">
        <v>590</v>
      </c>
      <c r="B366" s="210" t="s">
        <v>758</v>
      </c>
      <c r="C366" s="207" t="s">
        <v>626</v>
      </c>
      <c r="D366" s="41">
        <v>142</v>
      </c>
      <c r="E366" s="41">
        <v>1</v>
      </c>
      <c r="F366" s="41">
        <v>4.2300000000000004</v>
      </c>
      <c r="G366" s="41">
        <v>12</v>
      </c>
      <c r="H366" s="1" t="str">
        <f t="shared" si="1"/>
        <v>Posts</v>
      </c>
      <c r="I366" s="1"/>
    </row>
    <row r="367" spans="1:9" ht="13">
      <c r="A367" s="1" t="s">
        <v>590</v>
      </c>
      <c r="B367" s="210" t="s">
        <v>758</v>
      </c>
      <c r="C367" s="207" t="s">
        <v>627</v>
      </c>
      <c r="D367" s="41">
        <v>49</v>
      </c>
      <c r="E367" s="41">
        <v>8</v>
      </c>
      <c r="F367" s="41">
        <v>11.34</v>
      </c>
      <c r="G367" s="41">
        <v>9</v>
      </c>
      <c r="H367" s="1" t="str">
        <f t="shared" si="1"/>
        <v>Posts</v>
      </c>
      <c r="I367" s="1"/>
    </row>
    <row r="368" spans="1:9" ht="13">
      <c r="A368" s="1" t="s">
        <v>590</v>
      </c>
      <c r="B368" s="210" t="s">
        <v>758</v>
      </c>
      <c r="C368" s="207" t="s">
        <v>628</v>
      </c>
      <c r="D368" s="41">
        <v>127</v>
      </c>
      <c r="E368" s="41">
        <v>16</v>
      </c>
      <c r="F368" s="41">
        <v>9.44</v>
      </c>
      <c r="G368" s="41">
        <v>22</v>
      </c>
      <c r="H368" s="1" t="str">
        <f t="shared" si="1"/>
        <v>Posts</v>
      </c>
      <c r="I368" s="1"/>
    </row>
    <row r="369" spans="1:9" ht="13">
      <c r="A369" s="1" t="s">
        <v>590</v>
      </c>
      <c r="B369" s="210" t="s">
        <v>758</v>
      </c>
      <c r="C369" s="207" t="s">
        <v>629</v>
      </c>
      <c r="D369" s="41">
        <v>115</v>
      </c>
      <c r="E369" s="41">
        <v>17</v>
      </c>
      <c r="F369" s="41">
        <v>8.73</v>
      </c>
      <c r="G369" s="41">
        <v>12</v>
      </c>
      <c r="H369" s="1" t="str">
        <f t="shared" si="1"/>
        <v>Posts</v>
      </c>
      <c r="I369" s="1"/>
    </row>
    <row r="370" spans="1:9" ht="13">
      <c r="A370" s="1" t="s">
        <v>590</v>
      </c>
      <c r="B370" s="210" t="s">
        <v>758</v>
      </c>
      <c r="C370" s="207" t="s">
        <v>630</v>
      </c>
      <c r="D370" s="41">
        <v>47</v>
      </c>
      <c r="E370" s="41">
        <v>5</v>
      </c>
      <c r="F370" s="41">
        <v>7.71</v>
      </c>
      <c r="G370" s="41">
        <v>8</v>
      </c>
      <c r="H370" s="1" t="str">
        <f t="shared" si="1"/>
        <v>Posts</v>
      </c>
      <c r="I370" s="1"/>
    </row>
    <row r="371" spans="1:9" ht="13">
      <c r="A371" s="1" t="s">
        <v>590</v>
      </c>
      <c r="B371" s="210" t="s">
        <v>758</v>
      </c>
      <c r="C371" s="211" t="s">
        <v>631</v>
      </c>
      <c r="D371" s="45">
        <v>479</v>
      </c>
      <c r="E371" s="45">
        <v>47</v>
      </c>
      <c r="F371" s="45">
        <v>6.79</v>
      </c>
      <c r="G371" s="45">
        <v>63</v>
      </c>
      <c r="H371" s="1" t="str">
        <f t="shared" si="1"/>
        <v>Posts</v>
      </c>
      <c r="I371" s="1"/>
    </row>
    <row r="372" spans="1:9" ht="13">
      <c r="A372" s="1" t="s">
        <v>590</v>
      </c>
      <c r="B372" s="210" t="s">
        <v>759</v>
      </c>
      <c r="C372" s="207" t="s">
        <v>626</v>
      </c>
      <c r="D372" s="41">
        <v>119</v>
      </c>
      <c r="E372" s="41">
        <v>0</v>
      </c>
      <c r="F372" s="41">
        <v>3.81</v>
      </c>
      <c r="G372" s="41">
        <v>3</v>
      </c>
      <c r="H372" s="1" t="str">
        <f t="shared" si="1"/>
        <v>Posts</v>
      </c>
      <c r="I372" s="1"/>
    </row>
    <row r="373" spans="1:9" ht="13">
      <c r="A373" s="1" t="s">
        <v>590</v>
      </c>
      <c r="B373" s="210" t="s">
        <v>759</v>
      </c>
      <c r="C373" s="207" t="s">
        <v>627</v>
      </c>
      <c r="D373" s="41">
        <v>107</v>
      </c>
      <c r="E373" s="41">
        <v>15</v>
      </c>
      <c r="F373" s="41">
        <v>10.29</v>
      </c>
      <c r="G373" s="41">
        <v>12</v>
      </c>
      <c r="H373" s="1" t="str">
        <f t="shared" si="1"/>
        <v>Posts</v>
      </c>
      <c r="I373" s="1"/>
    </row>
    <row r="374" spans="1:9" ht="13">
      <c r="A374" s="1" t="s">
        <v>590</v>
      </c>
      <c r="B374" s="210" t="s">
        <v>759</v>
      </c>
      <c r="C374" s="207" t="s">
        <v>628</v>
      </c>
      <c r="D374" s="41">
        <v>86</v>
      </c>
      <c r="E374" s="41">
        <v>9</v>
      </c>
      <c r="F374" s="41">
        <v>9.36</v>
      </c>
      <c r="G374" s="41">
        <v>6</v>
      </c>
      <c r="H374" s="1" t="str">
        <f t="shared" si="1"/>
        <v>Posts</v>
      </c>
      <c r="I374" s="1"/>
    </row>
    <row r="375" spans="1:9" ht="13">
      <c r="A375" s="1" t="s">
        <v>590</v>
      </c>
      <c r="B375" s="210" t="s">
        <v>759</v>
      </c>
      <c r="C375" s="207" t="s">
        <v>629</v>
      </c>
      <c r="D375" s="41">
        <v>75</v>
      </c>
      <c r="E375" s="41">
        <v>4</v>
      </c>
      <c r="F375" s="41">
        <v>7.26</v>
      </c>
      <c r="G375" s="41">
        <v>8</v>
      </c>
      <c r="H375" s="1" t="str">
        <f t="shared" si="1"/>
        <v>Posts</v>
      </c>
      <c r="I375" s="1"/>
    </row>
    <row r="376" spans="1:9" ht="13">
      <c r="A376" s="1" t="s">
        <v>590</v>
      </c>
      <c r="B376" s="210" t="s">
        <v>759</v>
      </c>
      <c r="C376" s="207" t="s">
        <v>630</v>
      </c>
      <c r="D376" s="41">
        <v>131</v>
      </c>
      <c r="E376" s="41">
        <v>21</v>
      </c>
      <c r="F376" s="41">
        <v>7.88</v>
      </c>
      <c r="G376" s="41">
        <v>16</v>
      </c>
      <c r="H376" s="1" t="str">
        <f t="shared" si="1"/>
        <v>Posts</v>
      </c>
      <c r="I376" s="1"/>
    </row>
    <row r="377" spans="1:9" ht="13">
      <c r="A377" s="1" t="s">
        <v>590</v>
      </c>
      <c r="B377" s="210" t="s">
        <v>759</v>
      </c>
      <c r="C377" s="211" t="s">
        <v>631</v>
      </c>
      <c r="D377" s="45">
        <v>518</v>
      </c>
      <c r="E377" s="45">
        <v>49</v>
      </c>
      <c r="F377" s="45">
        <v>6.66</v>
      </c>
      <c r="G377" s="45">
        <v>45</v>
      </c>
      <c r="H377" s="1" t="str">
        <f t="shared" si="1"/>
        <v>Posts</v>
      </c>
      <c r="I377" s="1"/>
    </row>
    <row r="378" spans="1:9" ht="13">
      <c r="A378" s="1" t="s">
        <v>590</v>
      </c>
      <c r="B378" s="210" t="s">
        <v>760</v>
      </c>
      <c r="C378" s="207" t="s">
        <v>626</v>
      </c>
      <c r="D378" s="41">
        <v>179</v>
      </c>
      <c r="E378" s="41">
        <v>2</v>
      </c>
      <c r="F378" s="41">
        <v>2.96</v>
      </c>
      <c r="G378" s="41">
        <v>5</v>
      </c>
      <c r="H378" s="1" t="str">
        <f t="shared" si="1"/>
        <v>Posts</v>
      </c>
      <c r="I378" s="1"/>
    </row>
    <row r="379" spans="1:9" ht="13">
      <c r="A379" s="1" t="s">
        <v>590</v>
      </c>
      <c r="B379" s="210" t="s">
        <v>760</v>
      </c>
      <c r="C379" s="207" t="s">
        <v>627</v>
      </c>
      <c r="D379" s="41">
        <v>86</v>
      </c>
      <c r="E379" s="41">
        <v>7</v>
      </c>
      <c r="F379" s="41">
        <v>10.28</v>
      </c>
      <c r="G379" s="41">
        <v>10</v>
      </c>
      <c r="H379" s="1" t="str">
        <f t="shared" si="1"/>
        <v>Posts</v>
      </c>
      <c r="I379" s="1"/>
    </row>
    <row r="380" spans="1:9" ht="13">
      <c r="A380" s="1" t="s">
        <v>590</v>
      </c>
      <c r="B380" s="210" t="s">
        <v>760</v>
      </c>
      <c r="C380" s="207" t="s">
        <v>628</v>
      </c>
      <c r="D380" s="41">
        <v>123</v>
      </c>
      <c r="E380" s="41">
        <v>11</v>
      </c>
      <c r="F380" s="41">
        <v>8.6</v>
      </c>
      <c r="G380" s="41">
        <v>9</v>
      </c>
      <c r="H380" s="1" t="str">
        <f t="shared" si="1"/>
        <v>Posts</v>
      </c>
      <c r="I380" s="1"/>
    </row>
    <row r="381" spans="1:9" ht="13">
      <c r="A381" s="1" t="s">
        <v>590</v>
      </c>
      <c r="B381" s="210" t="s">
        <v>760</v>
      </c>
      <c r="C381" s="207" t="s">
        <v>629</v>
      </c>
      <c r="D381" s="41">
        <v>116</v>
      </c>
      <c r="E381" s="41">
        <v>13</v>
      </c>
      <c r="F381" s="41">
        <v>8.4499999999999993</v>
      </c>
      <c r="G381" s="41">
        <v>12</v>
      </c>
      <c r="H381" s="1" t="str">
        <f t="shared" si="1"/>
        <v>Posts</v>
      </c>
      <c r="I381" s="1"/>
    </row>
    <row r="382" spans="1:9" ht="13">
      <c r="A382" s="1" t="s">
        <v>590</v>
      </c>
      <c r="B382" s="210" t="s">
        <v>760</v>
      </c>
      <c r="C382" s="207" t="s">
        <v>630</v>
      </c>
      <c r="D382" s="41">
        <v>139</v>
      </c>
      <c r="E382" s="41">
        <v>14</v>
      </c>
      <c r="F382" s="41">
        <v>9.2200000000000006</v>
      </c>
      <c r="G382" s="41">
        <v>11</v>
      </c>
      <c r="H382" s="1" t="str">
        <f t="shared" si="1"/>
        <v>Posts</v>
      </c>
      <c r="I382" s="1"/>
    </row>
    <row r="383" spans="1:9" ht="13">
      <c r="A383" s="1" t="s">
        <v>590</v>
      </c>
      <c r="B383" s="210" t="s">
        <v>760</v>
      </c>
      <c r="C383" s="211" t="s">
        <v>631</v>
      </c>
      <c r="D383" s="45">
        <v>644</v>
      </c>
      <c r="E383" s="45">
        <v>47</v>
      </c>
      <c r="F383" s="45">
        <v>5.75</v>
      </c>
      <c r="G383" s="45">
        <v>47</v>
      </c>
      <c r="H383" s="1" t="str">
        <f t="shared" si="1"/>
        <v>Posts</v>
      </c>
      <c r="I383" s="1"/>
    </row>
    <row r="384" spans="1:9" ht="13">
      <c r="A384" s="1" t="s">
        <v>167</v>
      </c>
      <c r="B384" s="210" t="s">
        <v>758</v>
      </c>
      <c r="C384" s="207" t="s">
        <v>626</v>
      </c>
      <c r="D384" s="41">
        <v>176</v>
      </c>
      <c r="E384" s="41">
        <v>5</v>
      </c>
      <c r="F384" s="41">
        <v>5.23</v>
      </c>
      <c r="G384" s="41">
        <v>4</v>
      </c>
      <c r="H384" s="1" t="str">
        <f t="shared" si="1"/>
        <v>Development</v>
      </c>
      <c r="I384" s="1"/>
    </row>
    <row r="385" spans="1:9" ht="13">
      <c r="A385" s="1" t="s">
        <v>167</v>
      </c>
      <c r="B385" s="210" t="s">
        <v>758</v>
      </c>
      <c r="C385" s="207" t="s">
        <v>630</v>
      </c>
      <c r="D385" s="41">
        <v>11</v>
      </c>
      <c r="E385" s="41">
        <v>2</v>
      </c>
      <c r="F385" s="41">
        <v>8.2899999999999991</v>
      </c>
      <c r="G385" s="41">
        <v>0</v>
      </c>
      <c r="H385" s="1" t="str">
        <f t="shared" si="1"/>
        <v>Development</v>
      </c>
      <c r="I385" s="1"/>
    </row>
    <row r="386" spans="1:9" ht="13">
      <c r="A386" s="1" t="s">
        <v>167</v>
      </c>
      <c r="B386" s="210" t="s">
        <v>758</v>
      </c>
      <c r="C386" s="211" t="s">
        <v>631</v>
      </c>
      <c r="D386" s="45">
        <v>186</v>
      </c>
      <c r="E386" s="45">
        <v>7</v>
      </c>
      <c r="F386" s="45">
        <v>5.34</v>
      </c>
      <c r="G386" s="45">
        <v>4</v>
      </c>
      <c r="H386" s="1" t="str">
        <f t="shared" si="1"/>
        <v>Development</v>
      </c>
      <c r="I386" s="1"/>
    </row>
    <row r="387" spans="1:9" ht="13">
      <c r="A387" s="1" t="s">
        <v>167</v>
      </c>
      <c r="B387" s="1" t="s">
        <v>759</v>
      </c>
      <c r="C387" s="207" t="s">
        <v>626</v>
      </c>
      <c r="D387" s="41">
        <v>154</v>
      </c>
      <c r="E387" s="41">
        <v>1</v>
      </c>
      <c r="F387" s="41">
        <v>4.93</v>
      </c>
      <c r="G387" s="41">
        <v>7</v>
      </c>
      <c r="H387" s="1" t="str">
        <f t="shared" si="1"/>
        <v>Development</v>
      </c>
      <c r="I387" s="1"/>
    </row>
    <row r="388" spans="1:9" ht="13">
      <c r="A388" s="1" t="s">
        <v>167</v>
      </c>
      <c r="B388" s="1" t="s">
        <v>759</v>
      </c>
      <c r="C388" s="211" t="s">
        <v>631</v>
      </c>
      <c r="D388" s="45">
        <v>154</v>
      </c>
      <c r="E388" s="45">
        <v>1</v>
      </c>
      <c r="F388" s="45">
        <v>4.93</v>
      </c>
      <c r="G388" s="45">
        <v>7</v>
      </c>
      <c r="H388" s="1" t="str">
        <f t="shared" si="1"/>
        <v>Development</v>
      </c>
      <c r="I388" s="1"/>
    </row>
    <row r="389" spans="1:9" ht="13">
      <c r="A389" s="1" t="s">
        <v>167</v>
      </c>
      <c r="B389" s="1" t="s">
        <v>760</v>
      </c>
      <c r="C389" s="207" t="s">
        <v>626</v>
      </c>
      <c r="D389" s="41">
        <v>174</v>
      </c>
      <c r="E389" s="41">
        <v>3</v>
      </c>
      <c r="F389" s="41">
        <v>4.66</v>
      </c>
      <c r="G389" s="41">
        <v>2</v>
      </c>
      <c r="H389" s="1" t="str">
        <f t="shared" si="1"/>
        <v>Development</v>
      </c>
      <c r="I389" s="1"/>
    </row>
    <row r="390" spans="1:9" ht="13">
      <c r="A390" s="1" t="s">
        <v>167</v>
      </c>
      <c r="B390" s="1" t="s">
        <v>760</v>
      </c>
      <c r="C390" s="211" t="s">
        <v>631</v>
      </c>
      <c r="D390" s="45">
        <v>174</v>
      </c>
      <c r="E390" s="45">
        <v>3</v>
      </c>
      <c r="F390" s="45">
        <v>4.66</v>
      </c>
      <c r="G390" s="45">
        <v>2</v>
      </c>
      <c r="H390" s="1" t="str">
        <f t="shared" si="1"/>
        <v>Development</v>
      </c>
      <c r="I390" s="1"/>
    </row>
    <row r="391" spans="1:9" ht="13">
      <c r="A391" s="1" t="s">
        <v>633</v>
      </c>
      <c r="B391" s="210" t="s">
        <v>758</v>
      </c>
      <c r="C391" s="207" t="s">
        <v>626</v>
      </c>
      <c r="D391" s="41">
        <v>160</v>
      </c>
      <c r="E391" s="41">
        <v>1</v>
      </c>
      <c r="F391" s="41">
        <v>4.7699999999999996</v>
      </c>
      <c r="G391" s="41">
        <v>3</v>
      </c>
      <c r="H391" s="1" t="str">
        <f t="shared" si="1"/>
        <v>High Minute</v>
      </c>
      <c r="I391" s="1"/>
    </row>
    <row r="392" spans="1:9" ht="13">
      <c r="A392" s="1" t="s">
        <v>633</v>
      </c>
      <c r="B392" s="210" t="s">
        <v>758</v>
      </c>
      <c r="C392" s="207" t="s">
        <v>627</v>
      </c>
      <c r="D392" s="41">
        <v>147</v>
      </c>
      <c r="E392" s="41">
        <v>13</v>
      </c>
      <c r="F392" s="41">
        <v>10.02</v>
      </c>
      <c r="G392" s="41">
        <v>15</v>
      </c>
      <c r="H392" s="1" t="str">
        <f t="shared" si="1"/>
        <v>High Minute</v>
      </c>
      <c r="I392" s="1"/>
    </row>
    <row r="393" spans="1:9" ht="13">
      <c r="A393" s="1" t="s">
        <v>633</v>
      </c>
      <c r="B393" s="210" t="s">
        <v>758</v>
      </c>
      <c r="C393" s="207" t="s">
        <v>628</v>
      </c>
      <c r="D393" s="41">
        <v>98</v>
      </c>
      <c r="E393" s="41">
        <v>7</v>
      </c>
      <c r="F393" s="41">
        <v>9.24</v>
      </c>
      <c r="G393" s="41">
        <v>7</v>
      </c>
      <c r="H393" s="1" t="str">
        <f t="shared" si="1"/>
        <v>High Minute</v>
      </c>
      <c r="I393" s="1"/>
    </row>
    <row r="394" spans="1:9" ht="13">
      <c r="A394" s="1" t="s">
        <v>633</v>
      </c>
      <c r="B394" s="210" t="s">
        <v>758</v>
      </c>
      <c r="C394" s="207" t="s">
        <v>629</v>
      </c>
      <c r="D394" s="41">
        <v>156</v>
      </c>
      <c r="E394" s="41">
        <v>12</v>
      </c>
      <c r="F394" s="41">
        <v>8.48</v>
      </c>
      <c r="G394" s="41">
        <v>13</v>
      </c>
      <c r="H394" s="1" t="str">
        <f t="shared" si="1"/>
        <v>High Minute</v>
      </c>
      <c r="I394" s="1"/>
    </row>
    <row r="395" spans="1:9" ht="13">
      <c r="A395" s="1" t="s">
        <v>633</v>
      </c>
      <c r="B395" s="210" t="s">
        <v>758</v>
      </c>
      <c r="C395" s="207" t="s">
        <v>630</v>
      </c>
      <c r="D395" s="41">
        <v>70</v>
      </c>
      <c r="E395" s="41">
        <v>2</v>
      </c>
      <c r="F395" s="41">
        <v>7.85</v>
      </c>
      <c r="G395" s="41">
        <v>3</v>
      </c>
      <c r="H395" s="1" t="str">
        <f t="shared" si="1"/>
        <v>High Minute</v>
      </c>
      <c r="I395" s="1"/>
    </row>
    <row r="396" spans="1:9" ht="13">
      <c r="A396" s="1" t="s">
        <v>633</v>
      </c>
      <c r="B396" s="210" t="s">
        <v>758</v>
      </c>
      <c r="C396" s="211" t="s">
        <v>631</v>
      </c>
      <c r="D396" s="45">
        <v>633</v>
      </c>
      <c r="E396" s="45">
        <v>35</v>
      </c>
      <c r="F396" s="45">
        <v>7.33</v>
      </c>
      <c r="G396" s="45">
        <v>41</v>
      </c>
      <c r="H396" s="1" t="str">
        <f t="shared" si="1"/>
        <v>High Minute</v>
      </c>
      <c r="I396" s="1"/>
    </row>
    <row r="397" spans="1:9" ht="13">
      <c r="A397" s="1" t="s">
        <v>633</v>
      </c>
      <c r="B397" s="210" t="s">
        <v>758</v>
      </c>
      <c r="C397" s="207" t="s">
        <v>626</v>
      </c>
      <c r="D397" s="41">
        <v>135</v>
      </c>
      <c r="E397" s="41">
        <v>1</v>
      </c>
      <c r="F397" s="41">
        <v>4.32</v>
      </c>
      <c r="G397" s="41">
        <v>2</v>
      </c>
      <c r="H397" s="1" t="str">
        <f t="shared" si="1"/>
        <v>High Minute</v>
      </c>
      <c r="I397" s="1"/>
    </row>
    <row r="398" spans="1:9" ht="13">
      <c r="A398" s="1" t="s">
        <v>633</v>
      </c>
      <c r="B398" s="210" t="s">
        <v>759</v>
      </c>
      <c r="C398" s="207" t="s">
        <v>627</v>
      </c>
      <c r="D398" s="41">
        <v>121</v>
      </c>
      <c r="E398" s="41">
        <v>10</v>
      </c>
      <c r="F398" s="41">
        <v>10.18</v>
      </c>
      <c r="G398" s="41">
        <v>9</v>
      </c>
      <c r="H398" s="1" t="str">
        <f t="shared" si="1"/>
        <v>High Minute</v>
      </c>
      <c r="I398" s="1"/>
    </row>
    <row r="399" spans="1:9" ht="13">
      <c r="A399" s="1" t="s">
        <v>633</v>
      </c>
      <c r="B399" s="210" t="s">
        <v>759</v>
      </c>
      <c r="C399" s="207" t="s">
        <v>628</v>
      </c>
      <c r="D399" s="41">
        <v>143</v>
      </c>
      <c r="E399" s="41">
        <v>7</v>
      </c>
      <c r="F399" s="41">
        <v>8.41</v>
      </c>
      <c r="G399" s="41">
        <v>14</v>
      </c>
      <c r="H399" s="1" t="str">
        <f t="shared" si="1"/>
        <v>High Minute</v>
      </c>
      <c r="I399" s="1"/>
    </row>
    <row r="400" spans="1:9" ht="13">
      <c r="A400" s="1" t="s">
        <v>633</v>
      </c>
      <c r="B400" s="210" t="s">
        <v>759</v>
      </c>
      <c r="C400" s="207" t="s">
        <v>629</v>
      </c>
      <c r="D400" s="41">
        <v>155</v>
      </c>
      <c r="E400" s="41">
        <v>5</v>
      </c>
      <c r="F400" s="41">
        <v>7.53</v>
      </c>
      <c r="G400" s="41">
        <v>19</v>
      </c>
      <c r="H400" s="1" t="str">
        <f t="shared" si="1"/>
        <v>High Minute</v>
      </c>
      <c r="I400" s="1"/>
    </row>
    <row r="401" spans="1:9" ht="13">
      <c r="A401" s="1" t="s">
        <v>633</v>
      </c>
      <c r="B401" s="210" t="s">
        <v>759</v>
      </c>
      <c r="C401" s="207" t="s">
        <v>630</v>
      </c>
      <c r="D401" s="41">
        <v>157</v>
      </c>
      <c r="E401" s="41">
        <v>8</v>
      </c>
      <c r="F401" s="41">
        <v>7.25</v>
      </c>
      <c r="G401" s="41">
        <v>22</v>
      </c>
      <c r="H401" s="1" t="str">
        <f t="shared" si="1"/>
        <v>High Minute</v>
      </c>
      <c r="I401" s="1"/>
    </row>
    <row r="402" spans="1:9" ht="13">
      <c r="A402" s="1" t="s">
        <v>633</v>
      </c>
      <c r="B402" s="210" t="s">
        <v>759</v>
      </c>
      <c r="C402" s="211" t="s">
        <v>631</v>
      </c>
      <c r="D402" s="45">
        <v>711</v>
      </c>
      <c r="E402" s="45">
        <v>31</v>
      </c>
      <c r="F402" s="45">
        <v>6.94</v>
      </c>
      <c r="G402" s="45">
        <v>66</v>
      </c>
      <c r="H402" s="1" t="str">
        <f t="shared" si="1"/>
        <v>High Minute</v>
      </c>
      <c r="I402" s="1"/>
    </row>
    <row r="403" spans="1:9" ht="13">
      <c r="A403" s="1" t="s">
        <v>633</v>
      </c>
      <c r="B403" s="210" t="s">
        <v>759</v>
      </c>
      <c r="C403" s="207" t="s">
        <v>626</v>
      </c>
      <c r="D403" s="41">
        <v>159</v>
      </c>
      <c r="E403" s="41">
        <v>0</v>
      </c>
      <c r="F403" s="41">
        <v>4.2699999999999996</v>
      </c>
      <c r="G403" s="41">
        <v>1</v>
      </c>
      <c r="H403" s="1" t="str">
        <f t="shared" si="1"/>
        <v>High Minute</v>
      </c>
      <c r="I403" s="1"/>
    </row>
    <row r="404" spans="1:9" ht="13">
      <c r="A404" s="1" t="s">
        <v>633</v>
      </c>
      <c r="B404" s="210" t="s">
        <v>759</v>
      </c>
      <c r="C404" s="207" t="s">
        <v>627</v>
      </c>
      <c r="D404" s="41">
        <v>134</v>
      </c>
      <c r="E404" s="41">
        <v>11</v>
      </c>
      <c r="F404" s="41">
        <v>9.2899999999999991</v>
      </c>
      <c r="G404" s="41">
        <v>12</v>
      </c>
      <c r="H404" s="1" t="str">
        <f t="shared" si="1"/>
        <v>High Minute</v>
      </c>
      <c r="I404" s="1"/>
    </row>
    <row r="405" spans="1:9" ht="13">
      <c r="A405" s="1" t="s">
        <v>633</v>
      </c>
      <c r="B405" s="210" t="s">
        <v>760</v>
      </c>
      <c r="C405" s="207" t="s">
        <v>628</v>
      </c>
      <c r="D405" s="41">
        <v>123</v>
      </c>
      <c r="E405" s="41">
        <v>7</v>
      </c>
      <c r="F405" s="41">
        <v>8.4499999999999993</v>
      </c>
      <c r="G405" s="41">
        <v>15</v>
      </c>
      <c r="H405" s="1" t="str">
        <f t="shared" si="1"/>
        <v>High Minute</v>
      </c>
      <c r="I405" s="1"/>
    </row>
    <row r="406" spans="1:9" ht="13">
      <c r="A406" s="1" t="s">
        <v>633</v>
      </c>
      <c r="B406" s="210" t="s">
        <v>760</v>
      </c>
      <c r="C406" s="207" t="s">
        <v>629</v>
      </c>
      <c r="D406" s="41">
        <v>143</v>
      </c>
      <c r="E406" s="41">
        <v>7</v>
      </c>
      <c r="F406" s="41">
        <v>8.52</v>
      </c>
      <c r="G406" s="41">
        <v>20</v>
      </c>
      <c r="H406" s="1" t="str">
        <f t="shared" si="1"/>
        <v>High Minute</v>
      </c>
      <c r="I406" s="1"/>
    </row>
    <row r="407" spans="1:9" ht="13">
      <c r="A407" s="1" t="s">
        <v>633</v>
      </c>
      <c r="B407" s="210" t="s">
        <v>760</v>
      </c>
      <c r="C407" s="207" t="s">
        <v>630</v>
      </c>
      <c r="D407" s="41">
        <v>142</v>
      </c>
      <c r="E407" s="41">
        <v>11</v>
      </c>
      <c r="F407" s="41">
        <v>8.1</v>
      </c>
      <c r="G407" s="41">
        <v>17</v>
      </c>
      <c r="H407" s="1" t="str">
        <f t="shared" si="1"/>
        <v>High Minute</v>
      </c>
      <c r="I407" s="1"/>
    </row>
    <row r="408" spans="1:9" ht="13">
      <c r="A408" s="1" t="s">
        <v>633</v>
      </c>
      <c r="B408" s="210" t="s">
        <v>760</v>
      </c>
      <c r="C408" s="211" t="s">
        <v>631</v>
      </c>
      <c r="D408" s="45">
        <v>701</v>
      </c>
      <c r="E408" s="45">
        <v>36</v>
      </c>
      <c r="F408" s="45">
        <v>6.97</v>
      </c>
      <c r="G408" s="45">
        <v>65</v>
      </c>
      <c r="H408" s="1" t="str">
        <f t="shared" si="1"/>
        <v>High Minute</v>
      </c>
      <c r="I408" s="1"/>
    </row>
    <row r="409" spans="1:9" ht="13">
      <c r="A409" s="1" t="s">
        <v>622</v>
      </c>
      <c r="B409" s="1" t="s">
        <v>761</v>
      </c>
      <c r="C409" s="207" t="s">
        <v>626</v>
      </c>
      <c r="D409" s="41">
        <v>174</v>
      </c>
      <c r="E409" s="41">
        <v>2</v>
      </c>
      <c r="F409" s="41">
        <v>3.85</v>
      </c>
      <c r="G409" s="41">
        <v>3</v>
      </c>
      <c r="H409" s="1" t="str">
        <f t="shared" si="1"/>
        <v>High Minute</v>
      </c>
      <c r="I409" s="1"/>
    </row>
    <row r="410" spans="1:9" ht="13">
      <c r="A410" s="1" t="s">
        <v>622</v>
      </c>
      <c r="B410" s="1" t="s">
        <v>761</v>
      </c>
      <c r="C410" s="207" t="s">
        <v>627</v>
      </c>
      <c r="D410" s="41">
        <v>122</v>
      </c>
      <c r="E410" s="41">
        <v>18</v>
      </c>
      <c r="F410" s="41">
        <v>9.57</v>
      </c>
      <c r="G410" s="41">
        <v>17</v>
      </c>
      <c r="H410" s="1" t="str">
        <f t="shared" si="1"/>
        <v>High Minute</v>
      </c>
      <c r="I410" s="1"/>
    </row>
    <row r="411" spans="1:9" ht="13">
      <c r="A411" s="1" t="s">
        <v>622</v>
      </c>
      <c r="B411" s="1" t="s">
        <v>761</v>
      </c>
      <c r="C411" s="207" t="s">
        <v>628</v>
      </c>
      <c r="D411" s="41">
        <v>60</v>
      </c>
      <c r="E411" s="41">
        <v>12</v>
      </c>
      <c r="F411" s="41">
        <v>10.91</v>
      </c>
      <c r="G411" s="41">
        <v>5</v>
      </c>
      <c r="H411" s="1" t="str">
        <f t="shared" si="1"/>
        <v>High Minute</v>
      </c>
      <c r="I411" s="1"/>
    </row>
    <row r="412" spans="1:9" ht="13">
      <c r="A412" s="1" t="s">
        <v>622</v>
      </c>
      <c r="B412" s="1" t="s">
        <v>761</v>
      </c>
      <c r="C412" s="207" t="s">
        <v>629</v>
      </c>
      <c r="D412" s="41">
        <v>116</v>
      </c>
      <c r="E412" s="41">
        <v>14</v>
      </c>
      <c r="F412" s="41">
        <v>9.19</v>
      </c>
      <c r="G412" s="41">
        <v>10</v>
      </c>
      <c r="H412" s="1" t="str">
        <f t="shared" si="1"/>
        <v>High Minute</v>
      </c>
      <c r="I412" s="1"/>
    </row>
    <row r="413" spans="1:9" ht="13">
      <c r="A413" s="1" t="s">
        <v>622</v>
      </c>
      <c r="B413" s="1" t="s">
        <v>761</v>
      </c>
      <c r="C413" s="207" t="s">
        <v>630</v>
      </c>
      <c r="D413" s="41">
        <v>141</v>
      </c>
      <c r="E413" s="41">
        <v>16</v>
      </c>
      <c r="F413" s="41">
        <v>7.22</v>
      </c>
      <c r="G413" s="41">
        <v>19</v>
      </c>
      <c r="H413" s="1" t="str">
        <f t="shared" si="1"/>
        <v>High Minute</v>
      </c>
      <c r="I413" s="1"/>
    </row>
    <row r="414" spans="1:9" ht="13">
      <c r="A414" s="1" t="s">
        <v>622</v>
      </c>
      <c r="B414" s="1" t="s">
        <v>761</v>
      </c>
      <c r="C414" s="211" t="s">
        <v>631</v>
      </c>
      <c r="D414" s="45">
        <v>613</v>
      </c>
      <c r="E414" s="45">
        <v>62</v>
      </c>
      <c r="F414" s="45">
        <v>6.41</v>
      </c>
      <c r="G414" s="45">
        <v>54</v>
      </c>
      <c r="H414" s="1" t="str">
        <f t="shared" si="1"/>
        <v>High Minute</v>
      </c>
      <c r="I414" s="1"/>
    </row>
    <row r="415" spans="1:9" ht="13">
      <c r="A415" s="1" t="s">
        <v>149</v>
      </c>
      <c r="B415" s="1" t="s">
        <v>761</v>
      </c>
      <c r="C415" s="207" t="s">
        <v>626</v>
      </c>
      <c r="D415" s="41">
        <v>231</v>
      </c>
      <c r="E415" s="41">
        <v>8</v>
      </c>
      <c r="F415" s="41">
        <v>5.0999999999999996</v>
      </c>
      <c r="G415" s="41">
        <v>5</v>
      </c>
      <c r="H415" s="1" t="str">
        <f t="shared" si="1"/>
        <v>Development</v>
      </c>
      <c r="I415" s="1"/>
    </row>
    <row r="416" spans="1:9" ht="13">
      <c r="A416" s="1" t="s">
        <v>149</v>
      </c>
      <c r="B416" s="1" t="s">
        <v>761</v>
      </c>
      <c r="C416" s="211" t="s">
        <v>631</v>
      </c>
      <c r="D416" s="45">
        <v>231</v>
      </c>
      <c r="E416" s="45">
        <v>8</v>
      </c>
      <c r="F416" s="45">
        <v>5.0999999999999996</v>
      </c>
      <c r="G416" s="45">
        <v>5</v>
      </c>
      <c r="H416" s="1" t="str">
        <f t="shared" si="1"/>
        <v>Development</v>
      </c>
      <c r="I416" s="1"/>
    </row>
    <row r="417" spans="1:9" ht="13">
      <c r="A417" s="1" t="s">
        <v>190</v>
      </c>
      <c r="B417" s="1" t="s">
        <v>761</v>
      </c>
      <c r="C417" s="207" t="s">
        <v>626</v>
      </c>
      <c r="D417" s="41">
        <v>143</v>
      </c>
      <c r="E417" s="41">
        <v>1</v>
      </c>
      <c r="F417" s="41">
        <v>3.17</v>
      </c>
      <c r="G417" s="41">
        <v>3</v>
      </c>
      <c r="H417" s="1" t="str">
        <f t="shared" si="1"/>
        <v>Posts</v>
      </c>
      <c r="I417" s="1"/>
    </row>
    <row r="418" spans="1:9" ht="13">
      <c r="A418" s="1" t="s">
        <v>190</v>
      </c>
      <c r="B418" s="1" t="s">
        <v>761</v>
      </c>
      <c r="C418" s="207" t="s">
        <v>627</v>
      </c>
      <c r="D418" s="41">
        <v>40</v>
      </c>
      <c r="E418" s="41">
        <v>3</v>
      </c>
      <c r="F418" s="41">
        <v>8.51</v>
      </c>
      <c r="G418" s="41">
        <v>3</v>
      </c>
      <c r="H418" s="1" t="str">
        <f t="shared" si="1"/>
        <v>Posts</v>
      </c>
      <c r="I418" s="1"/>
    </row>
    <row r="419" spans="1:9" ht="13">
      <c r="A419" s="1" t="s">
        <v>190</v>
      </c>
      <c r="B419" s="1" t="s">
        <v>761</v>
      </c>
      <c r="C419" s="207" t="s">
        <v>628</v>
      </c>
      <c r="D419" s="41">
        <v>53</v>
      </c>
      <c r="E419" s="41">
        <v>4</v>
      </c>
      <c r="F419" s="41">
        <v>7.46</v>
      </c>
      <c r="G419" s="41">
        <v>6</v>
      </c>
      <c r="H419" s="1" t="str">
        <f t="shared" si="1"/>
        <v>Posts</v>
      </c>
      <c r="I419" s="1"/>
    </row>
    <row r="420" spans="1:9" ht="13">
      <c r="A420" s="1" t="s">
        <v>190</v>
      </c>
      <c r="B420" s="1" t="s">
        <v>761</v>
      </c>
      <c r="C420" s="211" t="s">
        <v>631</v>
      </c>
      <c r="D420" s="45">
        <v>236</v>
      </c>
      <c r="E420" s="45">
        <v>8</v>
      </c>
      <c r="F420" s="45">
        <v>4.1500000000000004</v>
      </c>
      <c r="G420" s="45">
        <v>12</v>
      </c>
      <c r="H420" s="1" t="str">
        <f t="shared" si="1"/>
        <v>Posts</v>
      </c>
      <c r="I420" s="1"/>
    </row>
    <row r="421" spans="1:9" ht="13">
      <c r="A421" s="1" t="s">
        <v>189</v>
      </c>
      <c r="B421" s="1" t="s">
        <v>761</v>
      </c>
      <c r="C421" s="207" t="s">
        <v>626</v>
      </c>
      <c r="D421" s="41">
        <v>210</v>
      </c>
      <c r="E421" s="41">
        <v>11</v>
      </c>
      <c r="F421" s="41">
        <v>4.63</v>
      </c>
      <c r="G421" s="41">
        <v>9</v>
      </c>
      <c r="H421" s="1" t="str">
        <f t="shared" si="1"/>
        <v>High Minute</v>
      </c>
      <c r="I421" s="1"/>
    </row>
    <row r="422" spans="1:9" ht="13">
      <c r="A422" s="1" t="s">
        <v>189</v>
      </c>
      <c r="B422" s="1" t="s">
        <v>761</v>
      </c>
      <c r="C422" s="207" t="s">
        <v>627</v>
      </c>
      <c r="D422" s="41">
        <v>80</v>
      </c>
      <c r="E422" s="41">
        <v>14</v>
      </c>
      <c r="F422" s="41">
        <v>9.83</v>
      </c>
      <c r="G422" s="41">
        <v>5</v>
      </c>
      <c r="H422" s="1" t="str">
        <f t="shared" si="1"/>
        <v>High Minute</v>
      </c>
      <c r="I422" s="1"/>
    </row>
    <row r="423" spans="1:9" ht="13">
      <c r="A423" s="1" t="s">
        <v>189</v>
      </c>
      <c r="B423" s="1" t="s">
        <v>761</v>
      </c>
      <c r="C423" s="207" t="s">
        <v>628</v>
      </c>
      <c r="D423" s="41">
        <v>26</v>
      </c>
      <c r="E423" s="41">
        <v>7</v>
      </c>
      <c r="F423" s="41">
        <v>9.99</v>
      </c>
      <c r="G423" s="41">
        <v>2</v>
      </c>
      <c r="H423" s="1" t="str">
        <f t="shared" si="1"/>
        <v>High Minute</v>
      </c>
      <c r="I423" s="1"/>
    </row>
    <row r="424" spans="1:9" ht="13">
      <c r="A424" s="1" t="s">
        <v>189</v>
      </c>
      <c r="B424" s="1" t="s">
        <v>761</v>
      </c>
      <c r="C424" s="207" t="s">
        <v>629</v>
      </c>
      <c r="D424" s="41">
        <v>94</v>
      </c>
      <c r="E424" s="41">
        <v>18</v>
      </c>
      <c r="F424" s="41">
        <v>10.87</v>
      </c>
      <c r="G424" s="41">
        <v>9</v>
      </c>
      <c r="H424" s="1" t="str">
        <f t="shared" si="1"/>
        <v>High Minute</v>
      </c>
      <c r="I424" s="1"/>
    </row>
    <row r="425" spans="1:9" ht="13">
      <c r="A425" s="1" t="s">
        <v>189</v>
      </c>
      <c r="B425" s="1" t="s">
        <v>761</v>
      </c>
      <c r="C425" s="207" t="s">
        <v>630</v>
      </c>
      <c r="D425" s="41">
        <v>42</v>
      </c>
      <c r="E425" s="41">
        <v>7</v>
      </c>
      <c r="F425" s="41">
        <v>6.35</v>
      </c>
      <c r="G425" s="41">
        <v>6</v>
      </c>
      <c r="H425" s="1" t="str">
        <f t="shared" si="1"/>
        <v>High Minute</v>
      </c>
      <c r="I425" s="1"/>
    </row>
    <row r="426" spans="1:9" ht="13">
      <c r="A426" s="1" t="s">
        <v>189</v>
      </c>
      <c r="B426" s="1" t="s">
        <v>761</v>
      </c>
      <c r="C426" s="211" t="s">
        <v>631</v>
      </c>
      <c r="D426" s="45">
        <v>451</v>
      </c>
      <c r="E426" s="45">
        <v>57</v>
      </c>
      <c r="F426" s="45">
        <v>6.34</v>
      </c>
      <c r="G426" s="45">
        <v>31</v>
      </c>
      <c r="H426" s="1" t="str">
        <f t="shared" si="1"/>
        <v>High Minute</v>
      </c>
      <c r="I426" s="1"/>
    </row>
    <row r="427" spans="1:9" ht="13">
      <c r="A427" s="1" t="s">
        <v>637</v>
      </c>
      <c r="B427" s="1" t="s">
        <v>761</v>
      </c>
      <c r="C427" s="207" t="s">
        <v>626</v>
      </c>
      <c r="D427" s="41">
        <v>189</v>
      </c>
      <c r="E427" s="41">
        <v>2</v>
      </c>
      <c r="F427" s="41">
        <v>4.1900000000000004</v>
      </c>
      <c r="G427" s="41">
        <v>2</v>
      </c>
      <c r="H427" s="1" t="str">
        <f t="shared" si="1"/>
        <v>Development</v>
      </c>
      <c r="I427" s="1"/>
    </row>
    <row r="428" spans="1:9" ht="13">
      <c r="A428" s="1" t="s">
        <v>637</v>
      </c>
      <c r="B428" s="1" t="s">
        <v>761</v>
      </c>
      <c r="C428" s="207" t="s">
        <v>628</v>
      </c>
      <c r="D428" s="41">
        <v>48</v>
      </c>
      <c r="E428" s="41">
        <v>17</v>
      </c>
      <c r="F428" s="41">
        <v>10.55</v>
      </c>
      <c r="G428" s="41">
        <v>6</v>
      </c>
      <c r="H428" s="1" t="str">
        <f t="shared" si="1"/>
        <v>Development</v>
      </c>
      <c r="I428" s="1"/>
    </row>
    <row r="429" spans="1:9" ht="13">
      <c r="A429" s="1" t="s">
        <v>637</v>
      </c>
      <c r="B429" s="1" t="s">
        <v>761</v>
      </c>
      <c r="C429" s="211" t="s">
        <v>631</v>
      </c>
      <c r="D429" s="45">
        <v>237</v>
      </c>
      <c r="E429" s="45">
        <v>19</v>
      </c>
      <c r="F429" s="45">
        <v>4.7699999999999996</v>
      </c>
      <c r="G429" s="45">
        <v>8</v>
      </c>
      <c r="H429" s="1" t="str">
        <f t="shared" si="1"/>
        <v>Development</v>
      </c>
      <c r="I429" s="1"/>
    </row>
    <row r="430" spans="1:9" ht="13">
      <c r="A430" s="1" t="s">
        <v>634</v>
      </c>
      <c r="B430" s="1" t="s">
        <v>761</v>
      </c>
      <c r="C430" s="207" t="s">
        <v>626</v>
      </c>
      <c r="D430" s="41">
        <v>176</v>
      </c>
      <c r="E430" s="41">
        <v>1</v>
      </c>
      <c r="F430" s="41">
        <v>3.89</v>
      </c>
      <c r="G430" s="41">
        <v>8</v>
      </c>
      <c r="H430" s="1" t="str">
        <f t="shared" si="1"/>
        <v>Development</v>
      </c>
      <c r="I430" s="1"/>
    </row>
    <row r="431" spans="1:9" ht="13">
      <c r="A431" s="1" t="s">
        <v>634</v>
      </c>
      <c r="B431" s="1" t="s">
        <v>761</v>
      </c>
      <c r="C431" s="207" t="s">
        <v>628</v>
      </c>
      <c r="D431" s="41">
        <v>57</v>
      </c>
      <c r="E431" s="41">
        <v>9</v>
      </c>
      <c r="F431" s="41">
        <v>8.74</v>
      </c>
      <c r="G431" s="41">
        <v>9</v>
      </c>
      <c r="H431" s="1" t="str">
        <f t="shared" si="1"/>
        <v>Development</v>
      </c>
      <c r="I431" s="1"/>
    </row>
    <row r="432" spans="1:9" ht="13">
      <c r="A432" s="1" t="s">
        <v>634</v>
      </c>
      <c r="B432" s="1" t="s">
        <v>761</v>
      </c>
      <c r="C432" s="211" t="s">
        <v>631</v>
      </c>
      <c r="D432" s="45">
        <v>233</v>
      </c>
      <c r="E432" s="45">
        <v>10</v>
      </c>
      <c r="F432" s="45">
        <v>4.51</v>
      </c>
      <c r="G432" s="45">
        <v>17</v>
      </c>
      <c r="H432" s="1" t="str">
        <f t="shared" si="1"/>
        <v>Development</v>
      </c>
      <c r="I432" s="1"/>
    </row>
    <row r="433" spans="1:9" ht="13">
      <c r="A433" s="1" t="s">
        <v>157</v>
      </c>
      <c r="B433" s="1" t="s">
        <v>761</v>
      </c>
      <c r="C433" s="207" t="s">
        <v>626</v>
      </c>
      <c r="D433" s="41">
        <v>178</v>
      </c>
      <c r="E433" s="41">
        <v>0</v>
      </c>
      <c r="F433" s="41">
        <v>3.93</v>
      </c>
      <c r="G433" s="41">
        <v>8</v>
      </c>
      <c r="H433" s="1" t="str">
        <f t="shared" si="1"/>
        <v>High Minute</v>
      </c>
      <c r="I433" s="1"/>
    </row>
    <row r="434" spans="1:9" ht="13">
      <c r="A434" s="1" t="s">
        <v>157</v>
      </c>
      <c r="B434" s="1" t="s">
        <v>761</v>
      </c>
      <c r="C434" s="207" t="s">
        <v>627</v>
      </c>
      <c r="D434" s="41">
        <v>121</v>
      </c>
      <c r="E434" s="41">
        <v>20</v>
      </c>
      <c r="F434" s="41">
        <v>9.43</v>
      </c>
      <c r="G434" s="41">
        <v>4</v>
      </c>
      <c r="H434" s="1" t="str">
        <f t="shared" si="1"/>
        <v>High Minute</v>
      </c>
      <c r="I434" s="1"/>
    </row>
    <row r="435" spans="1:9" ht="13">
      <c r="A435" s="1" t="s">
        <v>157</v>
      </c>
      <c r="B435" s="1" t="s">
        <v>761</v>
      </c>
      <c r="C435" s="207" t="s">
        <v>628</v>
      </c>
      <c r="D435" s="41">
        <v>81</v>
      </c>
      <c r="E435" s="41">
        <v>7</v>
      </c>
      <c r="F435" s="41">
        <v>9.76</v>
      </c>
      <c r="G435" s="41">
        <v>4</v>
      </c>
      <c r="H435" s="1" t="str">
        <f t="shared" si="1"/>
        <v>High Minute</v>
      </c>
      <c r="I435" s="1"/>
    </row>
    <row r="436" spans="1:9" ht="13">
      <c r="A436" s="1" t="s">
        <v>157</v>
      </c>
      <c r="B436" s="1" t="s">
        <v>761</v>
      </c>
      <c r="C436" s="207" t="s">
        <v>629</v>
      </c>
      <c r="D436" s="41">
        <v>113</v>
      </c>
      <c r="E436" s="41">
        <v>13</v>
      </c>
      <c r="F436" s="41">
        <v>9.1</v>
      </c>
      <c r="G436" s="41">
        <v>8</v>
      </c>
      <c r="H436" s="1" t="str">
        <f t="shared" si="1"/>
        <v>High Minute</v>
      </c>
      <c r="I436" s="1"/>
    </row>
    <row r="437" spans="1:9" ht="13">
      <c r="A437" s="1" t="s">
        <v>157</v>
      </c>
      <c r="B437" s="1" t="s">
        <v>761</v>
      </c>
      <c r="C437" s="207" t="s">
        <v>630</v>
      </c>
      <c r="D437" s="41">
        <v>93</v>
      </c>
      <c r="E437" s="41">
        <v>8</v>
      </c>
      <c r="F437" s="41">
        <v>5.77</v>
      </c>
      <c r="G437" s="41">
        <v>2</v>
      </c>
      <c r="H437" s="1" t="str">
        <f t="shared" si="1"/>
        <v>High Minute</v>
      </c>
      <c r="I437" s="1"/>
    </row>
    <row r="438" spans="1:9" ht="13">
      <c r="A438" s="1" t="s">
        <v>157</v>
      </c>
      <c r="B438" s="1" t="s">
        <v>761</v>
      </c>
      <c r="C438" s="211" t="s">
        <v>631</v>
      </c>
      <c r="D438" s="45">
        <v>586</v>
      </c>
      <c r="E438" s="45">
        <v>48</v>
      </c>
      <c r="F438" s="45">
        <v>6.17</v>
      </c>
      <c r="G438" s="45">
        <v>26</v>
      </c>
      <c r="H438" s="1" t="str">
        <f t="shared" si="1"/>
        <v>High Minute</v>
      </c>
      <c r="I438" s="1"/>
    </row>
    <row r="439" spans="1:9" ht="13">
      <c r="A439" s="1" t="s">
        <v>159</v>
      </c>
      <c r="B439" s="1" t="s">
        <v>761</v>
      </c>
      <c r="C439" s="207" t="s">
        <v>626</v>
      </c>
      <c r="D439" s="41">
        <v>184</v>
      </c>
      <c r="E439" s="41">
        <v>4</v>
      </c>
      <c r="F439" s="41">
        <v>4.07</v>
      </c>
      <c r="G439" s="41">
        <v>1</v>
      </c>
      <c r="H439" s="1" t="str">
        <f t="shared" si="1"/>
        <v>High Minute</v>
      </c>
      <c r="I439" s="1"/>
    </row>
    <row r="440" spans="1:9" ht="13">
      <c r="A440" s="1" t="s">
        <v>159</v>
      </c>
      <c r="B440" s="1" t="s">
        <v>761</v>
      </c>
      <c r="C440" s="207" t="s">
        <v>627</v>
      </c>
      <c r="D440" s="41">
        <v>172</v>
      </c>
      <c r="E440" s="41">
        <v>28</v>
      </c>
      <c r="F440" s="41">
        <v>9.24</v>
      </c>
      <c r="G440" s="41">
        <v>20</v>
      </c>
      <c r="H440" s="1" t="str">
        <f t="shared" si="1"/>
        <v>High Minute</v>
      </c>
      <c r="I440" s="1"/>
    </row>
    <row r="441" spans="1:9" ht="13">
      <c r="A441" s="1" t="s">
        <v>159</v>
      </c>
      <c r="B441" s="1" t="s">
        <v>761</v>
      </c>
      <c r="C441" s="207" t="s">
        <v>628</v>
      </c>
      <c r="D441" s="41">
        <v>136</v>
      </c>
      <c r="E441" s="41">
        <v>20</v>
      </c>
      <c r="F441" s="41">
        <v>8.1999999999999993</v>
      </c>
      <c r="G441" s="41">
        <v>10</v>
      </c>
      <c r="H441" s="1" t="str">
        <f t="shared" si="1"/>
        <v>High Minute</v>
      </c>
      <c r="I441" s="1"/>
    </row>
    <row r="442" spans="1:9" ht="13">
      <c r="A442" s="1" t="s">
        <v>159</v>
      </c>
      <c r="B442" s="1" t="s">
        <v>761</v>
      </c>
      <c r="C442" s="207" t="s">
        <v>629</v>
      </c>
      <c r="D442" s="41">
        <v>152</v>
      </c>
      <c r="E442" s="41">
        <v>26</v>
      </c>
      <c r="F442" s="41">
        <v>8.4700000000000006</v>
      </c>
      <c r="G442" s="41">
        <v>11</v>
      </c>
      <c r="H442" s="1" t="str">
        <f t="shared" si="1"/>
        <v>High Minute</v>
      </c>
      <c r="I442" s="1"/>
    </row>
    <row r="443" spans="1:9" ht="13">
      <c r="A443" s="1" t="s">
        <v>159</v>
      </c>
      <c r="B443" s="1" t="s">
        <v>761</v>
      </c>
      <c r="C443" s="207" t="s">
        <v>630</v>
      </c>
      <c r="D443" s="41">
        <v>184</v>
      </c>
      <c r="E443" s="41">
        <v>20</v>
      </c>
      <c r="F443" s="41">
        <v>6.54</v>
      </c>
      <c r="G443" s="41">
        <v>13</v>
      </c>
      <c r="H443" s="1" t="str">
        <f t="shared" si="1"/>
        <v>High Minute</v>
      </c>
      <c r="I443" s="1"/>
    </row>
    <row r="444" spans="1:9" ht="13">
      <c r="A444" s="1" t="s">
        <v>159</v>
      </c>
      <c r="B444" s="1" t="s">
        <v>761</v>
      </c>
      <c r="C444" s="211" t="s">
        <v>631</v>
      </c>
      <c r="D444" s="45">
        <v>828</v>
      </c>
      <c r="E444" s="45">
        <v>98</v>
      </c>
      <c r="F444" s="45">
        <v>6.55</v>
      </c>
      <c r="G444" s="45">
        <v>55</v>
      </c>
      <c r="H444" s="1" t="str">
        <f t="shared" si="1"/>
        <v>High Minute</v>
      </c>
      <c r="I444" s="1"/>
    </row>
    <row r="445" spans="1:9" ht="13">
      <c r="A445" s="1" t="s">
        <v>638</v>
      </c>
      <c r="B445" s="1" t="s">
        <v>761</v>
      </c>
      <c r="C445" s="207" t="s">
        <v>626</v>
      </c>
      <c r="D445" s="41">
        <v>189</v>
      </c>
      <c r="E445" s="41">
        <v>4</v>
      </c>
      <c r="F445" s="41">
        <v>4.1900000000000004</v>
      </c>
      <c r="G445" s="41">
        <v>5</v>
      </c>
      <c r="H445" s="1" t="str">
        <f t="shared" si="1"/>
        <v>High Minute</v>
      </c>
      <c r="I445" s="1"/>
    </row>
    <row r="446" spans="1:9" ht="13">
      <c r="A446" s="1" t="s">
        <v>638</v>
      </c>
      <c r="B446" s="1" t="s">
        <v>761</v>
      </c>
      <c r="C446" s="207" t="s">
        <v>627</v>
      </c>
      <c r="D446" s="41">
        <v>160</v>
      </c>
      <c r="E446" s="41">
        <v>42</v>
      </c>
      <c r="F446" s="41">
        <v>11.36</v>
      </c>
      <c r="G446" s="41">
        <v>24</v>
      </c>
      <c r="H446" s="1" t="str">
        <f t="shared" si="1"/>
        <v>High Minute</v>
      </c>
      <c r="I446" s="1"/>
    </row>
    <row r="447" spans="1:9" ht="13">
      <c r="A447" s="1" t="s">
        <v>638</v>
      </c>
      <c r="B447" s="1" t="s">
        <v>761</v>
      </c>
      <c r="C447" s="207" t="s">
        <v>628</v>
      </c>
      <c r="D447" s="41">
        <v>151</v>
      </c>
      <c r="E447" s="41">
        <v>53</v>
      </c>
      <c r="F447" s="41">
        <v>11.09</v>
      </c>
      <c r="G447" s="41">
        <v>22</v>
      </c>
      <c r="H447" s="1" t="str">
        <f t="shared" si="1"/>
        <v>High Minute</v>
      </c>
      <c r="I447" s="1"/>
    </row>
    <row r="448" spans="1:9" ht="13">
      <c r="A448" s="1" t="s">
        <v>638</v>
      </c>
      <c r="B448" s="1" t="s">
        <v>761</v>
      </c>
      <c r="C448" s="207" t="s">
        <v>629</v>
      </c>
      <c r="D448" s="41">
        <v>114</v>
      </c>
      <c r="E448" s="41">
        <v>31</v>
      </c>
      <c r="F448" s="41">
        <v>10.84</v>
      </c>
      <c r="G448" s="41">
        <v>22</v>
      </c>
      <c r="H448" s="1" t="str">
        <f t="shared" si="1"/>
        <v>High Minute</v>
      </c>
      <c r="I448" s="1"/>
    </row>
    <row r="449" spans="1:9" ht="13">
      <c r="A449" s="1" t="s">
        <v>638</v>
      </c>
      <c r="B449" s="1" t="s">
        <v>761</v>
      </c>
      <c r="C449" s="207" t="s">
        <v>630</v>
      </c>
      <c r="D449" s="41">
        <v>211</v>
      </c>
      <c r="E449" s="41">
        <v>43</v>
      </c>
      <c r="F449" s="41">
        <v>7.34</v>
      </c>
      <c r="G449" s="41">
        <v>23</v>
      </c>
      <c r="H449" s="1" t="str">
        <f t="shared" si="1"/>
        <v>High Minute</v>
      </c>
      <c r="I449" s="1"/>
    </row>
    <row r="450" spans="1:9" ht="13">
      <c r="A450" s="1" t="s">
        <v>638</v>
      </c>
      <c r="B450" s="1" t="s">
        <v>761</v>
      </c>
      <c r="C450" s="211" t="s">
        <v>631</v>
      </c>
      <c r="D450" s="45">
        <v>825</v>
      </c>
      <c r="E450" s="45">
        <v>173</v>
      </c>
      <c r="F450" s="45">
        <v>7.36</v>
      </c>
      <c r="G450" s="45">
        <v>96</v>
      </c>
      <c r="H450" s="1" t="str">
        <f t="shared" si="1"/>
        <v>High Minute</v>
      </c>
      <c r="I450" s="1"/>
    </row>
    <row r="451" spans="1:9" ht="13">
      <c r="A451" s="1" t="s">
        <v>589</v>
      </c>
      <c r="B451" s="1" t="s">
        <v>761</v>
      </c>
      <c r="C451" s="207" t="s">
        <v>626</v>
      </c>
      <c r="D451" s="41">
        <v>208</v>
      </c>
      <c r="E451" s="41">
        <v>1</v>
      </c>
      <c r="F451" s="41">
        <v>4.62</v>
      </c>
      <c r="G451" s="41">
        <v>22</v>
      </c>
      <c r="H451" s="1" t="str">
        <f t="shared" si="1"/>
        <v>Posts</v>
      </c>
      <c r="I451" s="1"/>
    </row>
    <row r="452" spans="1:9" ht="13">
      <c r="A452" s="1" t="s">
        <v>589</v>
      </c>
      <c r="B452" s="1" t="s">
        <v>761</v>
      </c>
      <c r="C452" s="207" t="s">
        <v>627</v>
      </c>
      <c r="D452" s="41">
        <v>79</v>
      </c>
      <c r="E452" s="41">
        <v>10</v>
      </c>
      <c r="F452" s="41">
        <v>9.4700000000000006</v>
      </c>
      <c r="G452" s="41">
        <v>11</v>
      </c>
      <c r="H452" s="1" t="str">
        <f t="shared" si="1"/>
        <v>Posts</v>
      </c>
      <c r="I452" s="1"/>
    </row>
    <row r="453" spans="1:9" ht="13">
      <c r="A453" s="1" t="s">
        <v>589</v>
      </c>
      <c r="B453" s="1" t="s">
        <v>761</v>
      </c>
      <c r="C453" s="207" t="s">
        <v>628</v>
      </c>
      <c r="D453" s="41">
        <v>104</v>
      </c>
      <c r="E453" s="41">
        <v>18</v>
      </c>
      <c r="F453" s="41">
        <v>7.77</v>
      </c>
      <c r="G453" s="41">
        <v>16</v>
      </c>
      <c r="H453" s="1" t="str">
        <f t="shared" si="1"/>
        <v>Posts</v>
      </c>
      <c r="I453" s="1"/>
    </row>
    <row r="454" spans="1:9" ht="13">
      <c r="A454" s="1" t="s">
        <v>589</v>
      </c>
      <c r="B454" s="1" t="s">
        <v>761</v>
      </c>
      <c r="C454" s="207" t="s">
        <v>629</v>
      </c>
      <c r="D454" s="41">
        <v>36</v>
      </c>
      <c r="E454" s="41">
        <v>5</v>
      </c>
      <c r="F454" s="41">
        <v>8.67</v>
      </c>
      <c r="G454" s="41">
        <v>4</v>
      </c>
      <c r="H454" s="1" t="str">
        <f t="shared" si="1"/>
        <v>Posts</v>
      </c>
      <c r="I454" s="1"/>
    </row>
    <row r="455" spans="1:9" ht="13">
      <c r="A455" s="1" t="s">
        <v>589</v>
      </c>
      <c r="B455" s="1" t="s">
        <v>761</v>
      </c>
      <c r="C455" s="207" t="s">
        <v>630</v>
      </c>
      <c r="D455" s="41">
        <v>56</v>
      </c>
      <c r="E455" s="41">
        <v>4</v>
      </c>
      <c r="F455" s="41">
        <v>6.68</v>
      </c>
      <c r="G455" s="41">
        <v>6</v>
      </c>
      <c r="H455" s="1" t="str">
        <f t="shared" si="1"/>
        <v>Posts</v>
      </c>
      <c r="I455" s="1"/>
    </row>
    <row r="456" spans="1:9" ht="13">
      <c r="A456" s="1" t="s">
        <v>589</v>
      </c>
      <c r="B456" s="1" t="s">
        <v>761</v>
      </c>
      <c r="C456" s="211" t="s">
        <v>631</v>
      </c>
      <c r="D456" s="45">
        <v>483</v>
      </c>
      <c r="E456" s="45">
        <v>38</v>
      </c>
      <c r="F456" s="45">
        <v>6.09</v>
      </c>
      <c r="G456" s="45">
        <v>59</v>
      </c>
      <c r="H456" s="1" t="str">
        <f t="shared" si="1"/>
        <v>Posts</v>
      </c>
      <c r="I456" s="1"/>
    </row>
    <row r="457" spans="1:9" ht="13">
      <c r="A457" s="1" t="s">
        <v>590</v>
      </c>
      <c r="B457" s="1" t="s">
        <v>761</v>
      </c>
      <c r="C457" s="207" t="s">
        <v>626</v>
      </c>
      <c r="D457" s="41">
        <v>183</v>
      </c>
      <c r="E457" s="41">
        <v>1</v>
      </c>
      <c r="F457" s="41">
        <v>4.04</v>
      </c>
      <c r="G457" s="41">
        <v>10</v>
      </c>
      <c r="H457" s="1" t="str">
        <f t="shared" si="1"/>
        <v>Posts</v>
      </c>
      <c r="I457" s="1"/>
    </row>
    <row r="458" spans="1:9" ht="13">
      <c r="A458" s="1" t="s">
        <v>590</v>
      </c>
      <c r="B458" s="1" t="s">
        <v>761</v>
      </c>
      <c r="C458" s="207" t="s">
        <v>627</v>
      </c>
      <c r="D458" s="41">
        <v>66</v>
      </c>
      <c r="E458" s="41">
        <v>3</v>
      </c>
      <c r="F458" s="41">
        <v>5.43</v>
      </c>
      <c r="G458" s="41">
        <v>6</v>
      </c>
      <c r="H458" s="1" t="str">
        <f t="shared" si="1"/>
        <v>Posts</v>
      </c>
      <c r="I458" s="1"/>
    </row>
    <row r="459" spans="1:9" ht="13">
      <c r="A459" s="1" t="s">
        <v>590</v>
      </c>
      <c r="B459" s="1" t="s">
        <v>761</v>
      </c>
      <c r="C459" s="207" t="s">
        <v>628</v>
      </c>
      <c r="D459" s="41">
        <v>7</v>
      </c>
      <c r="E459" s="41">
        <v>0</v>
      </c>
      <c r="F459" s="41">
        <v>2.48</v>
      </c>
      <c r="G459" s="41">
        <v>0</v>
      </c>
      <c r="H459" s="1" t="str">
        <f t="shared" si="1"/>
        <v>Posts</v>
      </c>
      <c r="I459" s="1"/>
    </row>
    <row r="460" spans="1:9" ht="13">
      <c r="A460" s="1" t="s">
        <v>590</v>
      </c>
      <c r="B460" s="1" t="s">
        <v>761</v>
      </c>
      <c r="C460" s="207" t="s">
        <v>629</v>
      </c>
      <c r="D460" s="41">
        <v>120</v>
      </c>
      <c r="E460" s="41">
        <v>8</v>
      </c>
      <c r="F460" s="41">
        <v>7.83</v>
      </c>
      <c r="G460" s="41">
        <v>18</v>
      </c>
      <c r="H460" s="1" t="str">
        <f t="shared" si="1"/>
        <v>Posts</v>
      </c>
      <c r="I460" s="1"/>
    </row>
    <row r="461" spans="1:9" ht="13">
      <c r="A461" s="1" t="s">
        <v>590</v>
      </c>
      <c r="B461" s="1" t="s">
        <v>761</v>
      </c>
      <c r="C461" s="207" t="s">
        <v>630</v>
      </c>
      <c r="D461" s="41">
        <v>101</v>
      </c>
      <c r="E461" s="41">
        <v>4</v>
      </c>
      <c r="F461" s="41">
        <v>4.8600000000000003</v>
      </c>
      <c r="G461" s="41">
        <v>13</v>
      </c>
      <c r="H461" s="1" t="str">
        <f t="shared" si="1"/>
        <v>Posts</v>
      </c>
      <c r="I461" s="1"/>
    </row>
    <row r="462" spans="1:9" ht="13">
      <c r="A462" s="1" t="s">
        <v>590</v>
      </c>
      <c r="B462" s="1" t="s">
        <v>761</v>
      </c>
      <c r="C462" s="211" t="s">
        <v>631</v>
      </c>
      <c r="D462" s="45">
        <v>477</v>
      </c>
      <c r="E462" s="45">
        <v>16</v>
      </c>
      <c r="F462" s="45">
        <v>4.9400000000000004</v>
      </c>
      <c r="G462" s="45">
        <v>47</v>
      </c>
      <c r="H462" s="1" t="str">
        <f t="shared" si="1"/>
        <v>Posts</v>
      </c>
      <c r="I462" s="1"/>
    </row>
    <row r="463" spans="1:9" ht="13">
      <c r="A463" s="1" t="s">
        <v>167</v>
      </c>
      <c r="B463" s="1" t="s">
        <v>761</v>
      </c>
      <c r="C463" s="207" t="s">
        <v>626</v>
      </c>
      <c r="D463" s="41">
        <v>186</v>
      </c>
      <c r="E463" s="41">
        <v>4</v>
      </c>
      <c r="F463" s="41">
        <v>4.1100000000000003</v>
      </c>
      <c r="G463" s="41">
        <v>3</v>
      </c>
      <c r="H463" s="1" t="str">
        <f t="shared" si="1"/>
        <v>Development</v>
      </c>
      <c r="I463" s="1"/>
    </row>
    <row r="464" spans="1:9" ht="13">
      <c r="A464" s="1" t="s">
        <v>167</v>
      </c>
      <c r="B464" s="1" t="s">
        <v>761</v>
      </c>
      <c r="C464" s="211" t="s">
        <v>631</v>
      </c>
      <c r="D464" s="45">
        <v>186</v>
      </c>
      <c r="E464" s="45">
        <v>4</v>
      </c>
      <c r="F464" s="45">
        <v>4.1100000000000003</v>
      </c>
      <c r="G464" s="45">
        <v>3</v>
      </c>
      <c r="H464" s="1" t="str">
        <f t="shared" si="1"/>
        <v>Development</v>
      </c>
      <c r="I464" s="1"/>
    </row>
    <row r="465" spans="1:9" ht="13">
      <c r="A465" s="1" t="s">
        <v>633</v>
      </c>
      <c r="B465" s="1" t="s">
        <v>761</v>
      </c>
      <c r="C465" s="207" t="s">
        <v>626</v>
      </c>
      <c r="D465" s="41">
        <v>182</v>
      </c>
      <c r="E465" s="41">
        <v>2</v>
      </c>
      <c r="F465" s="41">
        <v>4.03</v>
      </c>
      <c r="G465" s="41">
        <v>6</v>
      </c>
      <c r="H465" s="1" t="str">
        <f t="shared" si="1"/>
        <v>High Minute</v>
      </c>
      <c r="I465" s="1"/>
    </row>
    <row r="466" spans="1:9" ht="13">
      <c r="A466" s="1" t="s">
        <v>633</v>
      </c>
      <c r="B466" s="1" t="s">
        <v>761</v>
      </c>
      <c r="C466" s="207" t="s">
        <v>627</v>
      </c>
      <c r="D466" s="41">
        <v>96</v>
      </c>
      <c r="E466" s="41">
        <v>7</v>
      </c>
      <c r="F466" s="41">
        <v>8.94</v>
      </c>
      <c r="G466" s="41">
        <v>7</v>
      </c>
      <c r="H466" s="1" t="str">
        <f t="shared" si="1"/>
        <v>High Minute</v>
      </c>
      <c r="I466" s="1"/>
    </row>
    <row r="467" spans="1:9" ht="13">
      <c r="A467" s="1" t="s">
        <v>633</v>
      </c>
      <c r="B467" s="1" t="s">
        <v>761</v>
      </c>
      <c r="C467" s="207" t="s">
        <v>628</v>
      </c>
      <c r="D467" s="41">
        <v>147</v>
      </c>
      <c r="E467" s="41">
        <v>14</v>
      </c>
      <c r="F467" s="41">
        <v>7.83</v>
      </c>
      <c r="G467" s="41">
        <v>18</v>
      </c>
      <c r="H467" s="1" t="str">
        <f t="shared" si="1"/>
        <v>High Minute</v>
      </c>
      <c r="I467" s="1"/>
    </row>
    <row r="468" spans="1:9" ht="13">
      <c r="A468" s="1" t="s">
        <v>633</v>
      </c>
      <c r="B468" s="1" t="s">
        <v>761</v>
      </c>
      <c r="C468" s="207" t="s">
        <v>629</v>
      </c>
      <c r="D468" s="41">
        <v>86</v>
      </c>
      <c r="E468" s="41">
        <v>6</v>
      </c>
      <c r="F468" s="41">
        <v>8.23</v>
      </c>
      <c r="G468" s="41">
        <v>9</v>
      </c>
      <c r="H468" s="1" t="str">
        <f t="shared" si="1"/>
        <v>High Minute</v>
      </c>
      <c r="I468" s="1"/>
    </row>
    <row r="469" spans="1:9" ht="13">
      <c r="A469" s="1" t="s">
        <v>633</v>
      </c>
      <c r="B469" s="1" t="s">
        <v>761</v>
      </c>
      <c r="C469" s="207" t="s">
        <v>630</v>
      </c>
      <c r="D469" s="41">
        <v>181</v>
      </c>
      <c r="E469" s="41">
        <v>11</v>
      </c>
      <c r="F469" s="41">
        <v>6.32</v>
      </c>
      <c r="G469" s="41">
        <v>17</v>
      </c>
      <c r="H469" s="1" t="str">
        <f t="shared" si="1"/>
        <v>High Minute</v>
      </c>
      <c r="I469" s="1"/>
    </row>
    <row r="470" spans="1:9" ht="13">
      <c r="A470" s="1" t="s">
        <v>633</v>
      </c>
      <c r="B470" s="1" t="s">
        <v>761</v>
      </c>
      <c r="C470" s="211" t="s">
        <v>631</v>
      </c>
      <c r="D470" s="45">
        <v>692</v>
      </c>
      <c r="E470" s="45">
        <v>40</v>
      </c>
      <c r="F470" s="45">
        <v>6.08</v>
      </c>
      <c r="G470" s="45">
        <v>57</v>
      </c>
      <c r="H470" s="1" t="str">
        <f t="shared" si="1"/>
        <v>High Minute</v>
      </c>
      <c r="I470" s="1"/>
    </row>
    <row r="471" spans="1:9" ht="13">
      <c r="A471" s="39" t="s">
        <v>622</v>
      </c>
      <c r="B471" s="99" t="s">
        <v>117</v>
      </c>
      <c r="C471" s="34" t="s">
        <v>626</v>
      </c>
      <c r="D471" s="41">
        <v>155</v>
      </c>
      <c r="E471" s="41">
        <v>0</v>
      </c>
      <c r="F471" s="41">
        <v>5.32</v>
      </c>
      <c r="G471" s="41">
        <v>1</v>
      </c>
      <c r="H471" s="1" t="str">
        <f t="shared" si="1"/>
        <v>High Minute</v>
      </c>
      <c r="I471" s="1"/>
    </row>
    <row r="472" spans="1:9" ht="13">
      <c r="A472" s="39" t="s">
        <v>622</v>
      </c>
      <c r="B472" s="99" t="s">
        <v>117</v>
      </c>
      <c r="C472" s="34" t="s">
        <v>627</v>
      </c>
      <c r="D472" s="41">
        <v>88</v>
      </c>
      <c r="E472" s="41">
        <v>12</v>
      </c>
      <c r="F472" s="41">
        <v>12.81</v>
      </c>
      <c r="G472" s="41">
        <v>8</v>
      </c>
      <c r="H472" s="1" t="str">
        <f t="shared" si="1"/>
        <v>High Minute</v>
      </c>
      <c r="I472" s="1"/>
    </row>
    <row r="473" spans="1:9" ht="13">
      <c r="A473" s="39" t="s">
        <v>622</v>
      </c>
      <c r="B473" s="99" t="s">
        <v>117</v>
      </c>
      <c r="C473" s="34" t="s">
        <v>628</v>
      </c>
      <c r="D473" s="41">
        <v>110</v>
      </c>
      <c r="E473" s="41">
        <v>18</v>
      </c>
      <c r="F473" s="41">
        <v>10.89</v>
      </c>
      <c r="G473" s="41">
        <v>10</v>
      </c>
      <c r="H473" s="1" t="str">
        <f t="shared" si="1"/>
        <v>High Minute</v>
      </c>
      <c r="I473" s="1"/>
    </row>
    <row r="474" spans="1:9" ht="13">
      <c r="A474" s="39" t="s">
        <v>622</v>
      </c>
      <c r="B474" s="99" t="s">
        <v>117</v>
      </c>
      <c r="C474" s="34" t="s">
        <v>629</v>
      </c>
      <c r="D474" s="41">
        <v>174</v>
      </c>
      <c r="E474" s="41">
        <v>27</v>
      </c>
      <c r="F474" s="41">
        <v>9.52</v>
      </c>
      <c r="G474" s="41">
        <v>8</v>
      </c>
      <c r="H474" s="1" t="str">
        <f t="shared" si="1"/>
        <v>High Minute</v>
      </c>
      <c r="I474" s="1"/>
    </row>
    <row r="475" spans="1:9" ht="13">
      <c r="A475" s="39" t="s">
        <v>622</v>
      </c>
      <c r="B475" s="99" t="s">
        <v>117</v>
      </c>
      <c r="C475" s="34" t="s">
        <v>630</v>
      </c>
      <c r="D475" s="41">
        <v>19</v>
      </c>
      <c r="E475" s="41">
        <v>3</v>
      </c>
      <c r="F475" s="41">
        <v>14.77</v>
      </c>
      <c r="G475" s="41">
        <v>5</v>
      </c>
      <c r="H475" s="1" t="str">
        <f t="shared" si="1"/>
        <v>High Minute</v>
      </c>
      <c r="I475" s="1"/>
    </row>
    <row r="476" spans="1:9" ht="13">
      <c r="A476" s="39" t="s">
        <v>622</v>
      </c>
      <c r="B476" s="99" t="s">
        <v>117</v>
      </c>
      <c r="C476" s="44" t="s">
        <v>631</v>
      </c>
      <c r="D476" s="45">
        <v>546</v>
      </c>
      <c r="E476" s="45">
        <v>60</v>
      </c>
      <c r="F476" s="45">
        <v>8.31</v>
      </c>
      <c r="G476" s="45">
        <v>32</v>
      </c>
      <c r="H476" s="1" t="str">
        <f t="shared" si="1"/>
        <v>High Minute</v>
      </c>
      <c r="I476" s="1"/>
    </row>
    <row r="477" spans="1:9" ht="13">
      <c r="A477" s="39" t="s">
        <v>622</v>
      </c>
      <c r="B477" s="99" t="s">
        <v>762</v>
      </c>
      <c r="C477" s="34" t="s">
        <v>626</v>
      </c>
      <c r="D477" s="41">
        <v>162</v>
      </c>
      <c r="E477" s="41">
        <v>2</v>
      </c>
      <c r="F477" s="41">
        <v>3.83</v>
      </c>
      <c r="G477" s="41">
        <v>1</v>
      </c>
      <c r="H477" s="1" t="str">
        <f t="shared" si="1"/>
        <v>High Minute</v>
      </c>
      <c r="I477" s="1"/>
    </row>
    <row r="478" spans="1:9" ht="13">
      <c r="A478" s="39" t="s">
        <v>622</v>
      </c>
      <c r="B478" s="99" t="s">
        <v>762</v>
      </c>
      <c r="C478" s="34" t="s">
        <v>627</v>
      </c>
      <c r="D478" s="41">
        <v>77</v>
      </c>
      <c r="E478" s="41">
        <v>8</v>
      </c>
      <c r="F478" s="41">
        <v>11.11</v>
      </c>
      <c r="G478" s="41">
        <v>4</v>
      </c>
      <c r="H478" s="1" t="str">
        <f t="shared" si="1"/>
        <v>High Minute</v>
      </c>
      <c r="I478" s="1"/>
    </row>
    <row r="479" spans="1:9" ht="13">
      <c r="A479" s="39" t="s">
        <v>622</v>
      </c>
      <c r="B479" s="99" t="s">
        <v>762</v>
      </c>
      <c r="C479" s="34" t="s">
        <v>628</v>
      </c>
      <c r="D479" s="41">
        <v>32</v>
      </c>
      <c r="E479" s="41">
        <v>4</v>
      </c>
      <c r="F479" s="41">
        <v>7.97</v>
      </c>
      <c r="G479" s="41">
        <v>4</v>
      </c>
      <c r="H479" s="1" t="str">
        <f t="shared" si="1"/>
        <v>High Minute</v>
      </c>
      <c r="I479" s="1"/>
    </row>
    <row r="480" spans="1:9" ht="13">
      <c r="A480" s="39" t="s">
        <v>622</v>
      </c>
      <c r="B480" s="99" t="s">
        <v>762</v>
      </c>
      <c r="C480" s="34" t="s">
        <v>629</v>
      </c>
      <c r="D480" s="41">
        <v>101</v>
      </c>
      <c r="E480" s="41">
        <v>12</v>
      </c>
      <c r="F480" s="41">
        <v>9.5500000000000007</v>
      </c>
      <c r="G480" s="41">
        <v>10</v>
      </c>
      <c r="H480" s="1" t="str">
        <f t="shared" si="1"/>
        <v>High Minute</v>
      </c>
      <c r="I480" s="1"/>
    </row>
    <row r="481" spans="1:9" ht="13">
      <c r="A481" s="39" t="s">
        <v>622</v>
      </c>
      <c r="B481" s="99" t="s">
        <v>762</v>
      </c>
      <c r="C481" s="34" t="s">
        <v>630</v>
      </c>
      <c r="D481" s="41">
        <v>49</v>
      </c>
      <c r="E481" s="41">
        <v>5</v>
      </c>
      <c r="F481" s="41">
        <v>8.57</v>
      </c>
      <c r="G481" s="41">
        <v>5</v>
      </c>
      <c r="H481" s="1" t="str">
        <f t="shared" si="1"/>
        <v>High Minute</v>
      </c>
      <c r="I481" s="1"/>
    </row>
    <row r="482" spans="1:9" ht="13">
      <c r="A482" s="39" t="s">
        <v>622</v>
      </c>
      <c r="B482" s="99" t="s">
        <v>762</v>
      </c>
      <c r="C482" s="44" t="s">
        <v>631</v>
      </c>
      <c r="D482" s="45">
        <v>422</v>
      </c>
      <c r="E482" s="45">
        <v>31</v>
      </c>
      <c r="F482" s="45">
        <v>6.05</v>
      </c>
      <c r="G482" s="45">
        <v>24</v>
      </c>
      <c r="H482" s="1" t="str">
        <f t="shared" si="1"/>
        <v>High Minute</v>
      </c>
      <c r="I482" s="1"/>
    </row>
    <row r="483" spans="1:9" ht="13">
      <c r="A483" s="39" t="s">
        <v>622</v>
      </c>
      <c r="B483" s="99" t="s">
        <v>114</v>
      </c>
      <c r="C483" s="34" t="s">
        <v>626</v>
      </c>
      <c r="D483" s="41">
        <v>106</v>
      </c>
      <c r="E483" s="41">
        <v>3</v>
      </c>
      <c r="F483" s="41">
        <v>4.25</v>
      </c>
      <c r="G483" s="41">
        <v>3</v>
      </c>
      <c r="H483" s="1" t="str">
        <f t="shared" si="1"/>
        <v>High Minute</v>
      </c>
      <c r="I483" s="1"/>
    </row>
    <row r="484" spans="1:9" ht="13">
      <c r="A484" s="39" t="s">
        <v>622</v>
      </c>
      <c r="B484" s="99" t="s">
        <v>114</v>
      </c>
      <c r="C484" s="34" t="s">
        <v>627</v>
      </c>
      <c r="D484" s="41">
        <v>94</v>
      </c>
      <c r="E484" s="41">
        <v>16</v>
      </c>
      <c r="F484" s="41">
        <v>11.74</v>
      </c>
      <c r="G484" s="41">
        <v>8</v>
      </c>
      <c r="H484" s="1" t="str">
        <f t="shared" si="1"/>
        <v>High Minute</v>
      </c>
      <c r="I484" s="1"/>
    </row>
    <row r="485" spans="1:9" ht="13">
      <c r="A485" s="39" t="s">
        <v>622</v>
      </c>
      <c r="B485" s="99" t="s">
        <v>114</v>
      </c>
      <c r="C485" s="34" t="s">
        <v>628</v>
      </c>
      <c r="D485" s="41">
        <v>126</v>
      </c>
      <c r="E485" s="41">
        <v>14</v>
      </c>
      <c r="F485" s="41">
        <v>8.5</v>
      </c>
      <c r="G485" s="41">
        <v>9</v>
      </c>
      <c r="H485" s="1" t="str">
        <f t="shared" si="1"/>
        <v>High Minute</v>
      </c>
      <c r="I485" s="1"/>
    </row>
    <row r="486" spans="1:9" ht="13">
      <c r="A486" s="39" t="s">
        <v>622</v>
      </c>
      <c r="B486" s="99" t="s">
        <v>114</v>
      </c>
      <c r="C486" s="34" t="s">
        <v>629</v>
      </c>
      <c r="D486" s="41">
        <v>77</v>
      </c>
      <c r="E486" s="41">
        <v>12</v>
      </c>
      <c r="F486" s="41">
        <v>10.52</v>
      </c>
      <c r="G486" s="41">
        <v>11</v>
      </c>
      <c r="H486" s="1" t="str">
        <f t="shared" si="1"/>
        <v>High Minute</v>
      </c>
      <c r="I486" s="1"/>
    </row>
    <row r="487" spans="1:9" ht="13">
      <c r="A487" s="39" t="s">
        <v>622</v>
      </c>
      <c r="B487" s="99" t="s">
        <v>114</v>
      </c>
      <c r="C487" s="34" t="s">
        <v>630</v>
      </c>
      <c r="D487" s="41">
        <v>97</v>
      </c>
      <c r="E487" s="41">
        <v>15</v>
      </c>
      <c r="F487" s="41">
        <v>12.07</v>
      </c>
      <c r="G487" s="41">
        <v>6</v>
      </c>
      <c r="H487" s="1" t="str">
        <f t="shared" si="1"/>
        <v>High Minute</v>
      </c>
      <c r="I487" s="1"/>
    </row>
    <row r="488" spans="1:9" ht="13">
      <c r="A488" s="39" t="s">
        <v>622</v>
      </c>
      <c r="B488" s="99" t="s">
        <v>114</v>
      </c>
      <c r="C488" s="44" t="s">
        <v>631</v>
      </c>
      <c r="D488" s="45">
        <v>499</v>
      </c>
      <c r="E488" s="45">
        <v>60</v>
      </c>
      <c r="F488" s="45">
        <v>7.93</v>
      </c>
      <c r="G488" s="45">
        <v>37</v>
      </c>
      <c r="H488" s="1" t="str">
        <f t="shared" si="1"/>
        <v>High Minute</v>
      </c>
      <c r="I488" s="1"/>
    </row>
    <row r="489" spans="1:9" ht="13">
      <c r="A489" s="39" t="s">
        <v>149</v>
      </c>
      <c r="B489" s="99" t="s">
        <v>762</v>
      </c>
      <c r="C489" s="34" t="s">
        <v>626</v>
      </c>
      <c r="D489" s="41">
        <v>208</v>
      </c>
      <c r="E489" s="41">
        <v>9</v>
      </c>
      <c r="F489" s="41">
        <v>4.91</v>
      </c>
      <c r="G489" s="41">
        <v>5</v>
      </c>
      <c r="H489" s="1" t="str">
        <f t="shared" si="1"/>
        <v>Development</v>
      </c>
      <c r="I489" s="1"/>
    </row>
    <row r="490" spans="1:9" ht="13">
      <c r="A490" s="39" t="s">
        <v>149</v>
      </c>
      <c r="B490" s="99" t="s">
        <v>762</v>
      </c>
      <c r="C490" s="44" t="s">
        <v>631</v>
      </c>
      <c r="D490" s="45">
        <v>208</v>
      </c>
      <c r="E490" s="45">
        <v>9</v>
      </c>
      <c r="F490" s="45">
        <v>4.91</v>
      </c>
      <c r="G490" s="45">
        <v>5</v>
      </c>
      <c r="H490" s="1" t="str">
        <f t="shared" si="1"/>
        <v>Development</v>
      </c>
      <c r="I490" s="1"/>
    </row>
    <row r="491" spans="1:9" ht="13">
      <c r="A491" s="39" t="s">
        <v>149</v>
      </c>
      <c r="B491" s="99" t="s">
        <v>114</v>
      </c>
      <c r="C491" s="34" t="s">
        <v>626</v>
      </c>
      <c r="D491" s="41">
        <v>146</v>
      </c>
      <c r="E491" s="41">
        <v>14</v>
      </c>
      <c r="F491" s="41">
        <v>5.87</v>
      </c>
      <c r="G491" s="41">
        <v>5</v>
      </c>
      <c r="H491" s="1" t="str">
        <f t="shared" si="1"/>
        <v>Development</v>
      </c>
      <c r="I491" s="1"/>
    </row>
    <row r="492" spans="1:9" ht="13">
      <c r="A492" s="39" t="s">
        <v>149</v>
      </c>
      <c r="B492" s="99" t="s">
        <v>114</v>
      </c>
      <c r="C492" s="34" t="s">
        <v>627</v>
      </c>
      <c r="D492" s="41">
        <v>18</v>
      </c>
      <c r="E492" s="41">
        <v>3</v>
      </c>
      <c r="F492" s="41">
        <v>9.2799999999999994</v>
      </c>
      <c r="G492" s="41">
        <v>1</v>
      </c>
      <c r="H492" s="1" t="str">
        <f t="shared" si="1"/>
        <v>Development</v>
      </c>
      <c r="I492" s="1"/>
    </row>
    <row r="493" spans="1:9" ht="13">
      <c r="A493" s="39" t="s">
        <v>149</v>
      </c>
      <c r="B493" s="99" t="s">
        <v>114</v>
      </c>
      <c r="C493" s="34" t="s">
        <v>628</v>
      </c>
      <c r="D493" s="41">
        <v>47</v>
      </c>
      <c r="E493" s="41">
        <v>17</v>
      </c>
      <c r="F493" s="41">
        <v>11.8</v>
      </c>
      <c r="G493" s="41">
        <v>3</v>
      </c>
      <c r="H493" s="1" t="str">
        <f t="shared" si="1"/>
        <v>Development</v>
      </c>
      <c r="I493" s="1"/>
    </row>
    <row r="494" spans="1:9" ht="13">
      <c r="A494" s="39" t="s">
        <v>149</v>
      </c>
      <c r="B494" s="99" t="s">
        <v>114</v>
      </c>
      <c r="C494" s="34" t="s">
        <v>630</v>
      </c>
      <c r="D494" s="41">
        <v>184</v>
      </c>
      <c r="E494" s="41">
        <v>37</v>
      </c>
      <c r="F494" s="41">
        <v>12.77</v>
      </c>
      <c r="G494" s="41">
        <v>16</v>
      </c>
      <c r="H494" s="1" t="str">
        <f t="shared" si="1"/>
        <v>Development</v>
      </c>
      <c r="I494" s="1"/>
    </row>
    <row r="495" spans="1:9" ht="13">
      <c r="A495" s="39" t="s">
        <v>149</v>
      </c>
      <c r="B495" s="99" t="s">
        <v>114</v>
      </c>
      <c r="C495" s="44" t="s">
        <v>631</v>
      </c>
      <c r="D495" s="45">
        <v>394</v>
      </c>
      <c r="E495" s="45">
        <v>71</v>
      </c>
      <c r="F495" s="45">
        <v>8.74</v>
      </c>
      <c r="G495" s="45">
        <v>25</v>
      </c>
      <c r="H495" s="1" t="str">
        <f t="shared" si="1"/>
        <v>Development</v>
      </c>
      <c r="I495" s="1"/>
    </row>
    <row r="496" spans="1:9" ht="13">
      <c r="A496" s="39" t="s">
        <v>190</v>
      </c>
      <c r="B496" s="99" t="s">
        <v>117</v>
      </c>
      <c r="C496" s="34" t="s">
        <v>626</v>
      </c>
      <c r="D496" s="41">
        <v>115</v>
      </c>
      <c r="E496" s="41">
        <v>0</v>
      </c>
      <c r="F496" s="41">
        <v>3.95</v>
      </c>
      <c r="G496" s="41">
        <v>2</v>
      </c>
      <c r="H496" s="1" t="str">
        <f t="shared" si="1"/>
        <v>Posts</v>
      </c>
      <c r="I496" s="1"/>
    </row>
    <row r="497" spans="1:9" ht="13">
      <c r="A497" s="39" t="s">
        <v>190</v>
      </c>
      <c r="B497" s="99" t="s">
        <v>117</v>
      </c>
      <c r="C497" s="34" t="s">
        <v>629</v>
      </c>
      <c r="D497" s="41">
        <v>33</v>
      </c>
      <c r="E497" s="41">
        <v>3</v>
      </c>
      <c r="F497" s="41">
        <v>6.21</v>
      </c>
      <c r="G497" s="41">
        <v>3</v>
      </c>
      <c r="H497" s="1" t="str">
        <f t="shared" si="1"/>
        <v>Posts</v>
      </c>
      <c r="I497" s="1"/>
    </row>
    <row r="498" spans="1:9" ht="13">
      <c r="A498" s="39" t="s">
        <v>190</v>
      </c>
      <c r="B498" s="99" t="s">
        <v>117</v>
      </c>
      <c r="C498" s="34" t="s">
        <v>630</v>
      </c>
      <c r="D498" s="41">
        <v>23</v>
      </c>
      <c r="E498" s="41">
        <v>0</v>
      </c>
      <c r="F498" s="41">
        <v>7.45</v>
      </c>
      <c r="G498" s="41">
        <v>3</v>
      </c>
      <c r="H498" s="1" t="str">
        <f t="shared" si="1"/>
        <v>Posts</v>
      </c>
      <c r="I498" s="1"/>
    </row>
    <row r="499" spans="1:9" ht="13">
      <c r="A499" s="39" t="s">
        <v>190</v>
      </c>
      <c r="B499" s="99" t="s">
        <v>117</v>
      </c>
      <c r="C499" s="44" t="s">
        <v>631</v>
      </c>
      <c r="D499" s="45">
        <v>171</v>
      </c>
      <c r="E499" s="45">
        <v>3</v>
      </c>
      <c r="F499" s="45">
        <v>4.5599999999999996</v>
      </c>
      <c r="G499" s="45">
        <v>8</v>
      </c>
      <c r="H499" s="1" t="str">
        <f t="shared" si="1"/>
        <v>Posts</v>
      </c>
      <c r="I499" s="1"/>
    </row>
    <row r="500" spans="1:9" ht="13">
      <c r="A500" s="39" t="s">
        <v>190</v>
      </c>
      <c r="B500" s="99" t="s">
        <v>762</v>
      </c>
      <c r="C500" s="34" t="s">
        <v>626</v>
      </c>
      <c r="D500" s="41">
        <v>141</v>
      </c>
      <c r="E500" s="41">
        <v>3</v>
      </c>
      <c r="F500" s="41">
        <v>3.32</v>
      </c>
      <c r="G500" s="41">
        <v>2</v>
      </c>
      <c r="H500" s="1" t="str">
        <f t="shared" si="1"/>
        <v>Posts</v>
      </c>
      <c r="I500" s="1"/>
    </row>
    <row r="501" spans="1:9" ht="13">
      <c r="A501" s="39" t="s">
        <v>190</v>
      </c>
      <c r="B501" s="99" t="s">
        <v>762</v>
      </c>
      <c r="C501" s="34" t="s">
        <v>627</v>
      </c>
      <c r="D501" s="41">
        <v>25</v>
      </c>
      <c r="E501" s="41">
        <v>2</v>
      </c>
      <c r="F501" s="41">
        <v>10.19</v>
      </c>
      <c r="G501" s="41">
        <v>0</v>
      </c>
      <c r="H501" s="1" t="str">
        <f t="shared" si="1"/>
        <v>Posts</v>
      </c>
      <c r="I501" s="1"/>
    </row>
    <row r="502" spans="1:9" ht="13">
      <c r="A502" s="39" t="s">
        <v>190</v>
      </c>
      <c r="B502" s="99" t="s">
        <v>762</v>
      </c>
      <c r="C502" s="34" t="s">
        <v>628</v>
      </c>
      <c r="D502" s="41">
        <v>25</v>
      </c>
      <c r="E502" s="41">
        <v>1</v>
      </c>
      <c r="F502" s="41">
        <v>5.68</v>
      </c>
      <c r="G502" s="41">
        <v>2</v>
      </c>
      <c r="H502" s="1" t="str">
        <f t="shared" si="1"/>
        <v>Posts</v>
      </c>
      <c r="I502" s="1"/>
    </row>
    <row r="503" spans="1:9" ht="13">
      <c r="A503" s="39" t="s">
        <v>190</v>
      </c>
      <c r="B503" s="99" t="s">
        <v>762</v>
      </c>
      <c r="C503" s="44" t="s">
        <v>631</v>
      </c>
      <c r="D503" s="45">
        <v>191</v>
      </c>
      <c r="E503" s="45">
        <v>6</v>
      </c>
      <c r="F503" s="45">
        <v>3.88</v>
      </c>
      <c r="G503" s="45">
        <v>4</v>
      </c>
      <c r="H503" s="1" t="str">
        <f t="shared" si="1"/>
        <v>Posts</v>
      </c>
      <c r="I503" s="1"/>
    </row>
    <row r="504" spans="1:9" ht="13">
      <c r="A504" s="39" t="s">
        <v>190</v>
      </c>
      <c r="B504" s="99" t="s">
        <v>114</v>
      </c>
      <c r="C504" s="34" t="s">
        <v>626</v>
      </c>
      <c r="D504" s="41">
        <v>73</v>
      </c>
      <c r="E504" s="41">
        <v>1</v>
      </c>
      <c r="F504" s="41">
        <v>2.95</v>
      </c>
      <c r="G504" s="41">
        <v>2</v>
      </c>
      <c r="H504" s="1" t="str">
        <f t="shared" si="1"/>
        <v>Posts</v>
      </c>
      <c r="I504" s="1"/>
    </row>
    <row r="505" spans="1:9" ht="13">
      <c r="A505" s="39" t="s">
        <v>190</v>
      </c>
      <c r="B505" s="99" t="s">
        <v>114</v>
      </c>
      <c r="C505" s="34" t="s">
        <v>627</v>
      </c>
      <c r="D505" s="41">
        <v>56</v>
      </c>
      <c r="E505" s="41">
        <v>1</v>
      </c>
      <c r="F505" s="41">
        <v>7.49</v>
      </c>
      <c r="G505" s="41">
        <v>9</v>
      </c>
      <c r="H505" s="1" t="str">
        <f t="shared" si="1"/>
        <v>Posts</v>
      </c>
      <c r="I505" s="1"/>
    </row>
    <row r="506" spans="1:9" ht="13">
      <c r="A506" s="39" t="s">
        <v>190</v>
      </c>
      <c r="B506" s="99" t="s">
        <v>114</v>
      </c>
      <c r="C506" s="44" t="s">
        <v>631</v>
      </c>
      <c r="D506" s="45">
        <v>129</v>
      </c>
      <c r="E506" s="45">
        <v>2</v>
      </c>
      <c r="F506" s="45">
        <v>3.99</v>
      </c>
      <c r="G506" s="45">
        <v>11</v>
      </c>
      <c r="H506" s="1" t="str">
        <f t="shared" si="1"/>
        <v>Posts</v>
      </c>
      <c r="I506" s="1"/>
    </row>
    <row r="507" spans="1:9" ht="13">
      <c r="A507" s="39" t="s">
        <v>189</v>
      </c>
      <c r="B507" s="99" t="s">
        <v>117</v>
      </c>
      <c r="C507" s="34" t="s">
        <v>626</v>
      </c>
      <c r="D507" s="41">
        <v>176</v>
      </c>
      <c r="E507" s="41">
        <v>5</v>
      </c>
      <c r="F507" s="41">
        <v>6.03</v>
      </c>
      <c r="G507" s="41">
        <v>5</v>
      </c>
      <c r="H507" s="1" t="str">
        <f t="shared" si="1"/>
        <v>High Minute</v>
      </c>
      <c r="I507" s="1"/>
    </row>
    <row r="508" spans="1:9" ht="13">
      <c r="A508" s="39" t="s">
        <v>189</v>
      </c>
      <c r="B508" s="99" t="s">
        <v>117</v>
      </c>
      <c r="C508" s="34" t="s">
        <v>627</v>
      </c>
      <c r="D508" s="41">
        <v>35</v>
      </c>
      <c r="E508" s="41">
        <v>4</v>
      </c>
      <c r="F508" s="41">
        <v>8.5500000000000007</v>
      </c>
      <c r="G508" s="41">
        <v>2</v>
      </c>
      <c r="H508" s="1" t="str">
        <f t="shared" si="1"/>
        <v>High Minute</v>
      </c>
      <c r="I508" s="1"/>
    </row>
    <row r="509" spans="1:9" ht="13">
      <c r="A509" s="39" t="s">
        <v>189</v>
      </c>
      <c r="B509" s="99" t="s">
        <v>117</v>
      </c>
      <c r="C509" s="34" t="s">
        <v>628</v>
      </c>
      <c r="D509" s="41">
        <v>121</v>
      </c>
      <c r="E509" s="41">
        <v>14</v>
      </c>
      <c r="F509" s="41">
        <v>10.75</v>
      </c>
      <c r="G509" s="41">
        <v>8</v>
      </c>
      <c r="H509" s="1" t="str">
        <f t="shared" si="1"/>
        <v>High Minute</v>
      </c>
      <c r="I509" s="1"/>
    </row>
    <row r="510" spans="1:9" ht="13">
      <c r="A510" s="39" t="s">
        <v>189</v>
      </c>
      <c r="B510" s="99" t="s">
        <v>117</v>
      </c>
      <c r="C510" s="34" t="s">
        <v>630</v>
      </c>
      <c r="D510" s="41">
        <v>165</v>
      </c>
      <c r="E510" s="41">
        <v>30</v>
      </c>
      <c r="F510" s="41">
        <v>7.82</v>
      </c>
      <c r="G510" s="41">
        <v>8</v>
      </c>
      <c r="H510" s="1" t="str">
        <f t="shared" si="1"/>
        <v>High Minute</v>
      </c>
      <c r="I510" s="1"/>
    </row>
    <row r="511" spans="1:9" ht="13">
      <c r="A511" s="39" t="s">
        <v>189</v>
      </c>
      <c r="B511" s="99" t="s">
        <v>117</v>
      </c>
      <c r="C511" s="44" t="s">
        <v>631</v>
      </c>
      <c r="D511" s="45">
        <v>496</v>
      </c>
      <c r="E511" s="45">
        <v>53</v>
      </c>
      <c r="F511" s="45">
        <v>7.57</v>
      </c>
      <c r="G511" s="45">
        <v>23</v>
      </c>
      <c r="H511" s="1" t="str">
        <f t="shared" si="1"/>
        <v>High Minute</v>
      </c>
      <c r="I511" s="1"/>
    </row>
    <row r="512" spans="1:9" ht="13">
      <c r="A512" s="39" t="s">
        <v>189</v>
      </c>
      <c r="B512" s="99" t="s">
        <v>762</v>
      </c>
      <c r="C512" s="34" t="s">
        <v>626</v>
      </c>
      <c r="D512" s="41">
        <v>178</v>
      </c>
      <c r="E512" s="41">
        <v>8</v>
      </c>
      <c r="F512" s="41">
        <v>4.2</v>
      </c>
      <c r="G512" s="41">
        <v>7</v>
      </c>
      <c r="H512" s="1" t="str">
        <f t="shared" ref="H512:H635" si="2">IF(OR(A512="Aliyahna Morris", A512="Lulu Laditan-Twidale", A512="Taylor Barnes", A512="Gisella Maul", A512="Lola Donez", A512="Mjracle Sheppard"), "High Minute",
 IF(OR(A512="Sakima Walker", A512="Naya Ojukwu", A512="Claudia Langarita"), "Posts",
 "Development"))</f>
        <v>High Minute</v>
      </c>
      <c r="I512" s="1"/>
    </row>
    <row r="513" spans="1:9" ht="13">
      <c r="A513" s="39" t="s">
        <v>189</v>
      </c>
      <c r="B513" s="99" t="s">
        <v>762</v>
      </c>
      <c r="C513" s="34" t="s">
        <v>627</v>
      </c>
      <c r="D513" s="41">
        <v>53</v>
      </c>
      <c r="E513" s="41">
        <v>12</v>
      </c>
      <c r="F513" s="41">
        <v>13.82</v>
      </c>
      <c r="G513" s="41">
        <v>8</v>
      </c>
      <c r="H513" s="1" t="str">
        <f t="shared" si="2"/>
        <v>High Minute</v>
      </c>
      <c r="I513" s="1"/>
    </row>
    <row r="514" spans="1:9" ht="13">
      <c r="A514" s="39" t="s">
        <v>189</v>
      </c>
      <c r="B514" s="99" t="s">
        <v>762</v>
      </c>
      <c r="C514" s="34" t="s">
        <v>628</v>
      </c>
      <c r="D514" s="41">
        <v>180</v>
      </c>
      <c r="E514" s="41">
        <v>29</v>
      </c>
      <c r="F514" s="41">
        <v>9.7200000000000006</v>
      </c>
      <c r="G514" s="41">
        <v>13</v>
      </c>
      <c r="H514" s="1" t="str">
        <f t="shared" si="2"/>
        <v>High Minute</v>
      </c>
      <c r="I514" s="1"/>
    </row>
    <row r="515" spans="1:9" ht="13">
      <c r="A515" s="39" t="s">
        <v>189</v>
      </c>
      <c r="B515" s="99" t="s">
        <v>762</v>
      </c>
      <c r="C515" s="34" t="s">
        <v>629</v>
      </c>
      <c r="D515" s="41">
        <v>157</v>
      </c>
      <c r="E515" s="41">
        <v>23</v>
      </c>
      <c r="F515" s="41">
        <v>9.93</v>
      </c>
      <c r="G515" s="41">
        <v>22</v>
      </c>
      <c r="H515" s="1" t="str">
        <f t="shared" si="2"/>
        <v>High Minute</v>
      </c>
      <c r="I515" s="1"/>
    </row>
    <row r="516" spans="1:9" ht="13">
      <c r="A516" s="39" t="s">
        <v>189</v>
      </c>
      <c r="B516" s="99" t="s">
        <v>762</v>
      </c>
      <c r="C516" s="34" t="s">
        <v>630</v>
      </c>
      <c r="D516" s="41">
        <v>194</v>
      </c>
      <c r="E516" s="41">
        <v>29</v>
      </c>
      <c r="F516" s="41">
        <v>7.71</v>
      </c>
      <c r="G516" s="41">
        <v>16</v>
      </c>
      <c r="H516" s="1" t="str">
        <f t="shared" si="2"/>
        <v>High Minute</v>
      </c>
      <c r="I516" s="1"/>
    </row>
    <row r="517" spans="1:9" ht="13">
      <c r="A517" s="39" t="s">
        <v>189</v>
      </c>
      <c r="B517" s="99" t="s">
        <v>762</v>
      </c>
      <c r="C517" s="44" t="s">
        <v>631</v>
      </c>
      <c r="D517" s="45">
        <v>762</v>
      </c>
      <c r="E517" s="45">
        <v>101</v>
      </c>
      <c r="F517" s="45">
        <v>7.21</v>
      </c>
      <c r="G517" s="45">
        <v>66</v>
      </c>
      <c r="H517" s="1" t="str">
        <f t="shared" si="2"/>
        <v>High Minute</v>
      </c>
      <c r="I517" s="1"/>
    </row>
    <row r="518" spans="1:9" ht="13">
      <c r="A518" s="39" t="s">
        <v>189</v>
      </c>
      <c r="B518" s="99" t="s">
        <v>114</v>
      </c>
      <c r="C518" s="34" t="s">
        <v>626</v>
      </c>
      <c r="D518" s="41">
        <v>117</v>
      </c>
      <c r="E518" s="41">
        <v>5</v>
      </c>
      <c r="F518" s="41">
        <v>4.71</v>
      </c>
      <c r="G518" s="41">
        <v>5</v>
      </c>
      <c r="H518" s="1" t="str">
        <f t="shared" si="2"/>
        <v>High Minute</v>
      </c>
      <c r="I518" s="1"/>
    </row>
    <row r="519" spans="1:9" ht="13">
      <c r="A519" s="39" t="s">
        <v>189</v>
      </c>
      <c r="B519" s="99" t="s">
        <v>114</v>
      </c>
      <c r="C519" s="34" t="s">
        <v>627</v>
      </c>
      <c r="D519" s="41">
        <v>63</v>
      </c>
      <c r="E519" s="41">
        <v>12</v>
      </c>
      <c r="F519" s="41">
        <v>10.95</v>
      </c>
      <c r="G519" s="41">
        <v>6</v>
      </c>
      <c r="H519" s="1" t="str">
        <f t="shared" si="2"/>
        <v>High Minute</v>
      </c>
      <c r="I519" s="1"/>
    </row>
    <row r="520" spans="1:9" ht="13">
      <c r="A520" s="39" t="s">
        <v>189</v>
      </c>
      <c r="B520" s="99" t="s">
        <v>114</v>
      </c>
      <c r="C520" s="34" t="s">
        <v>628</v>
      </c>
      <c r="D520" s="41">
        <v>10</v>
      </c>
      <c r="E520" s="41">
        <v>0</v>
      </c>
      <c r="F520" s="41">
        <v>8.17</v>
      </c>
      <c r="G520" s="41">
        <v>1</v>
      </c>
      <c r="H520" s="1" t="str">
        <f t="shared" si="2"/>
        <v>High Minute</v>
      </c>
      <c r="I520" s="1"/>
    </row>
    <row r="521" spans="1:9" ht="13">
      <c r="A521" s="39" t="s">
        <v>189</v>
      </c>
      <c r="B521" s="99" t="s">
        <v>114</v>
      </c>
      <c r="C521" s="34" t="s">
        <v>629</v>
      </c>
      <c r="D521" s="41">
        <v>114</v>
      </c>
      <c r="E521" s="41">
        <v>16</v>
      </c>
      <c r="F521" s="41">
        <v>11.09</v>
      </c>
      <c r="G521" s="41">
        <v>6</v>
      </c>
      <c r="H521" s="1" t="str">
        <f t="shared" si="2"/>
        <v>High Minute</v>
      </c>
      <c r="I521" s="1"/>
    </row>
    <row r="522" spans="1:9" ht="13">
      <c r="A522" s="39" t="s">
        <v>189</v>
      </c>
      <c r="B522" s="99" t="s">
        <v>114</v>
      </c>
      <c r="C522" s="44" t="s">
        <v>631</v>
      </c>
      <c r="D522" s="45">
        <v>304</v>
      </c>
      <c r="E522" s="45">
        <v>33</v>
      </c>
      <c r="F522" s="45">
        <v>7.23</v>
      </c>
      <c r="G522" s="45">
        <v>18</v>
      </c>
      <c r="H522" s="1" t="str">
        <f t="shared" si="2"/>
        <v>High Minute</v>
      </c>
      <c r="I522" s="1"/>
    </row>
    <row r="523" spans="1:9" ht="13">
      <c r="A523" s="39" t="s">
        <v>637</v>
      </c>
      <c r="B523" s="99" t="s">
        <v>117</v>
      </c>
      <c r="C523" s="34" t="s">
        <v>626</v>
      </c>
      <c r="D523" s="41">
        <v>159</v>
      </c>
      <c r="E523" s="41">
        <v>3</v>
      </c>
      <c r="F523" s="41">
        <v>5.44</v>
      </c>
      <c r="G523" s="41">
        <v>0</v>
      </c>
      <c r="H523" s="1" t="str">
        <f t="shared" si="2"/>
        <v>Development</v>
      </c>
      <c r="I523" s="1"/>
    </row>
    <row r="524" spans="1:9" ht="13">
      <c r="A524" s="39" t="s">
        <v>637</v>
      </c>
      <c r="B524" s="99" t="s">
        <v>117</v>
      </c>
      <c r="C524" s="44" t="s">
        <v>631</v>
      </c>
      <c r="D524" s="45">
        <v>159</v>
      </c>
      <c r="E524" s="45">
        <v>3</v>
      </c>
      <c r="F524" s="45">
        <v>5.44</v>
      </c>
      <c r="G524" s="45">
        <v>0</v>
      </c>
      <c r="H524" s="1" t="str">
        <f t="shared" si="2"/>
        <v>Development</v>
      </c>
      <c r="I524" s="1"/>
    </row>
    <row r="525" spans="1:9" ht="13">
      <c r="A525" s="39" t="s">
        <v>637</v>
      </c>
      <c r="B525" s="99" t="s">
        <v>762</v>
      </c>
      <c r="C525" s="34" t="s">
        <v>626</v>
      </c>
      <c r="D525" s="41">
        <v>178</v>
      </c>
      <c r="E525" s="41">
        <v>6</v>
      </c>
      <c r="F525" s="41">
        <v>4.21</v>
      </c>
      <c r="G525" s="41">
        <v>2</v>
      </c>
      <c r="H525" s="1" t="str">
        <f t="shared" si="2"/>
        <v>Development</v>
      </c>
      <c r="I525" s="1"/>
    </row>
    <row r="526" spans="1:9" ht="13">
      <c r="A526" s="39" t="s">
        <v>637</v>
      </c>
      <c r="B526" s="99" t="s">
        <v>762</v>
      </c>
      <c r="C526" s="44" t="s">
        <v>631</v>
      </c>
      <c r="D526" s="45">
        <v>178</v>
      </c>
      <c r="E526" s="45">
        <v>6</v>
      </c>
      <c r="F526" s="45">
        <v>4.21</v>
      </c>
      <c r="G526" s="45">
        <v>2</v>
      </c>
      <c r="H526" s="1" t="str">
        <f t="shared" si="2"/>
        <v>Development</v>
      </c>
      <c r="I526" s="1"/>
    </row>
    <row r="527" spans="1:9" ht="13">
      <c r="A527" s="39" t="s">
        <v>637</v>
      </c>
      <c r="B527" s="99" t="s">
        <v>114</v>
      </c>
      <c r="C527" s="34" t="s">
        <v>626</v>
      </c>
      <c r="D527" s="41">
        <v>107</v>
      </c>
      <c r="E527" s="41">
        <v>3</v>
      </c>
      <c r="F527" s="41">
        <v>4.33</v>
      </c>
      <c r="G527" s="41">
        <v>0</v>
      </c>
      <c r="H527" s="1" t="str">
        <f t="shared" si="2"/>
        <v>Development</v>
      </c>
      <c r="I527" s="1"/>
    </row>
    <row r="528" spans="1:9" ht="13">
      <c r="A528" s="39" t="s">
        <v>637</v>
      </c>
      <c r="B528" s="99" t="s">
        <v>114</v>
      </c>
      <c r="C528" s="34" t="s">
        <v>627</v>
      </c>
      <c r="D528" s="41">
        <v>77</v>
      </c>
      <c r="E528" s="41">
        <v>25</v>
      </c>
      <c r="F528" s="41">
        <v>10.37</v>
      </c>
      <c r="G528" s="41">
        <v>7</v>
      </c>
      <c r="H528" s="1" t="str">
        <f t="shared" si="2"/>
        <v>Development</v>
      </c>
      <c r="I528" s="1"/>
    </row>
    <row r="529" spans="1:9" ht="13">
      <c r="A529" s="39" t="s">
        <v>637</v>
      </c>
      <c r="B529" s="99" t="s">
        <v>114</v>
      </c>
      <c r="C529" s="34" t="s">
        <v>628</v>
      </c>
      <c r="D529" s="41">
        <v>50</v>
      </c>
      <c r="E529" s="41">
        <v>14</v>
      </c>
      <c r="F529" s="41">
        <v>11.89</v>
      </c>
      <c r="G529" s="41">
        <v>12</v>
      </c>
      <c r="H529" s="1" t="str">
        <f t="shared" si="2"/>
        <v>Development</v>
      </c>
      <c r="I529" s="1"/>
    </row>
    <row r="530" spans="1:9" ht="13">
      <c r="A530" s="39" t="s">
        <v>637</v>
      </c>
      <c r="B530" s="99" t="s">
        <v>114</v>
      </c>
      <c r="C530" s="34" t="s">
        <v>629</v>
      </c>
      <c r="D530" s="41">
        <v>19</v>
      </c>
      <c r="E530" s="41">
        <v>3</v>
      </c>
      <c r="F530" s="41">
        <v>7.81</v>
      </c>
      <c r="G530" s="41">
        <v>1</v>
      </c>
      <c r="H530" s="1" t="str">
        <f t="shared" si="2"/>
        <v>Development</v>
      </c>
      <c r="I530" s="1"/>
    </row>
    <row r="531" spans="1:9" ht="13">
      <c r="A531" s="39" t="s">
        <v>637</v>
      </c>
      <c r="B531" s="99" t="s">
        <v>114</v>
      </c>
      <c r="C531" s="34" t="s">
        <v>630</v>
      </c>
      <c r="D531" s="41">
        <v>159</v>
      </c>
      <c r="E531" s="41">
        <v>40</v>
      </c>
      <c r="F531" s="41">
        <v>11.06</v>
      </c>
      <c r="G531" s="41">
        <v>12</v>
      </c>
      <c r="H531" s="1" t="str">
        <f t="shared" si="2"/>
        <v>Development</v>
      </c>
      <c r="I531" s="1"/>
    </row>
    <row r="532" spans="1:9" ht="13">
      <c r="A532" s="39" t="s">
        <v>637</v>
      </c>
      <c r="B532" s="99" t="s">
        <v>114</v>
      </c>
      <c r="C532" s="44" t="s">
        <v>631</v>
      </c>
      <c r="D532" s="45">
        <v>412</v>
      </c>
      <c r="E532" s="45">
        <v>85</v>
      </c>
      <c r="F532" s="45">
        <v>7.75</v>
      </c>
      <c r="G532" s="45">
        <v>32</v>
      </c>
      <c r="H532" s="1" t="str">
        <f t="shared" si="2"/>
        <v>Development</v>
      </c>
      <c r="I532" s="1"/>
    </row>
    <row r="533" spans="1:9" ht="13">
      <c r="A533" s="39" t="s">
        <v>634</v>
      </c>
      <c r="B533" s="99" t="s">
        <v>117</v>
      </c>
      <c r="C533" s="34" t="s">
        <v>626</v>
      </c>
      <c r="D533" s="41">
        <v>166</v>
      </c>
      <c r="E533" s="41">
        <v>1</v>
      </c>
      <c r="F533" s="41">
        <v>5.7</v>
      </c>
      <c r="G533" s="41">
        <v>8</v>
      </c>
      <c r="H533" s="1" t="str">
        <f t="shared" si="2"/>
        <v>Development</v>
      </c>
      <c r="I533" s="1"/>
    </row>
    <row r="534" spans="1:9" ht="13">
      <c r="A534" s="39" t="s">
        <v>634</v>
      </c>
      <c r="B534" s="99" t="s">
        <v>117</v>
      </c>
      <c r="C534" s="44" t="s">
        <v>631</v>
      </c>
      <c r="D534" s="45">
        <v>166</v>
      </c>
      <c r="E534" s="45">
        <v>1</v>
      </c>
      <c r="F534" s="45">
        <v>5.7</v>
      </c>
      <c r="G534" s="45">
        <v>8</v>
      </c>
      <c r="H534" s="1" t="str">
        <f t="shared" si="2"/>
        <v>Development</v>
      </c>
      <c r="I534" s="1"/>
    </row>
    <row r="535" spans="1:9" ht="13">
      <c r="A535" s="39" t="s">
        <v>634</v>
      </c>
      <c r="B535" s="99" t="s">
        <v>762</v>
      </c>
      <c r="C535" s="34" t="s">
        <v>626</v>
      </c>
      <c r="D535" s="41">
        <v>167</v>
      </c>
      <c r="E535" s="41">
        <v>5</v>
      </c>
      <c r="F535" s="41">
        <v>3.95</v>
      </c>
      <c r="G535" s="41">
        <v>6</v>
      </c>
      <c r="H535" s="1" t="str">
        <f t="shared" si="2"/>
        <v>Development</v>
      </c>
      <c r="I535" s="1"/>
    </row>
    <row r="536" spans="1:9" ht="13">
      <c r="A536" s="39" t="s">
        <v>634</v>
      </c>
      <c r="B536" s="99" t="s">
        <v>762</v>
      </c>
      <c r="C536" s="44" t="s">
        <v>631</v>
      </c>
      <c r="D536" s="45">
        <v>167</v>
      </c>
      <c r="E536" s="45">
        <v>5</v>
      </c>
      <c r="F536" s="45">
        <v>3.95</v>
      </c>
      <c r="G536" s="45">
        <v>6</v>
      </c>
      <c r="H536" s="1" t="str">
        <f t="shared" si="2"/>
        <v>Development</v>
      </c>
      <c r="I536" s="1"/>
    </row>
    <row r="537" spans="1:9" ht="13">
      <c r="A537" s="39" t="s">
        <v>634</v>
      </c>
      <c r="B537" s="99" t="s">
        <v>114</v>
      </c>
      <c r="C537" s="34" t="s">
        <v>626</v>
      </c>
      <c r="D537" s="41">
        <v>110</v>
      </c>
      <c r="E537" s="41">
        <v>2</v>
      </c>
      <c r="F537" s="41">
        <v>4.43</v>
      </c>
      <c r="G537" s="41">
        <v>5</v>
      </c>
      <c r="H537" s="1" t="str">
        <f t="shared" si="2"/>
        <v>Development</v>
      </c>
      <c r="I537" s="1"/>
    </row>
    <row r="538" spans="1:9" ht="13">
      <c r="A538" s="39" t="s">
        <v>634</v>
      </c>
      <c r="B538" s="99" t="s">
        <v>114</v>
      </c>
      <c r="C538" s="34" t="s">
        <v>627</v>
      </c>
      <c r="D538" s="41">
        <v>90</v>
      </c>
      <c r="E538" s="41">
        <v>23</v>
      </c>
      <c r="F538" s="41">
        <v>12.13</v>
      </c>
      <c r="G538" s="41">
        <v>4</v>
      </c>
      <c r="H538" s="1" t="str">
        <f t="shared" si="2"/>
        <v>Development</v>
      </c>
      <c r="I538" s="1"/>
    </row>
    <row r="539" spans="1:9" ht="13">
      <c r="A539" s="39" t="s">
        <v>634</v>
      </c>
      <c r="B539" s="99" t="s">
        <v>114</v>
      </c>
      <c r="C539" s="34" t="s">
        <v>628</v>
      </c>
      <c r="D539" s="41">
        <v>13</v>
      </c>
      <c r="E539" s="41">
        <v>4</v>
      </c>
      <c r="F539" s="41">
        <v>11.17</v>
      </c>
      <c r="G539" s="41">
        <v>2</v>
      </c>
      <c r="H539" s="1" t="str">
        <f t="shared" si="2"/>
        <v>Development</v>
      </c>
      <c r="I539" s="1"/>
    </row>
    <row r="540" spans="1:9" ht="13">
      <c r="A540" s="39" t="s">
        <v>634</v>
      </c>
      <c r="B540" s="99" t="s">
        <v>114</v>
      </c>
      <c r="C540" s="34" t="s">
        <v>629</v>
      </c>
      <c r="D540" s="41">
        <v>7</v>
      </c>
      <c r="E540" s="41">
        <v>1</v>
      </c>
      <c r="F540" s="41">
        <v>6.47</v>
      </c>
      <c r="G540" s="41">
        <v>1</v>
      </c>
      <c r="H540" s="1" t="str">
        <f t="shared" si="2"/>
        <v>Development</v>
      </c>
      <c r="I540" s="1"/>
    </row>
    <row r="541" spans="1:9" ht="13">
      <c r="A541" s="39" t="s">
        <v>634</v>
      </c>
      <c r="B541" s="99" t="s">
        <v>114</v>
      </c>
      <c r="C541" s="34" t="s">
        <v>630</v>
      </c>
      <c r="D541" s="41">
        <v>162</v>
      </c>
      <c r="E541" s="41">
        <v>32</v>
      </c>
      <c r="F541" s="41">
        <v>11.27</v>
      </c>
      <c r="G541" s="41">
        <v>17</v>
      </c>
      <c r="H541" s="1" t="str">
        <f t="shared" si="2"/>
        <v>Development</v>
      </c>
      <c r="I541" s="1"/>
    </row>
    <row r="542" spans="1:9" ht="13">
      <c r="A542" s="39" t="s">
        <v>634</v>
      </c>
      <c r="B542" s="99" t="s">
        <v>114</v>
      </c>
      <c r="C542" s="44" t="s">
        <v>631</v>
      </c>
      <c r="D542" s="45">
        <v>382</v>
      </c>
      <c r="E542" s="45">
        <v>62</v>
      </c>
      <c r="F542" s="45">
        <v>7.82</v>
      </c>
      <c r="G542" s="45">
        <v>29</v>
      </c>
      <c r="H542" s="1" t="str">
        <f t="shared" si="2"/>
        <v>Development</v>
      </c>
      <c r="I542" s="1"/>
    </row>
    <row r="543" spans="1:9" ht="13">
      <c r="A543" s="39" t="s">
        <v>157</v>
      </c>
      <c r="B543" s="99" t="s">
        <v>117</v>
      </c>
      <c r="C543" s="34" t="s">
        <v>626</v>
      </c>
      <c r="D543" s="41">
        <v>146</v>
      </c>
      <c r="E543" s="41">
        <v>1</v>
      </c>
      <c r="F543" s="41">
        <v>4.99</v>
      </c>
      <c r="G543" s="41">
        <v>7</v>
      </c>
      <c r="H543" s="1" t="str">
        <f t="shared" si="2"/>
        <v>High Minute</v>
      </c>
      <c r="I543" s="1"/>
    </row>
    <row r="544" spans="1:9" ht="13">
      <c r="A544" s="39" t="s">
        <v>157</v>
      </c>
      <c r="B544" s="99" t="s">
        <v>117</v>
      </c>
      <c r="C544" s="34" t="s">
        <v>627</v>
      </c>
      <c r="D544" s="41">
        <v>73</v>
      </c>
      <c r="E544" s="41">
        <v>10</v>
      </c>
      <c r="F544" s="41">
        <v>8.84</v>
      </c>
      <c r="G544" s="41">
        <v>5</v>
      </c>
      <c r="H544" s="1" t="str">
        <f t="shared" si="2"/>
        <v>High Minute</v>
      </c>
      <c r="I544" s="1"/>
    </row>
    <row r="545" spans="1:9" ht="13">
      <c r="A545" s="39" t="s">
        <v>157</v>
      </c>
      <c r="B545" s="99" t="s">
        <v>117</v>
      </c>
      <c r="C545" s="34" t="s">
        <v>628</v>
      </c>
      <c r="D545" s="41">
        <v>74</v>
      </c>
      <c r="E545" s="41">
        <v>13</v>
      </c>
      <c r="F545" s="41">
        <v>9.92</v>
      </c>
      <c r="G545" s="41">
        <v>7</v>
      </c>
      <c r="H545" s="1" t="str">
        <f t="shared" si="2"/>
        <v>High Minute</v>
      </c>
      <c r="I545" s="1"/>
    </row>
    <row r="546" spans="1:9" ht="13">
      <c r="A546" s="39" t="s">
        <v>157</v>
      </c>
      <c r="B546" s="99" t="s">
        <v>117</v>
      </c>
      <c r="C546" s="34" t="s">
        <v>629</v>
      </c>
      <c r="D546" s="41">
        <v>19</v>
      </c>
      <c r="E546" s="41">
        <v>6</v>
      </c>
      <c r="F546" s="41">
        <v>7.12</v>
      </c>
      <c r="G546" s="41">
        <v>1</v>
      </c>
      <c r="H546" s="1" t="str">
        <f t="shared" si="2"/>
        <v>High Minute</v>
      </c>
      <c r="I546" s="1"/>
    </row>
    <row r="547" spans="1:9" ht="13">
      <c r="A547" s="39" t="s">
        <v>157</v>
      </c>
      <c r="B547" s="99" t="s">
        <v>117</v>
      </c>
      <c r="C547" s="34" t="s">
        <v>630</v>
      </c>
      <c r="D547" s="41">
        <v>59</v>
      </c>
      <c r="E547" s="41">
        <v>7</v>
      </c>
      <c r="F547" s="41">
        <v>8.92</v>
      </c>
      <c r="G547" s="41">
        <v>5</v>
      </c>
      <c r="H547" s="1" t="str">
        <f t="shared" si="2"/>
        <v>High Minute</v>
      </c>
      <c r="I547" s="1"/>
    </row>
    <row r="548" spans="1:9" ht="13">
      <c r="A548" s="39" t="s">
        <v>157</v>
      </c>
      <c r="B548" s="99" t="s">
        <v>117</v>
      </c>
      <c r="C548" s="44" t="s">
        <v>631</v>
      </c>
      <c r="D548" s="45">
        <v>370</v>
      </c>
      <c r="E548" s="45">
        <v>37</v>
      </c>
      <c r="F548" s="45">
        <v>6.84</v>
      </c>
      <c r="G548" s="45">
        <v>25</v>
      </c>
      <c r="H548" s="1" t="str">
        <f t="shared" si="2"/>
        <v>High Minute</v>
      </c>
      <c r="I548" s="1"/>
    </row>
    <row r="549" spans="1:9" ht="13">
      <c r="A549" s="39" t="s">
        <v>157</v>
      </c>
      <c r="B549" s="99" t="s">
        <v>762</v>
      </c>
      <c r="C549" s="34" t="s">
        <v>626</v>
      </c>
      <c r="D549" s="41">
        <v>170</v>
      </c>
      <c r="E549" s="41">
        <v>1</v>
      </c>
      <c r="F549" s="41">
        <v>4.0199999999999996</v>
      </c>
      <c r="G549" s="41">
        <v>5</v>
      </c>
      <c r="H549" s="1" t="str">
        <f t="shared" si="2"/>
        <v>High Minute</v>
      </c>
      <c r="I549" s="1"/>
    </row>
    <row r="550" spans="1:9" ht="13">
      <c r="A550" s="39" t="s">
        <v>157</v>
      </c>
      <c r="B550" s="99" t="s">
        <v>762</v>
      </c>
      <c r="C550" s="34" t="s">
        <v>627</v>
      </c>
      <c r="D550" s="41">
        <v>68</v>
      </c>
      <c r="E550" s="41">
        <v>11</v>
      </c>
      <c r="F550" s="41">
        <v>10.44</v>
      </c>
      <c r="G550" s="41">
        <v>6</v>
      </c>
      <c r="H550" s="1" t="str">
        <f t="shared" si="2"/>
        <v>High Minute</v>
      </c>
      <c r="I550" s="1"/>
    </row>
    <row r="551" spans="1:9" ht="13">
      <c r="A551" s="39" t="s">
        <v>157</v>
      </c>
      <c r="B551" s="99" t="s">
        <v>762</v>
      </c>
      <c r="C551" s="34" t="s">
        <v>628</v>
      </c>
      <c r="D551" s="41">
        <v>79</v>
      </c>
      <c r="E551" s="41">
        <v>10</v>
      </c>
      <c r="F551" s="41">
        <v>7.22</v>
      </c>
      <c r="G551" s="41">
        <v>5</v>
      </c>
      <c r="H551" s="1" t="str">
        <f t="shared" si="2"/>
        <v>High Minute</v>
      </c>
      <c r="I551" s="1"/>
    </row>
    <row r="552" spans="1:9" ht="13">
      <c r="A552" s="39" t="s">
        <v>157</v>
      </c>
      <c r="B552" s="99" t="s">
        <v>762</v>
      </c>
      <c r="C552" s="34" t="s">
        <v>629</v>
      </c>
      <c r="D552" s="41">
        <v>99</v>
      </c>
      <c r="E552" s="41">
        <v>12</v>
      </c>
      <c r="F552" s="41">
        <v>8.69</v>
      </c>
      <c r="G552" s="41">
        <v>5</v>
      </c>
      <c r="H552" s="1" t="str">
        <f t="shared" si="2"/>
        <v>High Minute</v>
      </c>
      <c r="I552" s="1"/>
    </row>
    <row r="553" spans="1:9" ht="13">
      <c r="A553" s="39" t="s">
        <v>157</v>
      </c>
      <c r="B553" s="99" t="s">
        <v>762</v>
      </c>
      <c r="C553" s="44" t="s">
        <v>631</v>
      </c>
      <c r="D553" s="45">
        <v>416</v>
      </c>
      <c r="E553" s="45">
        <v>34</v>
      </c>
      <c r="F553" s="45">
        <v>5.85</v>
      </c>
      <c r="G553" s="45">
        <v>21</v>
      </c>
      <c r="H553" s="1" t="str">
        <f t="shared" si="2"/>
        <v>High Minute</v>
      </c>
      <c r="I553" s="1"/>
    </row>
    <row r="554" spans="1:9" ht="13">
      <c r="A554" s="39" t="s">
        <v>157</v>
      </c>
      <c r="B554" s="99" t="s">
        <v>114</v>
      </c>
      <c r="C554" s="34" t="s">
        <v>626</v>
      </c>
      <c r="D554" s="41">
        <v>115</v>
      </c>
      <c r="E554" s="41">
        <v>2</v>
      </c>
      <c r="F554" s="41">
        <v>4.6399999999999997</v>
      </c>
      <c r="G554" s="41">
        <v>6</v>
      </c>
      <c r="H554" s="1" t="str">
        <f t="shared" si="2"/>
        <v>High Minute</v>
      </c>
      <c r="I554" s="1"/>
    </row>
    <row r="555" spans="1:9" ht="13">
      <c r="A555" s="39" t="s">
        <v>157</v>
      </c>
      <c r="B555" s="99" t="s">
        <v>114</v>
      </c>
      <c r="C555" s="34" t="s">
        <v>627</v>
      </c>
      <c r="D555" s="41">
        <v>79</v>
      </c>
      <c r="E555" s="41">
        <v>13</v>
      </c>
      <c r="F555" s="41">
        <v>10.67</v>
      </c>
      <c r="G555" s="41">
        <v>9</v>
      </c>
      <c r="H555" s="1" t="str">
        <f t="shared" si="2"/>
        <v>High Minute</v>
      </c>
      <c r="I555" s="1"/>
    </row>
    <row r="556" spans="1:9" ht="13">
      <c r="A556" s="39" t="s">
        <v>157</v>
      </c>
      <c r="B556" s="99" t="s">
        <v>114</v>
      </c>
      <c r="C556" s="34" t="s">
        <v>628</v>
      </c>
      <c r="D556" s="41">
        <v>99</v>
      </c>
      <c r="E556" s="41">
        <v>15</v>
      </c>
      <c r="F556" s="41">
        <v>9.77</v>
      </c>
      <c r="G556" s="41">
        <v>4</v>
      </c>
      <c r="H556" s="1" t="str">
        <f t="shared" si="2"/>
        <v>High Minute</v>
      </c>
      <c r="I556" s="1"/>
    </row>
    <row r="557" spans="1:9" ht="13">
      <c r="A557" s="39" t="s">
        <v>157</v>
      </c>
      <c r="B557" s="99" t="s">
        <v>114</v>
      </c>
      <c r="C557" s="34" t="s">
        <v>629</v>
      </c>
      <c r="D557" s="41">
        <v>137</v>
      </c>
      <c r="E557" s="41">
        <v>17</v>
      </c>
      <c r="F557" s="41">
        <v>10.68</v>
      </c>
      <c r="G557" s="41">
        <v>3</v>
      </c>
      <c r="H557" s="1" t="str">
        <f t="shared" si="2"/>
        <v>High Minute</v>
      </c>
      <c r="I557" s="1"/>
    </row>
    <row r="558" spans="1:9" ht="13">
      <c r="A558" s="39" t="s">
        <v>157</v>
      </c>
      <c r="B558" s="99" t="s">
        <v>114</v>
      </c>
      <c r="C558" s="44" t="s">
        <v>631</v>
      </c>
      <c r="D558" s="45">
        <v>430</v>
      </c>
      <c r="E558" s="45">
        <v>47</v>
      </c>
      <c r="F558" s="45">
        <v>7.8</v>
      </c>
      <c r="G558" s="45">
        <v>22</v>
      </c>
      <c r="H558" s="1" t="str">
        <f t="shared" si="2"/>
        <v>High Minute</v>
      </c>
      <c r="I558" s="1"/>
    </row>
    <row r="559" spans="1:9" ht="13">
      <c r="A559" s="39" t="s">
        <v>159</v>
      </c>
      <c r="B559" s="99" t="s">
        <v>117</v>
      </c>
      <c r="C559" s="34" t="s">
        <v>626</v>
      </c>
      <c r="D559" s="41">
        <v>151</v>
      </c>
      <c r="E559" s="41">
        <v>1</v>
      </c>
      <c r="F559" s="41">
        <v>5.18</v>
      </c>
      <c r="G559" s="41">
        <v>0</v>
      </c>
      <c r="H559" s="1" t="str">
        <f t="shared" si="2"/>
        <v>High Minute</v>
      </c>
      <c r="I559" s="1"/>
    </row>
    <row r="560" spans="1:9" ht="13">
      <c r="A560" s="39" t="s">
        <v>159</v>
      </c>
      <c r="B560" s="99" t="s">
        <v>117</v>
      </c>
      <c r="C560" s="34" t="s">
        <v>627</v>
      </c>
      <c r="D560" s="41">
        <v>141</v>
      </c>
      <c r="E560" s="41">
        <v>23</v>
      </c>
      <c r="F560" s="41">
        <v>9.4700000000000006</v>
      </c>
      <c r="G560" s="41">
        <v>14</v>
      </c>
      <c r="H560" s="1" t="str">
        <f t="shared" si="2"/>
        <v>High Minute</v>
      </c>
      <c r="I560" s="1"/>
    </row>
    <row r="561" spans="1:9" ht="13">
      <c r="A561" s="39" t="s">
        <v>159</v>
      </c>
      <c r="B561" s="99" t="s">
        <v>117</v>
      </c>
      <c r="C561" s="34" t="s">
        <v>628</v>
      </c>
      <c r="D561" s="41">
        <v>143</v>
      </c>
      <c r="E561" s="41">
        <v>21</v>
      </c>
      <c r="F561" s="41">
        <v>10.18</v>
      </c>
      <c r="G561" s="41">
        <v>11</v>
      </c>
      <c r="H561" s="1" t="str">
        <f t="shared" si="2"/>
        <v>High Minute</v>
      </c>
      <c r="I561" s="1"/>
    </row>
    <row r="562" spans="1:9" ht="13">
      <c r="A562" s="39" t="s">
        <v>159</v>
      </c>
      <c r="B562" s="99" t="s">
        <v>117</v>
      </c>
      <c r="C562" s="34" t="s">
        <v>629</v>
      </c>
      <c r="D562" s="41">
        <v>168</v>
      </c>
      <c r="E562" s="41">
        <v>24</v>
      </c>
      <c r="F562" s="41">
        <v>9.18</v>
      </c>
      <c r="G562" s="41">
        <v>7</v>
      </c>
      <c r="H562" s="1" t="str">
        <f t="shared" si="2"/>
        <v>High Minute</v>
      </c>
      <c r="I562" s="1"/>
    </row>
    <row r="563" spans="1:9" ht="13">
      <c r="A563" s="39" t="s">
        <v>159</v>
      </c>
      <c r="B563" s="99" t="s">
        <v>117</v>
      </c>
      <c r="C563" s="34" t="s">
        <v>630</v>
      </c>
      <c r="D563" s="41">
        <v>169</v>
      </c>
      <c r="E563" s="41">
        <v>29</v>
      </c>
      <c r="F563" s="41">
        <v>7.05</v>
      </c>
      <c r="G563" s="41">
        <v>10</v>
      </c>
      <c r="H563" s="1" t="str">
        <f t="shared" si="2"/>
        <v>High Minute</v>
      </c>
      <c r="I563" s="1"/>
    </row>
    <row r="564" spans="1:9" ht="13">
      <c r="A564" s="39" t="s">
        <v>159</v>
      </c>
      <c r="B564" s="99" t="s">
        <v>117</v>
      </c>
      <c r="C564" s="44" t="s">
        <v>631</v>
      </c>
      <c r="D564" s="45">
        <v>772</v>
      </c>
      <c r="E564" s="45">
        <v>98</v>
      </c>
      <c r="F564" s="45">
        <v>7.69</v>
      </c>
      <c r="G564" s="45">
        <v>42</v>
      </c>
      <c r="H564" s="1" t="str">
        <f t="shared" si="2"/>
        <v>High Minute</v>
      </c>
      <c r="I564" s="1"/>
    </row>
    <row r="565" spans="1:9" ht="13">
      <c r="A565" s="39" t="s">
        <v>159</v>
      </c>
      <c r="B565" s="99" t="s">
        <v>762</v>
      </c>
      <c r="C565" s="34" t="s">
        <v>626</v>
      </c>
      <c r="D565" s="41">
        <v>175</v>
      </c>
      <c r="E565" s="41">
        <v>5</v>
      </c>
      <c r="F565" s="41">
        <v>4.1399999999999997</v>
      </c>
      <c r="G565" s="41">
        <v>1</v>
      </c>
      <c r="H565" s="1" t="str">
        <f t="shared" si="2"/>
        <v>High Minute</v>
      </c>
      <c r="I565" s="1"/>
    </row>
    <row r="566" spans="1:9" ht="13">
      <c r="A566" s="39" t="s">
        <v>159</v>
      </c>
      <c r="B566" s="99" t="s">
        <v>762</v>
      </c>
      <c r="C566" s="34" t="s">
        <v>627</v>
      </c>
      <c r="D566" s="41">
        <v>143</v>
      </c>
      <c r="E566" s="41">
        <v>20</v>
      </c>
      <c r="F566" s="41">
        <v>10.64</v>
      </c>
      <c r="G566" s="41">
        <v>10</v>
      </c>
      <c r="H566" s="1" t="str">
        <f t="shared" si="2"/>
        <v>High Minute</v>
      </c>
      <c r="I566" s="1"/>
    </row>
    <row r="567" spans="1:9" ht="13">
      <c r="A567" s="39" t="s">
        <v>159</v>
      </c>
      <c r="B567" s="99" t="s">
        <v>762</v>
      </c>
      <c r="C567" s="34" t="s">
        <v>628</v>
      </c>
      <c r="D567" s="41">
        <v>155</v>
      </c>
      <c r="E567" s="41">
        <v>19</v>
      </c>
      <c r="F567" s="41">
        <v>8.3699999999999992</v>
      </c>
      <c r="G567" s="41">
        <v>11</v>
      </c>
      <c r="H567" s="1" t="str">
        <f t="shared" si="2"/>
        <v>High Minute</v>
      </c>
      <c r="I567" s="1"/>
    </row>
    <row r="568" spans="1:9" ht="13">
      <c r="A568" s="39" t="s">
        <v>159</v>
      </c>
      <c r="B568" s="99" t="s">
        <v>762</v>
      </c>
      <c r="C568" s="34" t="s">
        <v>629</v>
      </c>
      <c r="D568" s="41">
        <v>162</v>
      </c>
      <c r="E568" s="41">
        <v>27</v>
      </c>
      <c r="F568" s="41">
        <v>9.15</v>
      </c>
      <c r="G568" s="41">
        <v>14</v>
      </c>
      <c r="H568" s="1" t="str">
        <f t="shared" si="2"/>
        <v>High Minute</v>
      </c>
      <c r="I568" s="1"/>
    </row>
    <row r="569" spans="1:9" ht="13">
      <c r="A569" s="39" t="s">
        <v>159</v>
      </c>
      <c r="B569" s="99" t="s">
        <v>762</v>
      </c>
      <c r="C569" s="34" t="s">
        <v>630</v>
      </c>
      <c r="D569" s="41">
        <v>170</v>
      </c>
      <c r="E569" s="41">
        <v>23</v>
      </c>
      <c r="F569" s="41">
        <v>6.75</v>
      </c>
      <c r="G569" s="41">
        <v>18</v>
      </c>
      <c r="H569" s="1" t="str">
        <f t="shared" si="2"/>
        <v>High Minute</v>
      </c>
      <c r="I569" s="1"/>
    </row>
    <row r="570" spans="1:9" ht="13">
      <c r="A570" s="39" t="s">
        <v>159</v>
      </c>
      <c r="B570" s="99" t="s">
        <v>762</v>
      </c>
      <c r="C570" s="44" t="s">
        <v>631</v>
      </c>
      <c r="D570" s="45">
        <v>806</v>
      </c>
      <c r="E570" s="45">
        <v>94</v>
      </c>
      <c r="F570" s="45">
        <v>6.87</v>
      </c>
      <c r="G570" s="45">
        <v>54</v>
      </c>
      <c r="H570" s="1" t="str">
        <f t="shared" si="2"/>
        <v>High Minute</v>
      </c>
      <c r="I570" s="1"/>
    </row>
    <row r="571" spans="1:9" ht="13">
      <c r="A571" s="39" t="s">
        <v>159</v>
      </c>
      <c r="B571" s="99" t="s">
        <v>114</v>
      </c>
      <c r="C571" s="34" t="s">
        <v>626</v>
      </c>
      <c r="D571" s="41">
        <v>114</v>
      </c>
      <c r="E571" s="41">
        <v>4</v>
      </c>
      <c r="F571" s="41">
        <v>4.58</v>
      </c>
      <c r="G571" s="41">
        <v>0</v>
      </c>
      <c r="H571" s="1" t="str">
        <f t="shared" si="2"/>
        <v>High Minute</v>
      </c>
      <c r="I571" s="1"/>
    </row>
    <row r="572" spans="1:9" ht="13">
      <c r="A572" s="39" t="s">
        <v>159</v>
      </c>
      <c r="B572" s="99" t="s">
        <v>114</v>
      </c>
      <c r="C572" s="34" t="s">
        <v>627</v>
      </c>
      <c r="D572" s="41">
        <v>91</v>
      </c>
      <c r="E572" s="41">
        <v>16</v>
      </c>
      <c r="F572" s="41">
        <v>11.33</v>
      </c>
      <c r="G572" s="41">
        <v>8</v>
      </c>
      <c r="H572" s="1" t="str">
        <f t="shared" si="2"/>
        <v>High Minute</v>
      </c>
      <c r="I572" s="1"/>
    </row>
    <row r="573" spans="1:9" ht="13">
      <c r="A573" s="39" t="s">
        <v>159</v>
      </c>
      <c r="B573" s="99" t="s">
        <v>114</v>
      </c>
      <c r="C573" s="34" t="s">
        <v>628</v>
      </c>
      <c r="D573" s="41">
        <v>154</v>
      </c>
      <c r="E573" s="41">
        <v>27</v>
      </c>
      <c r="F573" s="41">
        <v>8.65</v>
      </c>
      <c r="G573" s="41">
        <v>9</v>
      </c>
      <c r="H573" s="1" t="str">
        <f t="shared" si="2"/>
        <v>High Minute</v>
      </c>
      <c r="I573" s="1"/>
    </row>
    <row r="574" spans="1:9" ht="13">
      <c r="A574" s="39" t="s">
        <v>159</v>
      </c>
      <c r="B574" s="99" t="s">
        <v>114</v>
      </c>
      <c r="C574" s="34" t="s">
        <v>629</v>
      </c>
      <c r="D574" s="41">
        <v>146</v>
      </c>
      <c r="E574" s="41">
        <v>23</v>
      </c>
      <c r="F574" s="41">
        <v>10.37</v>
      </c>
      <c r="G574" s="41">
        <v>18</v>
      </c>
      <c r="H574" s="1" t="str">
        <f t="shared" si="2"/>
        <v>High Minute</v>
      </c>
      <c r="I574" s="1"/>
    </row>
    <row r="575" spans="1:9" ht="13">
      <c r="A575" s="39" t="s">
        <v>159</v>
      </c>
      <c r="B575" s="99" t="s">
        <v>114</v>
      </c>
      <c r="C575" s="44" t="s">
        <v>631</v>
      </c>
      <c r="D575" s="45">
        <v>505</v>
      </c>
      <c r="E575" s="45">
        <v>70</v>
      </c>
      <c r="F575" s="45">
        <v>7.8</v>
      </c>
      <c r="G575" s="45">
        <v>35</v>
      </c>
      <c r="H575" s="1" t="str">
        <f t="shared" si="2"/>
        <v>High Minute</v>
      </c>
      <c r="I575" s="1"/>
    </row>
    <row r="576" spans="1:9" ht="13">
      <c r="A576" s="39" t="s">
        <v>638</v>
      </c>
      <c r="B576" s="99" t="s">
        <v>117</v>
      </c>
      <c r="C576" s="34" t="s">
        <v>626</v>
      </c>
      <c r="D576" s="41">
        <v>185</v>
      </c>
      <c r="E576" s="41">
        <v>2</v>
      </c>
      <c r="F576" s="41">
        <v>6.33</v>
      </c>
      <c r="G576" s="41">
        <v>7</v>
      </c>
      <c r="H576" s="1" t="str">
        <f t="shared" si="2"/>
        <v>High Minute</v>
      </c>
      <c r="I576" s="1"/>
    </row>
    <row r="577" spans="1:9" ht="13">
      <c r="A577" s="39" t="s">
        <v>638</v>
      </c>
      <c r="B577" s="99" t="s">
        <v>117</v>
      </c>
      <c r="C577" s="34" t="s">
        <v>627</v>
      </c>
      <c r="D577" s="41">
        <v>136</v>
      </c>
      <c r="E577" s="41">
        <v>37</v>
      </c>
      <c r="F577" s="41">
        <v>11.62</v>
      </c>
      <c r="G577" s="41">
        <v>16</v>
      </c>
      <c r="H577" s="1" t="str">
        <f t="shared" si="2"/>
        <v>High Minute</v>
      </c>
      <c r="I577" s="1"/>
    </row>
    <row r="578" spans="1:9" ht="13">
      <c r="A578" s="39" t="s">
        <v>638</v>
      </c>
      <c r="B578" s="99" t="s">
        <v>117</v>
      </c>
      <c r="C578" s="34" t="s">
        <v>628</v>
      </c>
      <c r="D578" s="41">
        <v>60</v>
      </c>
      <c r="E578" s="41">
        <v>15</v>
      </c>
      <c r="F578" s="41">
        <v>10.88</v>
      </c>
      <c r="G578" s="41">
        <v>7</v>
      </c>
      <c r="H578" s="1" t="str">
        <f t="shared" si="2"/>
        <v>High Minute</v>
      </c>
      <c r="I578" s="1"/>
    </row>
    <row r="579" spans="1:9" ht="13">
      <c r="A579" s="39" t="s">
        <v>638</v>
      </c>
      <c r="B579" s="99" t="s">
        <v>117</v>
      </c>
      <c r="C579" s="34" t="s">
        <v>629</v>
      </c>
      <c r="D579" s="41">
        <v>178</v>
      </c>
      <c r="E579" s="41">
        <v>53</v>
      </c>
      <c r="F579" s="41">
        <v>11.23</v>
      </c>
      <c r="G579" s="41">
        <v>23</v>
      </c>
      <c r="H579" s="1" t="str">
        <f t="shared" si="2"/>
        <v>High Minute</v>
      </c>
      <c r="I579" s="1"/>
    </row>
    <row r="580" spans="1:9" ht="13">
      <c r="A580" s="39" t="s">
        <v>638</v>
      </c>
      <c r="B580" s="99" t="s">
        <v>117</v>
      </c>
      <c r="C580" s="34" t="s">
        <v>630</v>
      </c>
      <c r="D580" s="41">
        <v>194</v>
      </c>
      <c r="E580" s="41">
        <v>49</v>
      </c>
      <c r="F580" s="41">
        <v>8.52</v>
      </c>
      <c r="G580" s="41">
        <v>19</v>
      </c>
      <c r="H580" s="1" t="str">
        <f t="shared" si="2"/>
        <v>High Minute</v>
      </c>
      <c r="I580" s="1"/>
    </row>
    <row r="581" spans="1:9" ht="13">
      <c r="A581" s="39" t="s">
        <v>638</v>
      </c>
      <c r="B581" s="99" t="s">
        <v>117</v>
      </c>
      <c r="C581" s="44" t="s">
        <v>631</v>
      </c>
      <c r="D581" s="45">
        <v>752</v>
      </c>
      <c r="E581" s="45">
        <v>156</v>
      </c>
      <c r="F581" s="45">
        <v>8.85</v>
      </c>
      <c r="G581" s="45">
        <v>72</v>
      </c>
      <c r="H581" s="1" t="str">
        <f t="shared" si="2"/>
        <v>High Minute</v>
      </c>
      <c r="I581" s="1"/>
    </row>
    <row r="582" spans="1:9" ht="13">
      <c r="A582" s="39" t="s">
        <v>638</v>
      </c>
      <c r="B582" s="99" t="s">
        <v>762</v>
      </c>
      <c r="C582" s="34" t="s">
        <v>626</v>
      </c>
      <c r="D582" s="41">
        <v>201</v>
      </c>
      <c r="E582" s="41">
        <v>17</v>
      </c>
      <c r="F582" s="41">
        <v>4.7300000000000004</v>
      </c>
      <c r="G582" s="41">
        <v>3</v>
      </c>
      <c r="H582" s="1" t="str">
        <f t="shared" si="2"/>
        <v>High Minute</v>
      </c>
      <c r="I582" s="1"/>
    </row>
    <row r="583" spans="1:9" ht="13">
      <c r="A583" s="39" t="s">
        <v>638</v>
      </c>
      <c r="B583" s="99" t="s">
        <v>762</v>
      </c>
      <c r="C583" s="34" t="s">
        <v>627</v>
      </c>
      <c r="D583" s="41">
        <v>164</v>
      </c>
      <c r="E583" s="41">
        <v>51</v>
      </c>
      <c r="F583" s="41">
        <v>12.18</v>
      </c>
      <c r="G583" s="41">
        <v>27</v>
      </c>
      <c r="H583" s="1" t="str">
        <f t="shared" si="2"/>
        <v>High Minute</v>
      </c>
      <c r="I583" s="1"/>
    </row>
    <row r="584" spans="1:9" ht="13">
      <c r="A584" s="39" t="s">
        <v>638</v>
      </c>
      <c r="B584" s="99" t="s">
        <v>762</v>
      </c>
      <c r="C584" s="34" t="s">
        <v>628</v>
      </c>
      <c r="D584" s="41">
        <v>145</v>
      </c>
      <c r="E584" s="41">
        <v>36</v>
      </c>
      <c r="F584" s="41">
        <v>9.92</v>
      </c>
      <c r="G584" s="41">
        <v>22</v>
      </c>
      <c r="H584" s="1" t="str">
        <f t="shared" si="2"/>
        <v>High Minute</v>
      </c>
      <c r="I584" s="1"/>
    </row>
    <row r="585" spans="1:9" ht="13">
      <c r="A585" s="39" t="s">
        <v>638</v>
      </c>
      <c r="B585" s="99" t="s">
        <v>762</v>
      </c>
      <c r="C585" s="34" t="s">
        <v>629</v>
      </c>
      <c r="D585" s="41">
        <v>141</v>
      </c>
      <c r="E585" s="41">
        <v>42</v>
      </c>
      <c r="F585" s="41">
        <v>10.48</v>
      </c>
      <c r="G585" s="41">
        <v>21</v>
      </c>
      <c r="H585" s="1" t="str">
        <f t="shared" si="2"/>
        <v>High Minute</v>
      </c>
      <c r="I585" s="1"/>
    </row>
    <row r="586" spans="1:9" ht="13">
      <c r="A586" s="39" t="s">
        <v>638</v>
      </c>
      <c r="B586" s="99" t="s">
        <v>762</v>
      </c>
      <c r="C586" s="34" t="s">
        <v>630</v>
      </c>
      <c r="D586" s="41">
        <v>157</v>
      </c>
      <c r="E586" s="41">
        <v>36</v>
      </c>
      <c r="F586" s="41">
        <v>6.23</v>
      </c>
      <c r="G586" s="41">
        <v>19</v>
      </c>
      <c r="H586" s="1" t="str">
        <f t="shared" si="2"/>
        <v>High Minute</v>
      </c>
      <c r="I586" s="1"/>
    </row>
    <row r="587" spans="1:9" ht="13">
      <c r="A587" s="39" t="s">
        <v>638</v>
      </c>
      <c r="B587" s="99" t="s">
        <v>762</v>
      </c>
      <c r="C587" s="44" t="s">
        <v>631</v>
      </c>
      <c r="D587" s="45">
        <v>808</v>
      </c>
      <c r="E587" s="45">
        <v>182</v>
      </c>
      <c r="F587" s="45">
        <v>7.4</v>
      </c>
      <c r="G587" s="45">
        <v>92</v>
      </c>
      <c r="H587" s="1" t="str">
        <f t="shared" si="2"/>
        <v>High Minute</v>
      </c>
      <c r="I587" s="1"/>
    </row>
    <row r="588" spans="1:9" ht="13">
      <c r="A588" s="39" t="s">
        <v>638</v>
      </c>
      <c r="B588" s="99" t="s">
        <v>114</v>
      </c>
      <c r="C588" s="34" t="s">
        <v>626</v>
      </c>
      <c r="D588" s="41">
        <v>118</v>
      </c>
      <c r="E588" s="41">
        <v>5</v>
      </c>
      <c r="F588" s="41">
        <v>4.75</v>
      </c>
      <c r="G588" s="41">
        <v>3</v>
      </c>
      <c r="H588" s="1" t="str">
        <f t="shared" si="2"/>
        <v>High Minute</v>
      </c>
      <c r="I588" s="1"/>
    </row>
    <row r="589" spans="1:9" ht="13">
      <c r="A589" s="39" t="s">
        <v>638</v>
      </c>
      <c r="B589" s="99" t="s">
        <v>114</v>
      </c>
      <c r="C589" s="34" t="s">
        <v>627</v>
      </c>
      <c r="D589" s="41">
        <v>112</v>
      </c>
      <c r="E589" s="41">
        <v>40</v>
      </c>
      <c r="F589" s="41">
        <v>14.45</v>
      </c>
      <c r="G589" s="41">
        <v>8</v>
      </c>
      <c r="H589" s="1" t="str">
        <f t="shared" si="2"/>
        <v>High Minute</v>
      </c>
      <c r="I589" s="1"/>
    </row>
    <row r="590" spans="1:9" ht="13">
      <c r="A590" s="39" t="s">
        <v>638</v>
      </c>
      <c r="B590" s="99" t="s">
        <v>114</v>
      </c>
      <c r="C590" s="34" t="s">
        <v>628</v>
      </c>
      <c r="D590" s="41">
        <v>39</v>
      </c>
      <c r="E590" s="41">
        <v>16</v>
      </c>
      <c r="F590" s="41">
        <v>10.58</v>
      </c>
      <c r="G590" s="41">
        <v>4</v>
      </c>
      <c r="H590" s="1" t="str">
        <f t="shared" si="2"/>
        <v>High Minute</v>
      </c>
      <c r="I590" s="1"/>
    </row>
    <row r="591" spans="1:9" ht="13">
      <c r="A591" s="39" t="s">
        <v>638</v>
      </c>
      <c r="B591" s="99" t="s">
        <v>114</v>
      </c>
      <c r="C591" s="44" t="s">
        <v>631</v>
      </c>
      <c r="D591" s="45">
        <v>268</v>
      </c>
      <c r="E591" s="45">
        <v>61</v>
      </c>
      <c r="F591" s="45">
        <v>7.42</v>
      </c>
      <c r="G591" s="45">
        <v>15</v>
      </c>
      <c r="H591" s="1" t="str">
        <f t="shared" si="2"/>
        <v>High Minute</v>
      </c>
      <c r="I591" s="1"/>
    </row>
    <row r="592" spans="1:9" ht="13">
      <c r="A592" s="39" t="s">
        <v>589</v>
      </c>
      <c r="B592" s="99" t="s">
        <v>762</v>
      </c>
      <c r="C592" s="34" t="s">
        <v>626</v>
      </c>
      <c r="D592" s="41">
        <v>174</v>
      </c>
      <c r="E592" s="41">
        <v>1</v>
      </c>
      <c r="F592" s="41">
        <v>4.0999999999999996</v>
      </c>
      <c r="G592" s="41">
        <v>15</v>
      </c>
      <c r="H592" s="1" t="str">
        <f t="shared" si="2"/>
        <v>Posts</v>
      </c>
      <c r="I592" s="1"/>
    </row>
    <row r="593" spans="1:9" ht="13">
      <c r="A593" s="39" t="s">
        <v>589</v>
      </c>
      <c r="B593" s="99" t="s">
        <v>762</v>
      </c>
      <c r="C593" s="34" t="s">
        <v>629</v>
      </c>
      <c r="D593" s="41">
        <v>52</v>
      </c>
      <c r="E593" s="41">
        <v>12</v>
      </c>
      <c r="F593" s="41">
        <v>10.42</v>
      </c>
      <c r="G593" s="41">
        <v>10</v>
      </c>
      <c r="H593" s="1" t="str">
        <f t="shared" si="2"/>
        <v>Posts</v>
      </c>
      <c r="I593" s="1"/>
    </row>
    <row r="594" spans="1:9" ht="13">
      <c r="A594" s="39" t="s">
        <v>589</v>
      </c>
      <c r="B594" s="99" t="s">
        <v>762</v>
      </c>
      <c r="C594" s="44" t="s">
        <v>631</v>
      </c>
      <c r="D594" s="45">
        <v>226</v>
      </c>
      <c r="E594" s="45">
        <v>13</v>
      </c>
      <c r="F594" s="45">
        <v>4.7699999999999996</v>
      </c>
      <c r="G594" s="45">
        <v>25</v>
      </c>
      <c r="H594" s="1" t="str">
        <f t="shared" si="2"/>
        <v>Posts</v>
      </c>
      <c r="I594" s="1"/>
    </row>
    <row r="595" spans="1:9" ht="13">
      <c r="A595" s="39" t="s">
        <v>589</v>
      </c>
      <c r="B595" s="99" t="s">
        <v>114</v>
      </c>
      <c r="C595" s="34" t="s">
        <v>626</v>
      </c>
      <c r="D595" s="41">
        <v>85</v>
      </c>
      <c r="E595" s="41">
        <v>1</v>
      </c>
      <c r="F595" s="41">
        <v>3.41</v>
      </c>
      <c r="G595" s="41">
        <v>4</v>
      </c>
      <c r="H595" s="1" t="str">
        <f t="shared" si="2"/>
        <v>Posts</v>
      </c>
      <c r="I595" s="1"/>
    </row>
    <row r="596" spans="1:9" ht="13">
      <c r="A596" s="39" t="s">
        <v>589</v>
      </c>
      <c r="B596" s="99" t="s">
        <v>114</v>
      </c>
      <c r="C596" s="34" t="s">
        <v>628</v>
      </c>
      <c r="D596" s="41">
        <v>98</v>
      </c>
      <c r="E596" s="41">
        <v>17</v>
      </c>
      <c r="F596" s="41">
        <v>9.14</v>
      </c>
      <c r="G596" s="41">
        <v>13</v>
      </c>
      <c r="H596" s="1" t="str">
        <f t="shared" si="2"/>
        <v>Posts</v>
      </c>
      <c r="I596" s="1"/>
    </row>
    <row r="597" spans="1:9" ht="13">
      <c r="A597" s="39" t="s">
        <v>589</v>
      </c>
      <c r="B597" s="99" t="s">
        <v>114</v>
      </c>
      <c r="C597" s="34" t="s">
        <v>629</v>
      </c>
      <c r="D597" s="41">
        <v>83</v>
      </c>
      <c r="E597" s="41">
        <v>10</v>
      </c>
      <c r="F597" s="41">
        <v>10.7</v>
      </c>
      <c r="G597" s="41">
        <v>6</v>
      </c>
      <c r="H597" s="1" t="str">
        <f t="shared" si="2"/>
        <v>Posts</v>
      </c>
      <c r="I597" s="1"/>
    </row>
    <row r="598" spans="1:9" ht="13">
      <c r="A598" s="39" t="s">
        <v>589</v>
      </c>
      <c r="B598" s="99" t="s">
        <v>114</v>
      </c>
      <c r="C598" s="34" t="s">
        <v>630</v>
      </c>
      <c r="D598" s="41">
        <v>70</v>
      </c>
      <c r="E598" s="41">
        <v>9</v>
      </c>
      <c r="F598" s="41">
        <v>8.69</v>
      </c>
      <c r="G598" s="41">
        <v>9</v>
      </c>
      <c r="H598" s="1" t="str">
        <f t="shared" si="2"/>
        <v>Posts</v>
      </c>
      <c r="I598" s="1"/>
    </row>
    <row r="599" spans="1:9" ht="13">
      <c r="A599" s="39" t="s">
        <v>589</v>
      </c>
      <c r="B599" s="99" t="s">
        <v>114</v>
      </c>
      <c r="C599" s="44" t="s">
        <v>631</v>
      </c>
      <c r="D599" s="45">
        <v>336</v>
      </c>
      <c r="E599" s="45">
        <v>37</v>
      </c>
      <c r="F599" s="45">
        <v>6.54</v>
      </c>
      <c r="G599" s="45">
        <v>32</v>
      </c>
      <c r="H599" s="1" t="str">
        <f t="shared" si="2"/>
        <v>Posts</v>
      </c>
      <c r="I599" s="1"/>
    </row>
    <row r="600" spans="1:9" ht="13">
      <c r="A600" s="39" t="s">
        <v>590</v>
      </c>
      <c r="B600" s="99" t="s">
        <v>762</v>
      </c>
      <c r="C600" s="34" t="s">
        <v>626</v>
      </c>
      <c r="D600" s="41">
        <v>146</v>
      </c>
      <c r="E600" s="41">
        <v>1</v>
      </c>
      <c r="F600" s="41">
        <v>3.46</v>
      </c>
      <c r="G600" s="41">
        <v>3</v>
      </c>
      <c r="H600" s="1" t="str">
        <f t="shared" si="2"/>
        <v>Posts</v>
      </c>
      <c r="I600" s="1"/>
    </row>
    <row r="601" spans="1:9" ht="13">
      <c r="A601" s="39" t="s">
        <v>590</v>
      </c>
      <c r="B601" s="99" t="s">
        <v>762</v>
      </c>
      <c r="C601" s="34" t="s">
        <v>627</v>
      </c>
      <c r="D601" s="41">
        <v>110</v>
      </c>
      <c r="E601" s="41">
        <v>6</v>
      </c>
      <c r="F601" s="41">
        <v>9.34</v>
      </c>
      <c r="G601" s="41">
        <v>19</v>
      </c>
      <c r="H601" s="1" t="str">
        <f t="shared" si="2"/>
        <v>Posts</v>
      </c>
      <c r="I601" s="1"/>
    </row>
    <row r="602" spans="1:9" ht="13">
      <c r="A602" s="39" t="s">
        <v>590</v>
      </c>
      <c r="B602" s="99" t="s">
        <v>762</v>
      </c>
      <c r="C602" s="34" t="s">
        <v>628</v>
      </c>
      <c r="D602" s="41">
        <v>106</v>
      </c>
      <c r="E602" s="41">
        <v>7</v>
      </c>
      <c r="F602" s="41">
        <v>7.77</v>
      </c>
      <c r="G602" s="41">
        <v>10</v>
      </c>
      <c r="H602" s="1" t="str">
        <f t="shared" si="2"/>
        <v>Posts</v>
      </c>
      <c r="I602" s="1"/>
    </row>
    <row r="603" spans="1:9" ht="13">
      <c r="A603" s="39" t="s">
        <v>590</v>
      </c>
      <c r="B603" s="99" t="s">
        <v>762</v>
      </c>
      <c r="C603" s="34" t="s">
        <v>629</v>
      </c>
      <c r="D603" s="41">
        <v>84</v>
      </c>
      <c r="E603" s="41">
        <v>8</v>
      </c>
      <c r="F603" s="41">
        <v>7.16</v>
      </c>
      <c r="G603" s="41">
        <v>11</v>
      </c>
      <c r="H603" s="1" t="str">
        <f t="shared" si="2"/>
        <v>Posts</v>
      </c>
      <c r="I603" s="1"/>
    </row>
    <row r="604" spans="1:9" ht="13">
      <c r="A604" s="39" t="s">
        <v>590</v>
      </c>
      <c r="B604" s="99" t="s">
        <v>762</v>
      </c>
      <c r="C604" s="34" t="s">
        <v>630</v>
      </c>
      <c r="D604" s="41">
        <v>152</v>
      </c>
      <c r="E604" s="41">
        <v>9</v>
      </c>
      <c r="F604" s="41">
        <v>6.01</v>
      </c>
      <c r="G604" s="41">
        <v>19</v>
      </c>
      <c r="H604" s="1" t="str">
        <f t="shared" si="2"/>
        <v>Posts</v>
      </c>
      <c r="I604" s="1"/>
    </row>
    <row r="605" spans="1:9" ht="13">
      <c r="A605" s="39" t="s">
        <v>590</v>
      </c>
      <c r="B605" s="99" t="s">
        <v>762</v>
      </c>
      <c r="C605" s="44" t="s">
        <v>631</v>
      </c>
      <c r="D605" s="45">
        <v>598</v>
      </c>
      <c r="E605" s="45">
        <v>31</v>
      </c>
      <c r="F605" s="45">
        <v>5.71</v>
      </c>
      <c r="G605" s="45">
        <v>62</v>
      </c>
      <c r="H605" s="1" t="str">
        <f t="shared" si="2"/>
        <v>Posts</v>
      </c>
      <c r="I605" s="1"/>
    </row>
    <row r="606" spans="1:9" ht="13">
      <c r="A606" s="39" t="s">
        <v>590</v>
      </c>
      <c r="B606" s="99" t="s">
        <v>114</v>
      </c>
      <c r="C606" s="34" t="s">
        <v>626</v>
      </c>
      <c r="D606" s="41">
        <v>77</v>
      </c>
      <c r="E606" s="41">
        <v>0</v>
      </c>
      <c r="F606" s="41">
        <v>3.1</v>
      </c>
      <c r="G606" s="41">
        <v>8</v>
      </c>
      <c r="H606" s="1" t="str">
        <f t="shared" si="2"/>
        <v>Posts</v>
      </c>
      <c r="I606" s="1"/>
    </row>
    <row r="607" spans="1:9" ht="13">
      <c r="A607" s="39" t="s">
        <v>590</v>
      </c>
      <c r="B607" s="99" t="s">
        <v>114</v>
      </c>
      <c r="C607" s="34" t="s">
        <v>627</v>
      </c>
      <c r="D607" s="41">
        <v>70</v>
      </c>
      <c r="E607" s="41">
        <v>5</v>
      </c>
      <c r="F607" s="41">
        <v>8.7899999999999991</v>
      </c>
      <c r="G607" s="41">
        <v>6</v>
      </c>
      <c r="H607" s="1" t="str">
        <f t="shared" si="2"/>
        <v>Posts</v>
      </c>
      <c r="I607" s="1"/>
    </row>
    <row r="608" spans="1:9" ht="13">
      <c r="A608" s="39" t="s">
        <v>590</v>
      </c>
      <c r="B608" s="99" t="s">
        <v>114</v>
      </c>
      <c r="C608" s="34" t="s">
        <v>628</v>
      </c>
      <c r="D608" s="41">
        <v>71</v>
      </c>
      <c r="E608" s="41">
        <v>11</v>
      </c>
      <c r="F608" s="41">
        <v>8.64</v>
      </c>
      <c r="G608" s="41">
        <v>12</v>
      </c>
      <c r="H608" s="1" t="str">
        <f t="shared" si="2"/>
        <v>Posts</v>
      </c>
      <c r="I608" s="1"/>
    </row>
    <row r="609" spans="1:9" ht="13">
      <c r="A609" s="39" t="s">
        <v>590</v>
      </c>
      <c r="B609" s="99" t="s">
        <v>114</v>
      </c>
      <c r="C609" s="34" t="s">
        <v>629</v>
      </c>
      <c r="D609" s="41">
        <v>61</v>
      </c>
      <c r="E609" s="41">
        <v>8</v>
      </c>
      <c r="F609" s="41">
        <v>8.2100000000000009</v>
      </c>
      <c r="G609" s="41">
        <v>10</v>
      </c>
      <c r="H609" s="1" t="str">
        <f t="shared" si="2"/>
        <v>Posts</v>
      </c>
      <c r="I609" s="1"/>
    </row>
    <row r="610" spans="1:9" ht="13">
      <c r="A610" s="39" t="s">
        <v>590</v>
      </c>
      <c r="B610" s="99" t="s">
        <v>114</v>
      </c>
      <c r="C610" s="34" t="s">
        <v>630</v>
      </c>
      <c r="D610" s="41">
        <v>58</v>
      </c>
      <c r="E610" s="41">
        <v>9</v>
      </c>
      <c r="F610" s="41">
        <v>9.25</v>
      </c>
      <c r="G610" s="41">
        <v>2</v>
      </c>
      <c r="H610" s="1" t="str">
        <f t="shared" si="2"/>
        <v>Posts</v>
      </c>
      <c r="I610" s="1"/>
    </row>
    <row r="611" spans="1:9" ht="13">
      <c r="A611" s="39" t="s">
        <v>590</v>
      </c>
      <c r="B611" s="99" t="s">
        <v>114</v>
      </c>
      <c r="C611" s="44" t="s">
        <v>631</v>
      </c>
      <c r="D611" s="45">
        <v>338</v>
      </c>
      <c r="E611" s="45">
        <v>33</v>
      </c>
      <c r="F611" s="45">
        <v>6.17</v>
      </c>
      <c r="G611" s="45">
        <v>38</v>
      </c>
      <c r="H611" s="1" t="str">
        <f t="shared" si="2"/>
        <v>Posts</v>
      </c>
      <c r="I611" s="1"/>
    </row>
    <row r="612" spans="1:9" ht="13">
      <c r="A612" s="39" t="s">
        <v>167</v>
      </c>
      <c r="B612" s="99" t="s">
        <v>117</v>
      </c>
      <c r="C612" s="34" t="s">
        <v>626</v>
      </c>
      <c r="D612" s="41">
        <v>159</v>
      </c>
      <c r="E612" s="41">
        <v>4</v>
      </c>
      <c r="F612" s="41">
        <v>5.45</v>
      </c>
      <c r="G612" s="41">
        <v>2</v>
      </c>
      <c r="H612" s="1" t="str">
        <f t="shared" si="2"/>
        <v>Development</v>
      </c>
      <c r="I612" s="1"/>
    </row>
    <row r="613" spans="1:9" ht="13">
      <c r="A613" s="39" t="s">
        <v>167</v>
      </c>
      <c r="B613" s="99" t="s">
        <v>117</v>
      </c>
      <c r="C613" s="44" t="s">
        <v>631</v>
      </c>
      <c r="D613" s="45">
        <v>159</v>
      </c>
      <c r="E613" s="45">
        <v>4</v>
      </c>
      <c r="F613" s="45">
        <v>5.45</v>
      </c>
      <c r="G613" s="45">
        <v>2</v>
      </c>
      <c r="H613" s="1" t="str">
        <f t="shared" si="2"/>
        <v>Development</v>
      </c>
      <c r="I613" s="1"/>
    </row>
    <row r="614" spans="1:9" ht="13">
      <c r="A614" s="39" t="s">
        <v>167</v>
      </c>
      <c r="B614" s="99" t="s">
        <v>762</v>
      </c>
      <c r="C614" s="34" t="s">
        <v>626</v>
      </c>
      <c r="D614" s="41">
        <v>167</v>
      </c>
      <c r="E614" s="41">
        <v>5</v>
      </c>
      <c r="F614" s="41">
        <v>3.95</v>
      </c>
      <c r="G614" s="41">
        <v>3</v>
      </c>
      <c r="H614" s="1" t="str">
        <f t="shared" si="2"/>
        <v>Development</v>
      </c>
      <c r="I614" s="1"/>
    </row>
    <row r="615" spans="1:9" ht="13">
      <c r="A615" s="39" t="s">
        <v>167</v>
      </c>
      <c r="B615" s="99" t="s">
        <v>762</v>
      </c>
      <c r="C615" s="44" t="s">
        <v>631</v>
      </c>
      <c r="D615" s="45">
        <v>167</v>
      </c>
      <c r="E615" s="45">
        <v>5</v>
      </c>
      <c r="F615" s="45">
        <v>3.95</v>
      </c>
      <c r="G615" s="45">
        <v>3</v>
      </c>
      <c r="H615" s="1" t="str">
        <f t="shared" si="2"/>
        <v>Development</v>
      </c>
      <c r="I615" s="1"/>
    </row>
    <row r="616" spans="1:9" ht="13">
      <c r="A616" s="39" t="s">
        <v>167</v>
      </c>
      <c r="B616" s="99" t="s">
        <v>114</v>
      </c>
      <c r="C616" s="34" t="s">
        <v>626</v>
      </c>
      <c r="D616" s="41">
        <v>121</v>
      </c>
      <c r="E616" s="41">
        <v>4</v>
      </c>
      <c r="F616" s="41">
        <v>4.87</v>
      </c>
      <c r="G616" s="41">
        <v>0</v>
      </c>
      <c r="H616" s="1" t="str">
        <f t="shared" si="2"/>
        <v>Development</v>
      </c>
      <c r="I616" s="1"/>
    </row>
    <row r="617" spans="1:9" ht="13">
      <c r="A617" s="39" t="s">
        <v>167</v>
      </c>
      <c r="B617" s="99" t="s">
        <v>114</v>
      </c>
      <c r="C617" s="34" t="s">
        <v>630</v>
      </c>
      <c r="D617" s="41">
        <v>58</v>
      </c>
      <c r="E617" s="41">
        <v>7</v>
      </c>
      <c r="F617" s="41">
        <v>9.14</v>
      </c>
      <c r="G617" s="41">
        <v>5</v>
      </c>
      <c r="H617" s="1" t="str">
        <f t="shared" si="2"/>
        <v>Development</v>
      </c>
      <c r="I617" s="1"/>
    </row>
    <row r="618" spans="1:9" ht="13">
      <c r="A618" s="39" t="s">
        <v>167</v>
      </c>
      <c r="B618" s="99" t="s">
        <v>114</v>
      </c>
      <c r="C618" s="44" t="s">
        <v>631</v>
      </c>
      <c r="D618" s="45">
        <v>179</v>
      </c>
      <c r="E618" s="45">
        <v>11</v>
      </c>
      <c r="F618" s="45">
        <v>5.74</v>
      </c>
      <c r="G618" s="45">
        <v>5</v>
      </c>
      <c r="H618" s="1" t="str">
        <f t="shared" si="2"/>
        <v>Development</v>
      </c>
      <c r="I618" s="1"/>
    </row>
    <row r="619" spans="1:9" ht="13">
      <c r="A619" s="39" t="s">
        <v>633</v>
      </c>
      <c r="B619" s="99" t="s">
        <v>117</v>
      </c>
      <c r="C619" s="34" t="s">
        <v>626</v>
      </c>
      <c r="D619" s="41">
        <v>163</v>
      </c>
      <c r="E619" s="41">
        <v>0</v>
      </c>
      <c r="F619" s="41">
        <v>5.59</v>
      </c>
      <c r="G619" s="41">
        <v>3</v>
      </c>
      <c r="H619" s="1" t="str">
        <f t="shared" si="2"/>
        <v>High Minute</v>
      </c>
      <c r="I619" s="1"/>
    </row>
    <row r="620" spans="1:9" ht="13">
      <c r="A620" s="39" t="s">
        <v>633</v>
      </c>
      <c r="B620" s="99" t="s">
        <v>117</v>
      </c>
      <c r="C620" s="34" t="s">
        <v>627</v>
      </c>
      <c r="D620" s="41">
        <v>131</v>
      </c>
      <c r="E620" s="41">
        <v>11</v>
      </c>
      <c r="F620" s="41">
        <v>8.7799999999999994</v>
      </c>
      <c r="G620" s="41">
        <v>10</v>
      </c>
      <c r="H620" s="1" t="str">
        <f t="shared" si="2"/>
        <v>High Minute</v>
      </c>
      <c r="I620" s="1"/>
    </row>
    <row r="621" spans="1:9" ht="13">
      <c r="A621" s="39" t="s">
        <v>633</v>
      </c>
      <c r="B621" s="99" t="s">
        <v>117</v>
      </c>
      <c r="C621" s="34" t="s">
        <v>628</v>
      </c>
      <c r="D621" s="41">
        <v>88</v>
      </c>
      <c r="E621" s="41">
        <v>5</v>
      </c>
      <c r="F621" s="41">
        <v>9.16</v>
      </c>
      <c r="G621" s="41">
        <v>5</v>
      </c>
      <c r="H621" s="1" t="str">
        <f t="shared" si="2"/>
        <v>High Minute</v>
      </c>
      <c r="I621" s="1"/>
    </row>
    <row r="622" spans="1:9" ht="13">
      <c r="A622" s="39" t="s">
        <v>633</v>
      </c>
      <c r="B622" s="99" t="s">
        <v>117</v>
      </c>
      <c r="C622" s="34" t="s">
        <v>629</v>
      </c>
      <c r="D622" s="41">
        <v>141</v>
      </c>
      <c r="E622" s="41">
        <v>3</v>
      </c>
      <c r="F622" s="41">
        <v>7.73</v>
      </c>
      <c r="G622" s="41">
        <v>12</v>
      </c>
      <c r="H622" s="1" t="str">
        <f t="shared" si="2"/>
        <v>High Minute</v>
      </c>
      <c r="I622" s="1"/>
    </row>
    <row r="623" spans="1:9" ht="13">
      <c r="A623" s="39" t="s">
        <v>633</v>
      </c>
      <c r="B623" s="99" t="s">
        <v>117</v>
      </c>
      <c r="C623" s="34" t="s">
        <v>630</v>
      </c>
      <c r="D623" s="41">
        <v>157</v>
      </c>
      <c r="E623" s="41">
        <v>10</v>
      </c>
      <c r="F623" s="41">
        <v>6.58</v>
      </c>
      <c r="G623" s="41">
        <v>18</v>
      </c>
      <c r="H623" s="1" t="str">
        <f t="shared" si="2"/>
        <v>High Minute</v>
      </c>
      <c r="I623" s="1"/>
    </row>
    <row r="624" spans="1:9" ht="13">
      <c r="A624" s="39" t="s">
        <v>633</v>
      </c>
      <c r="B624" s="99" t="s">
        <v>117</v>
      </c>
      <c r="C624" s="44" t="s">
        <v>631</v>
      </c>
      <c r="D624" s="45">
        <v>681</v>
      </c>
      <c r="E624" s="45">
        <v>29</v>
      </c>
      <c r="F624" s="45">
        <v>7.1</v>
      </c>
      <c r="G624" s="45">
        <v>48</v>
      </c>
      <c r="H624" s="1" t="str">
        <f t="shared" si="2"/>
        <v>High Minute</v>
      </c>
      <c r="I624" s="1"/>
    </row>
    <row r="625" spans="1:9" ht="13">
      <c r="A625" s="39" t="s">
        <v>633</v>
      </c>
      <c r="B625" s="99" t="s">
        <v>762</v>
      </c>
      <c r="C625" s="34" t="s">
        <v>626</v>
      </c>
      <c r="D625" s="41">
        <v>171</v>
      </c>
      <c r="E625" s="41">
        <v>1</v>
      </c>
      <c r="F625" s="41">
        <v>4.04</v>
      </c>
      <c r="G625" s="41">
        <v>2</v>
      </c>
      <c r="H625" s="1" t="str">
        <f t="shared" si="2"/>
        <v>High Minute</v>
      </c>
      <c r="I625" s="1"/>
    </row>
    <row r="626" spans="1:9" ht="13">
      <c r="A626" s="39" t="s">
        <v>633</v>
      </c>
      <c r="B626" s="99" t="s">
        <v>762</v>
      </c>
      <c r="C626" s="34" t="s">
        <v>627</v>
      </c>
      <c r="D626" s="41">
        <v>96</v>
      </c>
      <c r="E626" s="41">
        <v>8</v>
      </c>
      <c r="F626" s="41">
        <v>9.39</v>
      </c>
      <c r="G626" s="41">
        <v>10</v>
      </c>
      <c r="H626" s="1" t="str">
        <f t="shared" si="2"/>
        <v>High Minute</v>
      </c>
      <c r="I626" s="1"/>
    </row>
    <row r="627" spans="1:9" ht="13">
      <c r="A627" s="39" t="s">
        <v>633</v>
      </c>
      <c r="B627" s="99" t="s">
        <v>762</v>
      </c>
      <c r="C627" s="34" t="s">
        <v>628</v>
      </c>
      <c r="D627" s="41">
        <v>94</v>
      </c>
      <c r="E627" s="41">
        <v>9</v>
      </c>
      <c r="F627" s="41">
        <v>9.01</v>
      </c>
      <c r="G627" s="41">
        <v>14</v>
      </c>
      <c r="H627" s="1" t="str">
        <f t="shared" si="2"/>
        <v>High Minute</v>
      </c>
      <c r="I627" s="1"/>
    </row>
    <row r="628" spans="1:9" ht="13">
      <c r="A628" s="39" t="s">
        <v>633</v>
      </c>
      <c r="B628" s="99" t="s">
        <v>762</v>
      </c>
      <c r="C628" s="34" t="s">
        <v>629</v>
      </c>
      <c r="D628" s="41">
        <v>29</v>
      </c>
      <c r="E628" s="41">
        <v>2</v>
      </c>
      <c r="F628" s="41">
        <v>7.18</v>
      </c>
      <c r="G628" s="41">
        <v>3</v>
      </c>
      <c r="H628" s="1" t="str">
        <f t="shared" si="2"/>
        <v>High Minute</v>
      </c>
      <c r="I628" s="1"/>
    </row>
    <row r="629" spans="1:9" ht="13">
      <c r="A629" s="39" t="s">
        <v>633</v>
      </c>
      <c r="B629" s="99" t="s">
        <v>762</v>
      </c>
      <c r="C629" s="34" t="s">
        <v>630</v>
      </c>
      <c r="D629" s="41">
        <v>177</v>
      </c>
      <c r="E629" s="41">
        <v>17</v>
      </c>
      <c r="F629" s="41">
        <v>7.01</v>
      </c>
      <c r="G629" s="41">
        <v>10</v>
      </c>
      <c r="H629" s="1" t="str">
        <f t="shared" si="2"/>
        <v>High Minute</v>
      </c>
      <c r="I629" s="1"/>
    </row>
    <row r="630" spans="1:9" ht="13">
      <c r="A630" s="39" t="s">
        <v>633</v>
      </c>
      <c r="B630" s="99" t="s">
        <v>762</v>
      </c>
      <c r="C630" s="44" t="s">
        <v>631</v>
      </c>
      <c r="D630" s="45">
        <v>566</v>
      </c>
      <c r="E630" s="45">
        <v>37</v>
      </c>
      <c r="F630" s="45">
        <v>6.14</v>
      </c>
      <c r="G630" s="45">
        <v>39</v>
      </c>
      <c r="H630" s="1" t="str">
        <f t="shared" si="2"/>
        <v>High Minute</v>
      </c>
      <c r="I630" s="1"/>
    </row>
    <row r="631" spans="1:9" ht="13">
      <c r="A631" s="39" t="s">
        <v>633</v>
      </c>
      <c r="B631" s="99" t="s">
        <v>114</v>
      </c>
      <c r="C631" s="34" t="s">
        <v>626</v>
      </c>
      <c r="D631" s="41">
        <v>101</v>
      </c>
      <c r="E631" s="41">
        <v>1</v>
      </c>
      <c r="F631" s="41">
        <v>4.09</v>
      </c>
      <c r="G631" s="41">
        <v>2</v>
      </c>
      <c r="H631" s="1" t="str">
        <f t="shared" si="2"/>
        <v>High Minute</v>
      </c>
      <c r="I631" s="1"/>
    </row>
    <row r="632" spans="1:9" ht="13">
      <c r="A632" s="39" t="s">
        <v>633</v>
      </c>
      <c r="B632" s="99" t="s">
        <v>114</v>
      </c>
      <c r="C632" s="34" t="s">
        <v>627</v>
      </c>
      <c r="D632" s="41">
        <v>75</v>
      </c>
      <c r="E632" s="41">
        <v>6</v>
      </c>
      <c r="F632" s="41">
        <v>9.3699999999999992</v>
      </c>
      <c r="G632" s="41">
        <v>4</v>
      </c>
      <c r="H632" s="1" t="str">
        <f t="shared" si="2"/>
        <v>High Minute</v>
      </c>
      <c r="I632" s="1"/>
    </row>
    <row r="633" spans="1:9" ht="13">
      <c r="A633" s="39" t="s">
        <v>633</v>
      </c>
      <c r="B633" s="99" t="s">
        <v>114</v>
      </c>
      <c r="C633" s="34" t="s">
        <v>628</v>
      </c>
      <c r="D633" s="41">
        <v>154</v>
      </c>
      <c r="E633" s="41">
        <v>10</v>
      </c>
      <c r="F633" s="41">
        <v>8.1199999999999992</v>
      </c>
      <c r="G633" s="41">
        <v>11</v>
      </c>
      <c r="H633" s="1" t="str">
        <f t="shared" si="2"/>
        <v>High Minute</v>
      </c>
      <c r="I633" s="1"/>
    </row>
    <row r="634" spans="1:9" ht="13">
      <c r="A634" s="39" t="s">
        <v>633</v>
      </c>
      <c r="B634" s="99" t="s">
        <v>114</v>
      </c>
      <c r="C634" s="34" t="s">
        <v>629</v>
      </c>
      <c r="D634" s="41">
        <v>124</v>
      </c>
      <c r="E634" s="41">
        <v>5</v>
      </c>
      <c r="F634" s="41">
        <v>9.68</v>
      </c>
      <c r="G634" s="41">
        <v>21</v>
      </c>
      <c r="H634" s="1" t="str">
        <f t="shared" si="2"/>
        <v>High Minute</v>
      </c>
      <c r="I634" s="1"/>
    </row>
    <row r="635" spans="1:9" ht="13">
      <c r="A635" s="39" t="s">
        <v>633</v>
      </c>
      <c r="B635" s="99" t="s">
        <v>114</v>
      </c>
      <c r="C635" s="44" t="s">
        <v>631</v>
      </c>
      <c r="D635" s="45">
        <v>455</v>
      </c>
      <c r="E635" s="45">
        <v>22</v>
      </c>
      <c r="F635" s="45">
        <v>7.04</v>
      </c>
      <c r="G635" s="45">
        <v>38</v>
      </c>
      <c r="H635" s="1" t="str">
        <f t="shared" si="2"/>
        <v>High Minute</v>
      </c>
      <c r="I635" s="1"/>
    </row>
    <row r="636" spans="1:9" ht="13">
      <c r="G636" s="1"/>
      <c r="H636" s="1"/>
      <c r="I636" s="1"/>
    </row>
    <row r="637" spans="1:9" ht="13">
      <c r="F637" s="71"/>
      <c r="G637" s="1"/>
      <c r="H637" s="1"/>
      <c r="I637" s="1"/>
    </row>
    <row r="638" spans="1:9" ht="13">
      <c r="F638" s="71"/>
      <c r="G638" s="1"/>
      <c r="H638" s="1"/>
      <c r="I638" s="1"/>
    </row>
    <row r="639" spans="1:9" ht="13">
      <c r="F639" s="213"/>
      <c r="G639" s="1"/>
      <c r="H639" s="1"/>
      <c r="I639" s="1"/>
    </row>
    <row r="640" spans="1:9" ht="13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3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3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3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3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3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3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3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3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3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3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3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3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3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3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3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3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3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3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3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3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3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3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3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3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3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3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3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3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3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3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3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3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3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3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3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3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3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3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3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3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3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3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3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3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3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3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3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3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3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3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3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3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3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3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3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3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3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3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3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3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3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3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3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3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3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3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3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3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3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3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3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3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3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3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3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3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3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3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3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3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3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3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3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3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3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3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3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3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3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3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3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3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3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3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3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3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3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3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3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3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3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3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3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3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3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3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3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3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3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3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3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3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3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3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3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3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3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3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3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3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3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3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3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3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3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3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3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3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3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3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3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3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3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3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3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3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3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3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3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3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3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3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3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3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3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3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3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3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3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3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3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3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3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3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3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3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3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3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3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3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3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3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3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3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3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3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3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3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3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3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3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3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3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3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3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3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3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3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3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3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3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3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3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3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3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3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3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3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3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3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3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3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3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3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3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3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3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3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3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3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3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3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3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3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3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3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3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3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3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3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3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3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3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3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3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3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3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3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3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3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3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3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3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3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3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3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3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3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3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3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3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3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3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3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3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3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3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3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3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3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3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3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3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3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3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3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3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3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3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3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3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3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3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3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3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3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3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3">
      <c r="A898" s="1"/>
      <c r="B898" s="1"/>
      <c r="C898" s="1"/>
      <c r="D898" s="1"/>
      <c r="E898" s="1"/>
      <c r="F898" s="1"/>
      <c r="G898" s="1"/>
      <c r="H898" s="1"/>
      <c r="I898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D95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1.6640625" customWidth="1"/>
  </cols>
  <sheetData>
    <row r="1" spans="1:30" ht="15.75" customHeight="1">
      <c r="A1" s="34" t="s">
        <v>16</v>
      </c>
      <c r="B1" s="1" t="s">
        <v>315</v>
      </c>
      <c r="C1" s="1" t="s">
        <v>672</v>
      </c>
      <c r="D1" s="97" t="s">
        <v>144</v>
      </c>
      <c r="E1" s="97" t="s">
        <v>620</v>
      </c>
      <c r="F1" s="97" t="s">
        <v>621</v>
      </c>
      <c r="G1" s="97" t="s">
        <v>5</v>
      </c>
      <c r="I1" s="1"/>
      <c r="J1" s="214" t="s">
        <v>763</v>
      </c>
      <c r="K1" s="215" t="s">
        <v>144</v>
      </c>
      <c r="L1" s="215" t="s">
        <v>620</v>
      </c>
      <c r="M1" s="215" t="s">
        <v>621</v>
      </c>
      <c r="N1" s="215" t="s">
        <v>5</v>
      </c>
      <c r="O1" s="1"/>
      <c r="P1" s="1"/>
      <c r="Q1" s="1"/>
      <c r="R1" s="1"/>
      <c r="S1" s="1"/>
      <c r="T1" s="1"/>
      <c r="U1" s="1"/>
      <c r="V1" s="1"/>
      <c r="W1" s="216"/>
      <c r="X1" s="216"/>
      <c r="Y1" s="216"/>
      <c r="Z1" s="216"/>
      <c r="AA1" s="215" t="s">
        <v>144</v>
      </c>
      <c r="AB1" s="215" t="s">
        <v>620</v>
      </c>
      <c r="AC1" s="215" t="s">
        <v>621</v>
      </c>
      <c r="AD1" s="215" t="s">
        <v>5</v>
      </c>
    </row>
    <row r="2" spans="1:30" ht="14">
      <c r="A2" s="39" t="s">
        <v>622</v>
      </c>
      <c r="B2" s="99" t="s">
        <v>756</v>
      </c>
      <c r="C2" s="34" t="s">
        <v>626</v>
      </c>
      <c r="D2" s="41">
        <v>152</v>
      </c>
      <c r="E2" s="41">
        <v>3</v>
      </c>
      <c r="F2" s="41">
        <v>4.4000000000000004</v>
      </c>
      <c r="G2" s="41">
        <v>1</v>
      </c>
      <c r="I2" s="39" t="s">
        <v>622</v>
      </c>
      <c r="J2" s="217" t="s">
        <v>756</v>
      </c>
      <c r="K2" s="43">
        <v>5.67</v>
      </c>
      <c r="L2" s="43">
        <v>4.05</v>
      </c>
      <c r="M2" s="43">
        <v>8.01</v>
      </c>
      <c r="N2" s="43">
        <v>1.9000000000000001</v>
      </c>
      <c r="O2" s="1"/>
      <c r="P2" s="1"/>
      <c r="Q2" s="1"/>
      <c r="R2" s="1"/>
      <c r="S2" s="1"/>
      <c r="T2" s="1"/>
      <c r="U2" s="1"/>
      <c r="V2" s="1">
        <f t="shared" ref="V2:V43" si="0">AA2/100</f>
        <v>5.67</v>
      </c>
      <c r="W2" s="43">
        <f t="shared" ref="W2:W43" si="1">AB2*0.05</f>
        <v>4.05</v>
      </c>
      <c r="X2" s="43">
        <f t="shared" ref="X2:X43" si="2">AC2</f>
        <v>8.01</v>
      </c>
      <c r="Y2" s="43">
        <f t="shared" ref="Y2:Y43" si="3">AD2*0.05</f>
        <v>1.9000000000000001</v>
      </c>
      <c r="Z2" s="43"/>
      <c r="AA2" s="43">
        <v>567</v>
      </c>
      <c r="AB2" s="43">
        <v>81</v>
      </c>
      <c r="AC2" s="43">
        <v>8.01</v>
      </c>
      <c r="AD2" s="43">
        <v>38</v>
      </c>
    </row>
    <row r="3" spans="1:30" ht="14">
      <c r="A3" s="39" t="s">
        <v>622</v>
      </c>
      <c r="B3" s="99" t="s">
        <v>756</v>
      </c>
      <c r="C3" s="34" t="s">
        <v>627</v>
      </c>
      <c r="D3" s="41">
        <v>165</v>
      </c>
      <c r="E3" s="41">
        <v>27</v>
      </c>
      <c r="F3" s="41">
        <v>13</v>
      </c>
      <c r="G3" s="41">
        <v>19</v>
      </c>
      <c r="I3" s="39" t="s">
        <v>622</v>
      </c>
      <c r="J3" s="217" t="s">
        <v>625</v>
      </c>
      <c r="K3" s="43">
        <v>6.93</v>
      </c>
      <c r="L3" s="43">
        <v>6.45</v>
      </c>
      <c r="M3" s="43">
        <v>9.07</v>
      </c>
      <c r="N3" s="43">
        <v>4.05</v>
      </c>
      <c r="O3" s="1"/>
      <c r="P3" s="1"/>
      <c r="Q3" s="1"/>
      <c r="R3" s="1"/>
      <c r="S3" s="1"/>
      <c r="T3" s="1"/>
      <c r="U3" s="1"/>
      <c r="V3" s="1">
        <f t="shared" si="0"/>
        <v>6.93</v>
      </c>
      <c r="W3" s="43">
        <f t="shared" si="1"/>
        <v>6.45</v>
      </c>
      <c r="X3" s="43">
        <f t="shared" si="2"/>
        <v>9.07</v>
      </c>
      <c r="Y3" s="43">
        <f t="shared" si="3"/>
        <v>4.05</v>
      </c>
      <c r="Z3" s="43"/>
      <c r="AA3" s="43">
        <v>693</v>
      </c>
      <c r="AB3" s="43">
        <v>129</v>
      </c>
      <c r="AC3" s="43">
        <v>9.07</v>
      </c>
      <c r="AD3" s="43">
        <v>81</v>
      </c>
    </row>
    <row r="4" spans="1:30" ht="14">
      <c r="A4" s="39" t="s">
        <v>622</v>
      </c>
      <c r="B4" s="99" t="s">
        <v>756</v>
      </c>
      <c r="C4" s="34" t="s">
        <v>628</v>
      </c>
      <c r="D4" s="41">
        <v>109</v>
      </c>
      <c r="E4" s="41">
        <v>23</v>
      </c>
      <c r="F4" s="41">
        <v>11.28</v>
      </c>
      <c r="G4" s="41">
        <v>13</v>
      </c>
      <c r="I4" s="39" t="s">
        <v>622</v>
      </c>
      <c r="J4" s="217" t="s">
        <v>757</v>
      </c>
      <c r="K4" s="43">
        <v>6.06</v>
      </c>
      <c r="L4" s="43">
        <v>5.25</v>
      </c>
      <c r="M4" s="43">
        <v>7.95</v>
      </c>
      <c r="N4" s="43">
        <v>3.45</v>
      </c>
      <c r="O4" s="1"/>
      <c r="P4" s="1"/>
      <c r="Q4" s="1"/>
      <c r="R4" s="1"/>
      <c r="S4" s="1"/>
      <c r="T4" s="1"/>
      <c r="U4" s="1"/>
      <c r="V4" s="1">
        <f t="shared" si="0"/>
        <v>6.06</v>
      </c>
      <c r="W4" s="43">
        <f t="shared" si="1"/>
        <v>5.25</v>
      </c>
      <c r="X4" s="43">
        <f t="shared" si="2"/>
        <v>7.95</v>
      </c>
      <c r="Y4" s="43">
        <f t="shared" si="3"/>
        <v>3.45</v>
      </c>
      <c r="Z4" s="43"/>
      <c r="AA4" s="43">
        <v>606</v>
      </c>
      <c r="AB4" s="43">
        <v>105</v>
      </c>
      <c r="AC4" s="43">
        <v>7.95</v>
      </c>
      <c r="AD4" s="43">
        <v>69</v>
      </c>
    </row>
    <row r="5" spans="1:30" ht="14">
      <c r="A5" s="39" t="s">
        <v>622</v>
      </c>
      <c r="B5" s="99" t="s">
        <v>756</v>
      </c>
      <c r="C5" s="34" t="s">
        <v>629</v>
      </c>
      <c r="D5" s="41">
        <v>86</v>
      </c>
      <c r="E5" s="41">
        <v>16</v>
      </c>
      <c r="F5" s="41">
        <v>10.75</v>
      </c>
      <c r="G5" s="41">
        <v>3</v>
      </c>
      <c r="I5" s="39" t="s">
        <v>622</v>
      </c>
      <c r="J5" s="217" t="s">
        <v>121</v>
      </c>
      <c r="K5" s="43">
        <v>4.99</v>
      </c>
      <c r="L5" s="43">
        <v>4.5</v>
      </c>
      <c r="M5" s="43">
        <v>8.2100000000000009</v>
      </c>
      <c r="N5" s="43">
        <v>2.75</v>
      </c>
      <c r="O5" s="1"/>
      <c r="P5" s="1"/>
      <c r="Q5" s="1"/>
      <c r="R5" s="1"/>
      <c r="S5" s="1"/>
      <c r="T5" s="1"/>
      <c r="U5" s="1"/>
      <c r="V5" s="1">
        <f t="shared" si="0"/>
        <v>4.99</v>
      </c>
      <c r="W5" s="43">
        <f t="shared" si="1"/>
        <v>4.5</v>
      </c>
      <c r="X5" s="43">
        <f t="shared" si="2"/>
        <v>8.2100000000000009</v>
      </c>
      <c r="Y5" s="43">
        <f t="shared" si="3"/>
        <v>2.75</v>
      </c>
      <c r="Z5" s="43"/>
      <c r="AA5" s="43">
        <v>499</v>
      </c>
      <c r="AB5" s="43">
        <v>90</v>
      </c>
      <c r="AC5" s="43">
        <v>8.2100000000000009</v>
      </c>
      <c r="AD5" s="43">
        <v>55</v>
      </c>
    </row>
    <row r="6" spans="1:30" ht="14">
      <c r="A6" s="39"/>
      <c r="B6" s="99"/>
      <c r="C6" s="34"/>
      <c r="D6" s="41"/>
      <c r="E6" s="41"/>
      <c r="F6" s="41"/>
      <c r="G6" s="41"/>
      <c r="H6" s="1"/>
      <c r="I6" s="218"/>
      <c r="J6" s="214" t="s">
        <v>763</v>
      </c>
      <c r="K6" s="215" t="s">
        <v>144</v>
      </c>
      <c r="L6" s="215" t="s">
        <v>620</v>
      </c>
      <c r="M6" s="215" t="s">
        <v>621</v>
      </c>
      <c r="N6" s="215" t="s">
        <v>5</v>
      </c>
      <c r="O6" s="1"/>
      <c r="P6" s="1"/>
      <c r="Q6" s="1"/>
      <c r="R6" s="1"/>
      <c r="S6" s="1"/>
      <c r="T6" s="1"/>
      <c r="U6" s="1"/>
      <c r="V6" s="1" t="e">
        <f t="shared" si="0"/>
        <v>#VALUE!</v>
      </c>
      <c r="W6" s="43" t="e">
        <f t="shared" si="1"/>
        <v>#VALUE!</v>
      </c>
      <c r="X6" s="43" t="str">
        <f t="shared" si="2"/>
        <v>PL Per Minute</v>
      </c>
      <c r="Y6" s="43" t="e">
        <f t="shared" si="3"/>
        <v>#VALUE!</v>
      </c>
      <c r="Z6" s="43"/>
      <c r="AA6" s="215" t="s">
        <v>144</v>
      </c>
      <c r="AB6" s="215" t="s">
        <v>620</v>
      </c>
      <c r="AC6" s="215" t="s">
        <v>621</v>
      </c>
      <c r="AD6" s="215" t="s">
        <v>5</v>
      </c>
    </row>
    <row r="7" spans="1:30" ht="14">
      <c r="A7" s="39" t="s">
        <v>622</v>
      </c>
      <c r="B7" s="99" t="s">
        <v>756</v>
      </c>
      <c r="C7" s="34" t="s">
        <v>630</v>
      </c>
      <c r="D7" s="41">
        <v>54</v>
      </c>
      <c r="E7" s="41">
        <v>12</v>
      </c>
      <c r="F7" s="41">
        <v>9.34</v>
      </c>
      <c r="G7" s="41">
        <v>2</v>
      </c>
      <c r="H7" s="1"/>
      <c r="I7" s="218" t="s">
        <v>190</v>
      </c>
      <c r="J7" s="217" t="s">
        <v>756</v>
      </c>
      <c r="K7" s="43">
        <v>3.68</v>
      </c>
      <c r="L7" s="43">
        <v>0.95000000000000007</v>
      </c>
      <c r="M7" s="43">
        <v>6.2</v>
      </c>
      <c r="N7" s="43">
        <v>1.2000000000000002</v>
      </c>
      <c r="O7" s="1"/>
      <c r="P7" s="1"/>
      <c r="Q7" s="1"/>
      <c r="R7" s="1"/>
      <c r="S7" s="1"/>
      <c r="T7" s="1"/>
      <c r="U7" s="1"/>
      <c r="V7" s="1">
        <f t="shared" si="0"/>
        <v>3.68</v>
      </c>
      <c r="W7" s="43">
        <f t="shared" si="1"/>
        <v>0.95000000000000007</v>
      </c>
      <c r="X7" s="43">
        <f t="shared" si="2"/>
        <v>6.2</v>
      </c>
      <c r="Y7" s="43">
        <f t="shared" si="3"/>
        <v>1.2000000000000002</v>
      </c>
      <c r="Z7" s="43"/>
      <c r="AA7" s="43">
        <v>368</v>
      </c>
      <c r="AB7" s="43">
        <v>19</v>
      </c>
      <c r="AC7" s="43">
        <v>6.2</v>
      </c>
      <c r="AD7" s="43">
        <v>24</v>
      </c>
    </row>
    <row r="8" spans="1:30" ht="14">
      <c r="A8" s="39" t="s">
        <v>622</v>
      </c>
      <c r="B8" s="99" t="s">
        <v>756</v>
      </c>
      <c r="C8" s="44" t="s">
        <v>631</v>
      </c>
      <c r="D8" s="45">
        <v>567</v>
      </c>
      <c r="E8" s="45">
        <v>81</v>
      </c>
      <c r="F8" s="45">
        <v>8.01</v>
      </c>
      <c r="G8" s="45">
        <v>38</v>
      </c>
      <c r="H8" s="1"/>
      <c r="I8" s="218" t="s">
        <v>190</v>
      </c>
      <c r="J8" s="217" t="s">
        <v>625</v>
      </c>
      <c r="K8" s="107">
        <v>2.14</v>
      </c>
      <c r="L8" s="43">
        <v>0.55000000000000004</v>
      </c>
      <c r="M8" s="43">
        <v>5.66</v>
      </c>
      <c r="N8" s="43">
        <v>0.85000000000000009</v>
      </c>
      <c r="O8" s="1"/>
      <c r="P8" s="1"/>
      <c r="Q8" s="1"/>
      <c r="R8" s="1"/>
      <c r="S8" s="1"/>
      <c r="T8" s="1"/>
      <c r="U8" s="1"/>
      <c r="V8" s="1">
        <f t="shared" si="0"/>
        <v>2.14</v>
      </c>
      <c r="W8" s="43">
        <f t="shared" si="1"/>
        <v>0.55000000000000004</v>
      </c>
      <c r="X8" s="43">
        <f t="shared" si="2"/>
        <v>5.66</v>
      </c>
      <c r="Y8" s="43">
        <f t="shared" si="3"/>
        <v>0.85000000000000009</v>
      </c>
      <c r="Z8" s="43"/>
      <c r="AA8" s="43">
        <v>214</v>
      </c>
      <c r="AB8" s="43">
        <v>11</v>
      </c>
      <c r="AC8" s="43">
        <v>5.66</v>
      </c>
      <c r="AD8" s="43">
        <v>17</v>
      </c>
    </row>
    <row r="9" spans="1:30" ht="14">
      <c r="A9" s="39" t="s">
        <v>622</v>
      </c>
      <c r="B9" s="99" t="s">
        <v>625</v>
      </c>
      <c r="C9" s="34" t="s">
        <v>626</v>
      </c>
      <c r="D9" s="41">
        <v>128</v>
      </c>
      <c r="E9" s="41">
        <v>0</v>
      </c>
      <c r="F9" s="41">
        <v>5.36</v>
      </c>
      <c r="G9" s="41">
        <v>2</v>
      </c>
      <c r="H9" s="1"/>
      <c r="I9" s="218" t="s">
        <v>190</v>
      </c>
      <c r="J9" s="217" t="s">
        <v>757</v>
      </c>
      <c r="K9" s="43">
        <v>2.88</v>
      </c>
      <c r="L9" s="43">
        <v>0.60000000000000009</v>
      </c>
      <c r="M9" s="43">
        <v>4.76</v>
      </c>
      <c r="N9" s="43">
        <v>0.70000000000000007</v>
      </c>
      <c r="O9" s="1"/>
      <c r="P9" s="1"/>
      <c r="Q9" s="1"/>
      <c r="R9" s="1"/>
      <c r="S9" s="1"/>
      <c r="T9" s="1"/>
      <c r="U9" s="1"/>
      <c r="V9" s="1">
        <f t="shared" si="0"/>
        <v>2.88</v>
      </c>
      <c r="W9" s="43">
        <f t="shared" si="1"/>
        <v>0.60000000000000009</v>
      </c>
      <c r="X9" s="43">
        <f t="shared" si="2"/>
        <v>4.76</v>
      </c>
      <c r="Y9" s="43">
        <f t="shared" si="3"/>
        <v>0.70000000000000007</v>
      </c>
      <c r="Z9" s="43"/>
      <c r="AA9" s="43">
        <v>288</v>
      </c>
      <c r="AB9" s="43">
        <v>12</v>
      </c>
      <c r="AC9" s="43">
        <v>4.76</v>
      </c>
      <c r="AD9" s="43">
        <v>14</v>
      </c>
    </row>
    <row r="10" spans="1:30" ht="14">
      <c r="A10" s="39" t="s">
        <v>622</v>
      </c>
      <c r="B10" s="99" t="s">
        <v>625</v>
      </c>
      <c r="C10" s="34" t="s">
        <v>627</v>
      </c>
      <c r="D10" s="41">
        <v>145</v>
      </c>
      <c r="E10" s="41">
        <v>38</v>
      </c>
      <c r="F10" s="41">
        <v>11.64</v>
      </c>
      <c r="G10" s="41">
        <v>21</v>
      </c>
      <c r="H10" s="1"/>
      <c r="I10" s="218" t="s">
        <v>190</v>
      </c>
      <c r="J10" s="217" t="s">
        <v>121</v>
      </c>
      <c r="K10" s="43">
        <v>2.25</v>
      </c>
      <c r="L10" s="43">
        <v>0.15000000000000002</v>
      </c>
      <c r="M10" s="43">
        <v>4.58</v>
      </c>
      <c r="N10" s="43">
        <v>0.85000000000000009</v>
      </c>
      <c r="O10" s="1"/>
      <c r="P10" s="1"/>
      <c r="Q10" s="1"/>
      <c r="R10" s="1"/>
      <c r="S10" s="1"/>
      <c r="T10" s="1"/>
      <c r="U10" s="1"/>
      <c r="V10" s="1">
        <f t="shared" si="0"/>
        <v>2.25</v>
      </c>
      <c r="W10" s="43">
        <f t="shared" si="1"/>
        <v>0.15000000000000002</v>
      </c>
      <c r="X10" s="43">
        <f t="shared" si="2"/>
        <v>4.58</v>
      </c>
      <c r="Y10" s="43">
        <f t="shared" si="3"/>
        <v>0.85000000000000009</v>
      </c>
      <c r="Z10" s="43"/>
      <c r="AA10" s="43">
        <v>225</v>
      </c>
      <c r="AB10" s="43">
        <v>3</v>
      </c>
      <c r="AC10" s="43">
        <v>4.58</v>
      </c>
      <c r="AD10" s="43">
        <v>17</v>
      </c>
    </row>
    <row r="11" spans="1:30" ht="14">
      <c r="A11" s="39"/>
      <c r="B11" s="99"/>
      <c r="C11" s="34"/>
      <c r="D11" s="41"/>
      <c r="E11" s="41"/>
      <c r="F11" s="41"/>
      <c r="G11" s="41"/>
      <c r="H11" s="1"/>
      <c r="I11" s="218"/>
      <c r="J11" s="214" t="s">
        <v>763</v>
      </c>
      <c r="K11" s="215" t="s">
        <v>144</v>
      </c>
      <c r="L11" s="215" t="s">
        <v>620</v>
      </c>
      <c r="M11" s="215" t="s">
        <v>621</v>
      </c>
      <c r="N11" s="215" t="s">
        <v>5</v>
      </c>
      <c r="O11" s="1"/>
      <c r="P11" s="1"/>
      <c r="Q11" s="1"/>
      <c r="R11" s="1"/>
      <c r="S11" s="1"/>
      <c r="T11" s="1"/>
      <c r="U11" s="1"/>
      <c r="V11" s="1" t="e">
        <f t="shared" si="0"/>
        <v>#VALUE!</v>
      </c>
      <c r="W11" s="43" t="e">
        <f t="shared" si="1"/>
        <v>#VALUE!</v>
      </c>
      <c r="X11" s="43" t="str">
        <f t="shared" si="2"/>
        <v>PL Per Minute</v>
      </c>
      <c r="Y11" s="43" t="e">
        <f t="shared" si="3"/>
        <v>#VALUE!</v>
      </c>
      <c r="Z11" s="43"/>
      <c r="AA11" s="215" t="s">
        <v>144</v>
      </c>
      <c r="AB11" s="215" t="s">
        <v>620</v>
      </c>
      <c r="AC11" s="215" t="s">
        <v>621</v>
      </c>
      <c r="AD11" s="215" t="s">
        <v>5</v>
      </c>
    </row>
    <row r="12" spans="1:30" ht="14">
      <c r="A12" s="39" t="s">
        <v>622</v>
      </c>
      <c r="B12" s="99" t="s">
        <v>625</v>
      </c>
      <c r="C12" s="34" t="s">
        <v>628</v>
      </c>
      <c r="D12" s="41">
        <v>152</v>
      </c>
      <c r="E12" s="41">
        <v>36</v>
      </c>
      <c r="F12" s="41">
        <v>11.2</v>
      </c>
      <c r="G12" s="41">
        <v>18</v>
      </c>
      <c r="H12" s="1" t="s">
        <v>764</v>
      </c>
      <c r="I12" s="218" t="s">
        <v>189</v>
      </c>
      <c r="J12" s="217" t="s">
        <v>756</v>
      </c>
      <c r="K12" s="43">
        <v>4.76</v>
      </c>
      <c r="L12" s="43">
        <v>3.8000000000000003</v>
      </c>
      <c r="M12" s="43">
        <v>8.33</v>
      </c>
      <c r="N12" s="43">
        <v>1.7000000000000002</v>
      </c>
      <c r="O12" s="1"/>
      <c r="P12" s="1"/>
      <c r="Q12" s="1"/>
      <c r="R12" s="1"/>
      <c r="S12" s="1"/>
      <c r="T12" s="1"/>
      <c r="U12" s="1"/>
      <c r="V12" s="1">
        <f t="shared" si="0"/>
        <v>4.76</v>
      </c>
      <c r="W12" s="43">
        <f t="shared" si="1"/>
        <v>3.8000000000000003</v>
      </c>
      <c r="X12" s="43">
        <f t="shared" si="2"/>
        <v>8.33</v>
      </c>
      <c r="Y12" s="43">
        <f t="shared" si="3"/>
        <v>1.7000000000000002</v>
      </c>
      <c r="Z12" s="43"/>
      <c r="AA12" s="43">
        <v>476</v>
      </c>
      <c r="AB12" s="43">
        <v>76</v>
      </c>
      <c r="AC12" s="43">
        <v>8.33</v>
      </c>
      <c r="AD12" s="43">
        <v>34</v>
      </c>
    </row>
    <row r="13" spans="1:30" ht="14">
      <c r="A13" s="39" t="s">
        <v>622</v>
      </c>
      <c r="B13" s="99" t="s">
        <v>625</v>
      </c>
      <c r="C13" s="34" t="s">
        <v>629</v>
      </c>
      <c r="D13" s="41">
        <v>134</v>
      </c>
      <c r="E13" s="41">
        <v>21</v>
      </c>
      <c r="F13" s="41">
        <v>10.119999999999999</v>
      </c>
      <c r="G13" s="41">
        <v>20</v>
      </c>
      <c r="H13" s="1"/>
      <c r="I13" s="218" t="s">
        <v>189</v>
      </c>
      <c r="J13" s="217" t="s">
        <v>625</v>
      </c>
      <c r="K13" s="43">
        <v>2.82</v>
      </c>
      <c r="L13" s="43">
        <v>1.2000000000000002</v>
      </c>
      <c r="M13" s="43">
        <v>7.77</v>
      </c>
      <c r="N13" s="43">
        <v>0.9</v>
      </c>
      <c r="O13" s="1"/>
      <c r="P13" s="1"/>
      <c r="Q13" s="1"/>
      <c r="R13" s="1"/>
      <c r="S13" s="1"/>
      <c r="T13" s="1"/>
      <c r="U13" s="1"/>
      <c r="V13" s="1">
        <f t="shared" si="0"/>
        <v>2.82</v>
      </c>
      <c r="W13" s="43">
        <f t="shared" si="1"/>
        <v>1.2000000000000002</v>
      </c>
      <c r="X13" s="43">
        <f t="shared" si="2"/>
        <v>7.77</v>
      </c>
      <c r="Y13" s="43">
        <f t="shared" si="3"/>
        <v>0.9</v>
      </c>
      <c r="Z13" s="43"/>
      <c r="AA13" s="43">
        <v>282</v>
      </c>
      <c r="AB13" s="43">
        <v>24</v>
      </c>
      <c r="AC13" s="43">
        <v>7.77</v>
      </c>
      <c r="AD13" s="43">
        <v>18</v>
      </c>
    </row>
    <row r="14" spans="1:30" ht="14">
      <c r="A14" s="39" t="s">
        <v>622</v>
      </c>
      <c r="B14" s="99" t="s">
        <v>625</v>
      </c>
      <c r="C14" s="34" t="s">
        <v>630</v>
      </c>
      <c r="D14" s="41">
        <v>134</v>
      </c>
      <c r="E14" s="41">
        <v>34</v>
      </c>
      <c r="F14" s="41">
        <v>10.11</v>
      </c>
      <c r="G14" s="41">
        <v>20</v>
      </c>
      <c r="H14" s="1"/>
      <c r="I14" s="218" t="s">
        <v>189</v>
      </c>
      <c r="J14" s="217" t="s">
        <v>757</v>
      </c>
      <c r="K14" s="43">
        <v>5.67</v>
      </c>
      <c r="L14" s="43">
        <v>4.3500000000000005</v>
      </c>
      <c r="M14" s="43">
        <v>7.82</v>
      </c>
      <c r="N14" s="43">
        <v>1.3</v>
      </c>
      <c r="O14" s="1"/>
      <c r="P14" s="1"/>
      <c r="Q14" s="1"/>
      <c r="R14" s="1"/>
      <c r="S14" s="1"/>
      <c r="T14" s="1"/>
      <c r="U14" s="1"/>
      <c r="V14" s="1">
        <f t="shared" si="0"/>
        <v>5.67</v>
      </c>
      <c r="W14" s="43">
        <f t="shared" si="1"/>
        <v>4.3500000000000005</v>
      </c>
      <c r="X14" s="43">
        <f t="shared" si="2"/>
        <v>7.82</v>
      </c>
      <c r="Y14" s="43">
        <f t="shared" si="3"/>
        <v>1.3</v>
      </c>
      <c r="Z14" s="43"/>
      <c r="AA14" s="43">
        <v>567</v>
      </c>
      <c r="AB14" s="43">
        <v>87</v>
      </c>
      <c r="AC14" s="43">
        <v>7.82</v>
      </c>
      <c r="AD14" s="43">
        <v>26</v>
      </c>
    </row>
    <row r="15" spans="1:30" ht="14">
      <c r="A15" s="39" t="s">
        <v>622</v>
      </c>
      <c r="B15" s="99" t="s">
        <v>625</v>
      </c>
      <c r="C15" s="44" t="s">
        <v>631</v>
      </c>
      <c r="D15" s="45">
        <v>693</v>
      </c>
      <c r="E15" s="45">
        <v>129</v>
      </c>
      <c r="F15" s="45">
        <v>9.07</v>
      </c>
      <c r="G15" s="45">
        <v>81</v>
      </c>
      <c r="H15" s="1"/>
      <c r="I15" s="218" t="s">
        <v>189</v>
      </c>
      <c r="J15" s="217" t="s">
        <v>121</v>
      </c>
      <c r="K15" s="43">
        <v>5.59</v>
      </c>
      <c r="L15" s="43">
        <v>4.9000000000000004</v>
      </c>
      <c r="M15" s="43">
        <v>8.5</v>
      </c>
      <c r="N15" s="43">
        <v>1.85</v>
      </c>
      <c r="O15" s="1"/>
      <c r="P15" s="1"/>
      <c r="Q15" s="1"/>
      <c r="R15" s="1"/>
      <c r="S15" s="1"/>
      <c r="T15" s="1"/>
      <c r="U15" s="1"/>
      <c r="V15" s="1">
        <f t="shared" si="0"/>
        <v>5.59</v>
      </c>
      <c r="W15" s="43">
        <f t="shared" si="1"/>
        <v>4.9000000000000004</v>
      </c>
      <c r="X15" s="43">
        <f t="shared" si="2"/>
        <v>8.5</v>
      </c>
      <c r="Y15" s="43">
        <f t="shared" si="3"/>
        <v>1.85</v>
      </c>
      <c r="Z15" s="43"/>
      <c r="AA15" s="43">
        <v>559</v>
      </c>
      <c r="AB15" s="43">
        <v>98</v>
      </c>
      <c r="AC15" s="43">
        <v>8.5</v>
      </c>
      <c r="AD15" s="43">
        <v>37</v>
      </c>
    </row>
    <row r="16" spans="1:30" ht="14">
      <c r="A16" s="39"/>
      <c r="B16" s="99"/>
      <c r="C16" s="34"/>
      <c r="D16" s="41"/>
      <c r="E16" s="41"/>
      <c r="F16" s="41"/>
      <c r="G16" s="41"/>
      <c r="H16" s="1"/>
      <c r="I16" s="218"/>
      <c r="J16" s="214" t="s">
        <v>763</v>
      </c>
      <c r="K16" s="215" t="s">
        <v>144</v>
      </c>
      <c r="L16" s="215" t="s">
        <v>620</v>
      </c>
      <c r="M16" s="215" t="s">
        <v>621</v>
      </c>
      <c r="N16" s="215" t="s">
        <v>5</v>
      </c>
      <c r="O16" s="1"/>
      <c r="P16" s="1"/>
      <c r="Q16" s="1"/>
      <c r="R16" s="1"/>
      <c r="S16" s="1"/>
      <c r="T16" s="1"/>
      <c r="U16" s="1"/>
      <c r="V16" s="1" t="e">
        <f t="shared" si="0"/>
        <v>#VALUE!</v>
      </c>
      <c r="W16" s="43" t="e">
        <f t="shared" si="1"/>
        <v>#VALUE!</v>
      </c>
      <c r="X16" s="43" t="str">
        <f t="shared" si="2"/>
        <v>PL Per Minute</v>
      </c>
      <c r="Y16" s="43" t="e">
        <f t="shared" si="3"/>
        <v>#VALUE!</v>
      </c>
      <c r="Z16" s="43"/>
      <c r="AA16" s="215" t="s">
        <v>144</v>
      </c>
      <c r="AB16" s="215" t="s">
        <v>620</v>
      </c>
      <c r="AC16" s="215" t="s">
        <v>621</v>
      </c>
      <c r="AD16" s="215" t="s">
        <v>5</v>
      </c>
    </row>
    <row r="17" spans="1:30" ht="14">
      <c r="A17" s="39" t="s">
        <v>622</v>
      </c>
      <c r="B17" s="99" t="s">
        <v>757</v>
      </c>
      <c r="C17" s="34" t="s">
        <v>626</v>
      </c>
      <c r="D17" s="41">
        <v>166</v>
      </c>
      <c r="E17" s="41">
        <v>3</v>
      </c>
      <c r="F17" s="41">
        <v>4.4400000000000004</v>
      </c>
      <c r="G17" s="41">
        <v>5</v>
      </c>
      <c r="H17" s="1"/>
      <c r="I17" s="218" t="s">
        <v>157</v>
      </c>
      <c r="J17" s="217" t="s">
        <v>756</v>
      </c>
      <c r="K17" s="43">
        <v>425</v>
      </c>
      <c r="L17" s="43">
        <v>31</v>
      </c>
      <c r="M17" s="43">
        <v>7.33</v>
      </c>
      <c r="N17" s="43">
        <v>21</v>
      </c>
      <c r="O17" s="1"/>
      <c r="P17" s="1"/>
      <c r="Q17" s="1"/>
      <c r="R17" s="1"/>
      <c r="S17" s="1"/>
      <c r="T17" s="1"/>
      <c r="U17" s="1"/>
      <c r="V17" s="1">
        <f t="shared" si="0"/>
        <v>4.25</v>
      </c>
      <c r="W17" s="43">
        <f t="shared" si="1"/>
        <v>1.55</v>
      </c>
      <c r="X17" s="43">
        <f t="shared" si="2"/>
        <v>7.33</v>
      </c>
      <c r="Y17" s="43">
        <f t="shared" si="3"/>
        <v>1.05</v>
      </c>
      <c r="Z17" s="43"/>
      <c r="AA17" s="43">
        <v>425</v>
      </c>
      <c r="AB17" s="43">
        <v>31</v>
      </c>
      <c r="AC17" s="43">
        <v>7.33</v>
      </c>
      <c r="AD17" s="43">
        <v>21</v>
      </c>
    </row>
    <row r="18" spans="1:30" ht="14">
      <c r="A18" s="39" t="s">
        <v>622</v>
      </c>
      <c r="B18" s="99" t="s">
        <v>757</v>
      </c>
      <c r="C18" s="34" t="s">
        <v>627</v>
      </c>
      <c r="D18" s="41">
        <v>160</v>
      </c>
      <c r="E18" s="41">
        <v>37</v>
      </c>
      <c r="F18" s="41">
        <v>11.92</v>
      </c>
      <c r="G18" s="41">
        <v>23</v>
      </c>
      <c r="H18" s="1"/>
      <c r="I18" s="218" t="s">
        <v>157</v>
      </c>
      <c r="J18" s="217" t="s">
        <v>625</v>
      </c>
      <c r="K18" s="43">
        <v>379</v>
      </c>
      <c r="L18" s="43">
        <v>57</v>
      </c>
      <c r="M18" s="43">
        <v>7.9</v>
      </c>
      <c r="N18" s="43">
        <v>30</v>
      </c>
      <c r="O18" s="1"/>
      <c r="P18" s="1"/>
      <c r="Q18" s="1"/>
      <c r="R18" s="1"/>
      <c r="S18" s="1"/>
      <c r="T18" s="1"/>
      <c r="U18" s="1"/>
      <c r="V18" s="1">
        <f t="shared" si="0"/>
        <v>3.79</v>
      </c>
      <c r="W18" s="43">
        <f t="shared" si="1"/>
        <v>2.85</v>
      </c>
      <c r="X18" s="43">
        <f t="shared" si="2"/>
        <v>7.9</v>
      </c>
      <c r="Y18" s="43">
        <f t="shared" si="3"/>
        <v>1.5</v>
      </c>
      <c r="Z18" s="43"/>
      <c r="AA18" s="43">
        <v>379</v>
      </c>
      <c r="AB18" s="43">
        <v>57</v>
      </c>
      <c r="AC18" s="43">
        <v>7.9</v>
      </c>
      <c r="AD18" s="43">
        <v>30</v>
      </c>
    </row>
    <row r="19" spans="1:30" ht="14">
      <c r="A19" s="39" t="s">
        <v>622</v>
      </c>
      <c r="B19" s="99" t="s">
        <v>757</v>
      </c>
      <c r="C19" s="34" t="s">
        <v>628</v>
      </c>
      <c r="D19" s="41">
        <v>95</v>
      </c>
      <c r="E19" s="41">
        <v>22</v>
      </c>
      <c r="F19" s="41">
        <v>11.54</v>
      </c>
      <c r="G19" s="41">
        <v>9</v>
      </c>
      <c r="H19" s="1"/>
      <c r="I19" s="218" t="s">
        <v>157</v>
      </c>
      <c r="J19" s="217" t="s">
        <v>757</v>
      </c>
      <c r="K19" s="43">
        <v>574</v>
      </c>
      <c r="L19" s="43">
        <v>69</v>
      </c>
      <c r="M19" s="43">
        <v>7.15</v>
      </c>
      <c r="N19" s="43">
        <v>44</v>
      </c>
      <c r="O19" s="1"/>
      <c r="P19" s="1"/>
      <c r="Q19" s="1"/>
      <c r="R19" s="1"/>
      <c r="S19" s="1"/>
      <c r="T19" s="1"/>
      <c r="U19" s="1"/>
      <c r="V19" s="1">
        <f t="shared" si="0"/>
        <v>5.74</v>
      </c>
      <c r="W19" s="43">
        <f t="shared" si="1"/>
        <v>3.45</v>
      </c>
      <c r="X19" s="43">
        <f t="shared" si="2"/>
        <v>7.15</v>
      </c>
      <c r="Y19" s="43">
        <f t="shared" si="3"/>
        <v>2.2000000000000002</v>
      </c>
      <c r="Z19" s="43"/>
      <c r="AA19" s="43">
        <v>574</v>
      </c>
      <c r="AB19" s="43">
        <v>69</v>
      </c>
      <c r="AC19" s="43">
        <v>7.15</v>
      </c>
      <c r="AD19" s="43">
        <v>44</v>
      </c>
    </row>
    <row r="20" spans="1:30" ht="14">
      <c r="A20" s="39" t="s">
        <v>622</v>
      </c>
      <c r="B20" s="99" t="s">
        <v>757</v>
      </c>
      <c r="C20" s="34" t="s">
        <v>629</v>
      </c>
      <c r="D20" s="41">
        <v>118</v>
      </c>
      <c r="E20" s="41">
        <v>27</v>
      </c>
      <c r="F20" s="41">
        <v>10.41</v>
      </c>
      <c r="G20" s="41">
        <v>23</v>
      </c>
      <c r="H20" s="1"/>
      <c r="I20" s="218" t="s">
        <v>157</v>
      </c>
      <c r="J20" s="217" t="s">
        <v>121</v>
      </c>
      <c r="K20" s="43">
        <v>535</v>
      </c>
      <c r="L20" s="43">
        <v>52</v>
      </c>
      <c r="M20" s="43">
        <v>7.01</v>
      </c>
      <c r="N20" s="43">
        <v>40</v>
      </c>
      <c r="O20" s="1"/>
      <c r="P20" s="1"/>
      <c r="Q20" s="1"/>
      <c r="R20" s="1"/>
      <c r="S20" s="1"/>
      <c r="T20" s="1"/>
      <c r="U20" s="1"/>
      <c r="V20" s="1">
        <f t="shared" si="0"/>
        <v>5.35</v>
      </c>
      <c r="W20" s="43">
        <f t="shared" si="1"/>
        <v>2.6</v>
      </c>
      <c r="X20" s="43">
        <f t="shared" si="2"/>
        <v>7.01</v>
      </c>
      <c r="Y20" s="43">
        <f t="shared" si="3"/>
        <v>2</v>
      </c>
      <c r="Z20" s="43"/>
      <c r="AA20" s="43">
        <v>535</v>
      </c>
      <c r="AB20" s="43">
        <v>52</v>
      </c>
      <c r="AC20" s="43">
        <v>7.01</v>
      </c>
      <c r="AD20" s="43">
        <v>40</v>
      </c>
    </row>
    <row r="21" spans="1:30" ht="14">
      <c r="A21" s="39"/>
      <c r="B21" s="99"/>
      <c r="C21" s="34"/>
      <c r="D21" s="41"/>
      <c r="E21" s="41"/>
      <c r="F21" s="41"/>
      <c r="G21" s="41"/>
      <c r="H21" s="1"/>
      <c r="I21" s="218"/>
      <c r="J21" s="214" t="s">
        <v>763</v>
      </c>
      <c r="K21" s="215" t="s">
        <v>144</v>
      </c>
      <c r="L21" s="215" t="s">
        <v>620</v>
      </c>
      <c r="M21" s="215" t="s">
        <v>621</v>
      </c>
      <c r="N21" s="215" t="s">
        <v>5</v>
      </c>
      <c r="O21" s="1"/>
      <c r="P21" s="1"/>
      <c r="Q21" s="1"/>
      <c r="R21" s="1"/>
      <c r="S21" s="1"/>
      <c r="T21" s="1"/>
      <c r="U21" s="1"/>
      <c r="V21" s="1" t="e">
        <f t="shared" si="0"/>
        <v>#VALUE!</v>
      </c>
      <c r="W21" s="43" t="e">
        <f t="shared" si="1"/>
        <v>#VALUE!</v>
      </c>
      <c r="X21" s="43" t="str">
        <f t="shared" si="2"/>
        <v>PL Per Minute</v>
      </c>
      <c r="Y21" s="43" t="e">
        <f t="shared" si="3"/>
        <v>#VALUE!</v>
      </c>
      <c r="Z21" s="43"/>
      <c r="AA21" s="215" t="s">
        <v>144</v>
      </c>
      <c r="AB21" s="215" t="s">
        <v>620</v>
      </c>
      <c r="AC21" s="215" t="s">
        <v>621</v>
      </c>
      <c r="AD21" s="215" t="s">
        <v>5</v>
      </c>
    </row>
    <row r="22" spans="1:30" ht="14">
      <c r="A22" s="39" t="s">
        <v>622</v>
      </c>
      <c r="B22" s="99" t="s">
        <v>757</v>
      </c>
      <c r="C22" s="34" t="s">
        <v>630</v>
      </c>
      <c r="D22" s="41">
        <v>67</v>
      </c>
      <c r="E22" s="41">
        <v>16</v>
      </c>
      <c r="F22" s="41">
        <v>11.63</v>
      </c>
      <c r="G22" s="41">
        <v>9</v>
      </c>
      <c r="H22" s="1"/>
      <c r="I22" s="218" t="s">
        <v>159</v>
      </c>
      <c r="J22" s="217" t="s">
        <v>756</v>
      </c>
      <c r="K22" s="43">
        <v>543</v>
      </c>
      <c r="L22" s="43">
        <v>58</v>
      </c>
      <c r="M22" s="43">
        <v>7.63</v>
      </c>
      <c r="N22" s="43">
        <v>21</v>
      </c>
      <c r="O22" s="1"/>
      <c r="P22" s="1"/>
      <c r="Q22" s="1"/>
      <c r="R22" s="1"/>
      <c r="S22" s="1"/>
      <c r="T22" s="1"/>
      <c r="U22" s="1"/>
      <c r="V22" s="1">
        <f t="shared" si="0"/>
        <v>5.43</v>
      </c>
      <c r="W22" s="43">
        <f t="shared" si="1"/>
        <v>2.9000000000000004</v>
      </c>
      <c r="X22" s="43">
        <f t="shared" si="2"/>
        <v>7.63</v>
      </c>
      <c r="Y22" s="43">
        <f t="shared" si="3"/>
        <v>1.05</v>
      </c>
      <c r="Z22" s="43"/>
      <c r="AA22" s="43">
        <v>543</v>
      </c>
      <c r="AB22" s="43">
        <v>58</v>
      </c>
      <c r="AC22" s="43">
        <v>7.63</v>
      </c>
      <c r="AD22" s="43">
        <v>21</v>
      </c>
    </row>
    <row r="23" spans="1:30" ht="14">
      <c r="A23" s="39" t="s">
        <v>622</v>
      </c>
      <c r="B23" s="99" t="s">
        <v>757</v>
      </c>
      <c r="C23" s="44" t="s">
        <v>631</v>
      </c>
      <c r="D23" s="45">
        <v>606</v>
      </c>
      <c r="E23" s="45">
        <v>105</v>
      </c>
      <c r="F23" s="45">
        <v>7.95</v>
      </c>
      <c r="G23" s="45">
        <v>69</v>
      </c>
      <c r="H23" s="1"/>
      <c r="I23" s="218" t="s">
        <v>159</v>
      </c>
      <c r="J23" s="217" t="s">
        <v>625</v>
      </c>
      <c r="K23" s="43">
        <v>635</v>
      </c>
      <c r="L23" s="43">
        <v>88</v>
      </c>
      <c r="M23" s="43">
        <v>8.1</v>
      </c>
      <c r="N23" s="43">
        <v>44</v>
      </c>
      <c r="O23" s="1"/>
      <c r="P23" s="1"/>
      <c r="Q23" s="1"/>
      <c r="R23" s="1"/>
      <c r="S23" s="1"/>
      <c r="T23" s="1"/>
      <c r="U23" s="1"/>
      <c r="V23" s="1">
        <f t="shared" si="0"/>
        <v>6.35</v>
      </c>
      <c r="W23" s="43">
        <f t="shared" si="1"/>
        <v>4.4000000000000004</v>
      </c>
      <c r="X23" s="43">
        <f t="shared" si="2"/>
        <v>8.1</v>
      </c>
      <c r="Y23" s="43">
        <f t="shared" si="3"/>
        <v>2.2000000000000002</v>
      </c>
      <c r="Z23" s="43"/>
      <c r="AA23" s="43">
        <v>635</v>
      </c>
      <c r="AB23" s="43">
        <v>88</v>
      </c>
      <c r="AC23" s="43">
        <v>8.1</v>
      </c>
      <c r="AD23" s="43">
        <v>44</v>
      </c>
    </row>
    <row r="24" spans="1:30" ht="14">
      <c r="A24" s="39" t="s">
        <v>622</v>
      </c>
      <c r="B24" s="99" t="s">
        <v>121</v>
      </c>
      <c r="C24" s="34" t="s">
        <v>626</v>
      </c>
      <c r="D24" s="41">
        <v>120</v>
      </c>
      <c r="E24" s="41">
        <v>1</v>
      </c>
      <c r="F24" s="41">
        <v>4.46</v>
      </c>
      <c r="G24" s="41">
        <v>2</v>
      </c>
      <c r="H24" s="1"/>
      <c r="I24" s="218" t="s">
        <v>159</v>
      </c>
      <c r="J24" s="217" t="s">
        <v>757</v>
      </c>
      <c r="K24" s="43">
        <v>593</v>
      </c>
      <c r="L24" s="43">
        <v>88</v>
      </c>
      <c r="M24" s="43">
        <v>7.12</v>
      </c>
      <c r="N24" s="43">
        <v>31</v>
      </c>
      <c r="O24" s="1"/>
      <c r="P24" s="1"/>
      <c r="Q24" s="1"/>
      <c r="R24" s="1"/>
      <c r="S24" s="1"/>
      <c r="T24" s="1"/>
      <c r="U24" s="1"/>
      <c r="V24" s="1">
        <f t="shared" si="0"/>
        <v>5.93</v>
      </c>
      <c r="W24" s="43">
        <f t="shared" si="1"/>
        <v>4.4000000000000004</v>
      </c>
      <c r="X24" s="43">
        <f t="shared" si="2"/>
        <v>7.12</v>
      </c>
      <c r="Y24" s="43">
        <f t="shared" si="3"/>
        <v>1.55</v>
      </c>
      <c r="Z24" s="43"/>
      <c r="AA24" s="43">
        <v>593</v>
      </c>
      <c r="AB24" s="43">
        <v>88</v>
      </c>
      <c r="AC24" s="43">
        <v>7.12</v>
      </c>
      <c r="AD24" s="43">
        <v>31</v>
      </c>
    </row>
    <row r="25" spans="1:30" ht="14">
      <c r="A25" s="39" t="s">
        <v>622</v>
      </c>
      <c r="B25" s="99" t="s">
        <v>121</v>
      </c>
      <c r="C25" s="34" t="s">
        <v>627</v>
      </c>
      <c r="D25" s="41">
        <v>176</v>
      </c>
      <c r="E25" s="41">
        <v>40</v>
      </c>
      <c r="F25" s="41">
        <v>11.69</v>
      </c>
      <c r="G25" s="41">
        <v>26</v>
      </c>
      <c r="H25" s="1"/>
      <c r="I25" s="218" t="s">
        <v>159</v>
      </c>
      <c r="J25" s="217" t="s">
        <v>121</v>
      </c>
      <c r="K25" s="43">
        <v>693</v>
      </c>
      <c r="L25" s="43">
        <v>107</v>
      </c>
      <c r="M25" s="43">
        <v>7.8</v>
      </c>
      <c r="N25" s="43">
        <v>49</v>
      </c>
      <c r="O25" s="1"/>
      <c r="P25" s="1"/>
      <c r="Q25" s="1"/>
      <c r="R25" s="1"/>
      <c r="S25" s="1"/>
      <c r="T25" s="1"/>
      <c r="U25" s="1"/>
      <c r="V25" s="1">
        <f t="shared" si="0"/>
        <v>6.93</v>
      </c>
      <c r="W25" s="43">
        <f t="shared" si="1"/>
        <v>5.3500000000000005</v>
      </c>
      <c r="X25" s="43">
        <f t="shared" si="2"/>
        <v>7.8</v>
      </c>
      <c r="Y25" s="43">
        <f t="shared" si="3"/>
        <v>2.4500000000000002</v>
      </c>
      <c r="Z25" s="43"/>
      <c r="AA25" s="43">
        <v>693</v>
      </c>
      <c r="AB25" s="43">
        <v>107</v>
      </c>
      <c r="AC25" s="43">
        <v>7.8</v>
      </c>
      <c r="AD25" s="43">
        <v>49</v>
      </c>
    </row>
    <row r="26" spans="1:30" ht="14">
      <c r="A26" s="39"/>
      <c r="B26" s="99"/>
      <c r="C26" s="34"/>
      <c r="D26" s="41"/>
      <c r="E26" s="41"/>
      <c r="F26" s="41"/>
      <c r="G26" s="41"/>
      <c r="H26" s="1"/>
      <c r="I26" s="218"/>
      <c r="J26" s="214" t="s">
        <v>763</v>
      </c>
      <c r="K26" s="215" t="s">
        <v>144</v>
      </c>
      <c r="L26" s="215" t="s">
        <v>620</v>
      </c>
      <c r="M26" s="215" t="s">
        <v>621</v>
      </c>
      <c r="N26" s="215" t="s">
        <v>5</v>
      </c>
      <c r="O26" s="1"/>
      <c r="P26" s="1"/>
      <c r="Q26" s="1"/>
      <c r="R26" s="1"/>
      <c r="S26" s="1"/>
      <c r="T26" s="1"/>
      <c r="U26" s="1"/>
      <c r="V26" s="1" t="e">
        <f t="shared" si="0"/>
        <v>#VALUE!</v>
      </c>
      <c r="W26" s="43" t="e">
        <f t="shared" si="1"/>
        <v>#VALUE!</v>
      </c>
      <c r="X26" s="43" t="str">
        <f t="shared" si="2"/>
        <v>PL Per Minute</v>
      </c>
      <c r="Y26" s="43" t="e">
        <f t="shared" si="3"/>
        <v>#VALUE!</v>
      </c>
      <c r="Z26" s="43"/>
      <c r="AA26" s="215" t="s">
        <v>144</v>
      </c>
      <c r="AB26" s="215" t="s">
        <v>620</v>
      </c>
      <c r="AC26" s="215" t="s">
        <v>621</v>
      </c>
      <c r="AD26" s="215" t="s">
        <v>5</v>
      </c>
    </row>
    <row r="27" spans="1:30" ht="14">
      <c r="A27" s="39" t="s">
        <v>622</v>
      </c>
      <c r="B27" s="99" t="s">
        <v>121</v>
      </c>
      <c r="C27" s="34" t="s">
        <v>628</v>
      </c>
      <c r="D27" s="41">
        <v>123</v>
      </c>
      <c r="E27" s="41">
        <v>33</v>
      </c>
      <c r="F27" s="41">
        <v>10.83</v>
      </c>
      <c r="G27" s="41">
        <v>16</v>
      </c>
      <c r="H27" s="1"/>
      <c r="I27" s="218" t="s">
        <v>638</v>
      </c>
      <c r="J27" s="217" t="s">
        <v>625</v>
      </c>
      <c r="K27" s="43">
        <v>530</v>
      </c>
      <c r="L27" s="43">
        <v>89</v>
      </c>
      <c r="M27" s="43">
        <v>8.94</v>
      </c>
      <c r="N27" s="43">
        <v>71</v>
      </c>
      <c r="O27" s="1"/>
      <c r="P27" s="1"/>
      <c r="Q27" s="1"/>
      <c r="R27" s="1"/>
      <c r="S27" s="1"/>
      <c r="T27" s="1"/>
      <c r="U27" s="1"/>
      <c r="V27" s="1">
        <f t="shared" si="0"/>
        <v>5.3</v>
      </c>
      <c r="W27" s="43">
        <f t="shared" si="1"/>
        <v>4.45</v>
      </c>
      <c r="X27" s="43">
        <f t="shared" si="2"/>
        <v>8.94</v>
      </c>
      <c r="Y27" s="43">
        <f t="shared" si="3"/>
        <v>3.5500000000000003</v>
      </c>
      <c r="Z27" s="43"/>
      <c r="AA27" s="43">
        <v>530</v>
      </c>
      <c r="AB27" s="43">
        <v>89</v>
      </c>
      <c r="AC27" s="43">
        <v>8.94</v>
      </c>
      <c r="AD27" s="43">
        <v>71</v>
      </c>
    </row>
    <row r="28" spans="1:30" ht="14">
      <c r="A28" s="39" t="s">
        <v>622</v>
      </c>
      <c r="B28" s="99" t="s">
        <v>121</v>
      </c>
      <c r="C28" s="34" t="s">
        <v>629</v>
      </c>
      <c r="D28" s="41">
        <v>80</v>
      </c>
      <c r="E28" s="41">
        <v>16</v>
      </c>
      <c r="F28" s="41">
        <v>10.72</v>
      </c>
      <c r="G28" s="41">
        <v>11</v>
      </c>
      <c r="H28" s="1"/>
      <c r="I28" s="218" t="s">
        <v>638</v>
      </c>
      <c r="J28" s="217" t="s">
        <v>757</v>
      </c>
      <c r="K28" s="43">
        <v>699</v>
      </c>
      <c r="L28" s="43">
        <v>130</v>
      </c>
      <c r="M28" s="43">
        <v>7.84</v>
      </c>
      <c r="N28" s="43">
        <v>88</v>
      </c>
      <c r="O28" s="1"/>
      <c r="P28" s="1"/>
      <c r="Q28" s="1"/>
      <c r="R28" s="1"/>
      <c r="S28" s="1"/>
      <c r="T28" s="1"/>
      <c r="U28" s="1"/>
      <c r="V28" s="1">
        <f t="shared" si="0"/>
        <v>6.99</v>
      </c>
      <c r="W28" s="43">
        <f t="shared" si="1"/>
        <v>6.5</v>
      </c>
      <c r="X28" s="43">
        <f t="shared" si="2"/>
        <v>7.84</v>
      </c>
      <c r="Y28" s="43">
        <f t="shared" si="3"/>
        <v>4.4000000000000004</v>
      </c>
      <c r="Z28" s="43"/>
      <c r="AA28" s="43">
        <v>699</v>
      </c>
      <c r="AB28" s="43">
        <v>130</v>
      </c>
      <c r="AC28" s="43">
        <v>7.84</v>
      </c>
      <c r="AD28" s="43">
        <v>88</v>
      </c>
    </row>
    <row r="29" spans="1:30" ht="14">
      <c r="A29" s="39" t="s">
        <v>622</v>
      </c>
      <c r="B29" s="99" t="s">
        <v>121</v>
      </c>
      <c r="C29" s="44" t="s">
        <v>631</v>
      </c>
      <c r="D29" s="45">
        <v>499</v>
      </c>
      <c r="E29" s="45">
        <v>90</v>
      </c>
      <c r="F29" s="45">
        <v>8.2100000000000009</v>
      </c>
      <c r="G29" s="45">
        <v>55</v>
      </c>
      <c r="H29" s="1"/>
      <c r="I29" s="218" t="s">
        <v>638</v>
      </c>
      <c r="J29" s="217" t="s">
        <v>121</v>
      </c>
      <c r="K29" s="43">
        <v>359</v>
      </c>
      <c r="L29" s="43">
        <v>47</v>
      </c>
      <c r="M29" s="43">
        <v>6.86</v>
      </c>
      <c r="N29" s="43">
        <v>35</v>
      </c>
      <c r="O29" s="1"/>
      <c r="P29" s="1"/>
      <c r="Q29" s="1"/>
      <c r="R29" s="1"/>
      <c r="S29" s="1"/>
      <c r="T29" s="1"/>
      <c r="U29" s="1"/>
      <c r="V29" s="1">
        <f t="shared" si="0"/>
        <v>3.59</v>
      </c>
      <c r="W29" s="43">
        <f t="shared" si="1"/>
        <v>2.35</v>
      </c>
      <c r="X29" s="43">
        <f t="shared" si="2"/>
        <v>6.86</v>
      </c>
      <c r="Y29" s="43">
        <f t="shared" si="3"/>
        <v>1.75</v>
      </c>
      <c r="Z29" s="43"/>
      <c r="AA29" s="43">
        <v>359</v>
      </c>
      <c r="AB29" s="43">
        <v>47</v>
      </c>
      <c r="AC29" s="43">
        <v>6.86</v>
      </c>
      <c r="AD29" s="43">
        <v>35</v>
      </c>
    </row>
    <row r="30" spans="1:30" ht="14">
      <c r="A30" s="39"/>
      <c r="B30" s="99"/>
      <c r="C30" s="34"/>
      <c r="D30" s="41"/>
      <c r="E30" s="41"/>
      <c r="F30" s="41"/>
      <c r="G30" s="41"/>
      <c r="H30" s="1"/>
      <c r="I30" s="218"/>
      <c r="J30" s="214" t="s">
        <v>763</v>
      </c>
      <c r="K30" s="215" t="s">
        <v>144</v>
      </c>
      <c r="L30" s="215" t="s">
        <v>620</v>
      </c>
      <c r="M30" s="215" t="s">
        <v>621</v>
      </c>
      <c r="N30" s="215" t="s">
        <v>5</v>
      </c>
      <c r="O30" s="1"/>
      <c r="P30" s="1"/>
      <c r="Q30" s="1"/>
      <c r="R30" s="1"/>
      <c r="S30" s="1"/>
      <c r="T30" s="1"/>
      <c r="U30" s="1"/>
      <c r="V30" s="1" t="e">
        <f t="shared" si="0"/>
        <v>#VALUE!</v>
      </c>
      <c r="W30" s="43" t="e">
        <f t="shared" si="1"/>
        <v>#VALUE!</v>
      </c>
      <c r="X30" s="43" t="str">
        <f t="shared" si="2"/>
        <v>PL Per Minute</v>
      </c>
      <c r="Y30" s="43" t="e">
        <f t="shared" si="3"/>
        <v>#VALUE!</v>
      </c>
      <c r="Z30" s="43"/>
      <c r="AA30" s="215" t="s">
        <v>144</v>
      </c>
      <c r="AB30" s="215" t="s">
        <v>620</v>
      </c>
      <c r="AC30" s="215" t="s">
        <v>621</v>
      </c>
      <c r="AD30" s="215" t="s">
        <v>5</v>
      </c>
    </row>
    <row r="31" spans="1:30" ht="14">
      <c r="A31" s="39" t="s">
        <v>149</v>
      </c>
      <c r="B31" s="99" t="s">
        <v>756</v>
      </c>
      <c r="C31" s="34" t="s">
        <v>626</v>
      </c>
      <c r="D31" s="41">
        <v>222</v>
      </c>
      <c r="E31" s="41">
        <v>21</v>
      </c>
      <c r="F31" s="41">
        <v>6.41</v>
      </c>
      <c r="G31" s="41">
        <v>9</v>
      </c>
      <c r="H31" s="1"/>
      <c r="I31" s="218" t="s">
        <v>589</v>
      </c>
      <c r="J31" s="217" t="s">
        <v>756</v>
      </c>
      <c r="K31" s="43">
        <v>350</v>
      </c>
      <c r="L31" s="43">
        <v>24</v>
      </c>
      <c r="M31" s="43">
        <v>6.55</v>
      </c>
      <c r="N31" s="43">
        <v>58</v>
      </c>
      <c r="O31" s="1"/>
      <c r="P31" s="1"/>
      <c r="Q31" s="1"/>
      <c r="R31" s="1"/>
      <c r="S31" s="1"/>
      <c r="T31" s="1"/>
      <c r="U31" s="1"/>
      <c r="V31" s="1">
        <f t="shared" si="0"/>
        <v>3.5</v>
      </c>
      <c r="W31" s="43">
        <f t="shared" si="1"/>
        <v>1.2000000000000002</v>
      </c>
      <c r="X31" s="43">
        <f t="shared" si="2"/>
        <v>6.55</v>
      </c>
      <c r="Y31" s="43">
        <f t="shared" si="3"/>
        <v>2.9000000000000004</v>
      </c>
      <c r="Z31" s="43"/>
      <c r="AA31" s="43">
        <v>350</v>
      </c>
      <c r="AB31" s="43">
        <v>24</v>
      </c>
      <c r="AC31" s="43">
        <v>6.55</v>
      </c>
      <c r="AD31" s="43">
        <v>58</v>
      </c>
    </row>
    <row r="32" spans="1:30" ht="14">
      <c r="A32" s="39" t="s">
        <v>149</v>
      </c>
      <c r="B32" s="99" t="s">
        <v>756</v>
      </c>
      <c r="C32" s="34" t="s">
        <v>627</v>
      </c>
      <c r="D32" s="41">
        <v>84</v>
      </c>
      <c r="E32" s="41">
        <v>21</v>
      </c>
      <c r="F32" s="41">
        <v>15.52</v>
      </c>
      <c r="G32" s="41">
        <v>8</v>
      </c>
      <c r="H32" s="1"/>
      <c r="I32" s="218" t="s">
        <v>589</v>
      </c>
      <c r="J32" s="217" t="s">
        <v>757</v>
      </c>
      <c r="K32" s="43">
        <v>243</v>
      </c>
      <c r="L32" s="43">
        <v>14</v>
      </c>
      <c r="M32" s="43">
        <v>5.03</v>
      </c>
      <c r="N32" s="43">
        <v>26</v>
      </c>
      <c r="O32" s="1"/>
      <c r="P32" s="1"/>
      <c r="Q32" s="1"/>
      <c r="R32" s="1"/>
      <c r="S32" s="1"/>
      <c r="T32" s="1"/>
      <c r="U32" s="1"/>
      <c r="V32" s="1">
        <f t="shared" si="0"/>
        <v>2.4300000000000002</v>
      </c>
      <c r="W32" s="43">
        <f t="shared" si="1"/>
        <v>0.70000000000000007</v>
      </c>
      <c r="X32" s="43">
        <f t="shared" si="2"/>
        <v>5.03</v>
      </c>
      <c r="Y32" s="43">
        <f t="shared" si="3"/>
        <v>1.3</v>
      </c>
      <c r="Z32" s="43"/>
      <c r="AA32" s="43">
        <v>243</v>
      </c>
      <c r="AB32" s="43">
        <v>14</v>
      </c>
      <c r="AC32" s="43">
        <v>5.03</v>
      </c>
      <c r="AD32" s="43">
        <v>26</v>
      </c>
    </row>
    <row r="33" spans="1:30" ht="14">
      <c r="A33" s="39" t="s">
        <v>149</v>
      </c>
      <c r="B33" s="99" t="s">
        <v>756</v>
      </c>
      <c r="C33" s="34" t="s">
        <v>629</v>
      </c>
      <c r="D33" s="41">
        <v>64</v>
      </c>
      <c r="E33" s="41">
        <v>18</v>
      </c>
      <c r="F33" s="41">
        <v>13.36</v>
      </c>
      <c r="G33" s="41">
        <v>1</v>
      </c>
      <c r="H33" s="1"/>
      <c r="I33" s="218" t="s">
        <v>589</v>
      </c>
      <c r="J33" s="217" t="s">
        <v>121</v>
      </c>
      <c r="K33" s="43">
        <v>276</v>
      </c>
      <c r="L33" s="43">
        <v>33</v>
      </c>
      <c r="M33" s="43">
        <v>6.09</v>
      </c>
      <c r="N33" s="43">
        <v>37</v>
      </c>
      <c r="O33" s="1"/>
      <c r="P33" s="1"/>
      <c r="Q33" s="1"/>
      <c r="R33" s="1"/>
      <c r="S33" s="1"/>
      <c r="T33" s="1"/>
      <c r="U33" s="1"/>
      <c r="V33" s="1">
        <f t="shared" si="0"/>
        <v>2.76</v>
      </c>
      <c r="W33" s="43">
        <f t="shared" si="1"/>
        <v>1.6500000000000001</v>
      </c>
      <c r="X33" s="43">
        <f t="shared" si="2"/>
        <v>6.09</v>
      </c>
      <c r="Y33" s="43">
        <f t="shared" si="3"/>
        <v>1.85</v>
      </c>
      <c r="Z33" s="43"/>
      <c r="AA33" s="43">
        <v>276</v>
      </c>
      <c r="AB33" s="43">
        <v>33</v>
      </c>
      <c r="AC33" s="43">
        <v>6.09</v>
      </c>
      <c r="AD33" s="43">
        <v>37</v>
      </c>
    </row>
    <row r="34" spans="1:30" ht="14">
      <c r="A34" s="39"/>
      <c r="B34" s="99"/>
      <c r="C34" s="34"/>
      <c r="D34" s="41"/>
      <c r="E34" s="41"/>
      <c r="F34" s="41"/>
      <c r="G34" s="41"/>
      <c r="H34" s="1"/>
      <c r="I34" s="218"/>
      <c r="J34" s="214" t="s">
        <v>763</v>
      </c>
      <c r="K34" s="215" t="s">
        <v>144</v>
      </c>
      <c r="L34" s="215" t="s">
        <v>620</v>
      </c>
      <c r="M34" s="215" t="s">
        <v>621</v>
      </c>
      <c r="N34" s="215" t="s">
        <v>5</v>
      </c>
      <c r="O34" s="1"/>
      <c r="P34" s="1"/>
      <c r="Q34" s="1"/>
      <c r="R34" s="1"/>
      <c r="S34" s="1"/>
      <c r="T34" s="1"/>
      <c r="U34" s="1"/>
      <c r="V34" s="1" t="e">
        <f t="shared" si="0"/>
        <v>#VALUE!</v>
      </c>
      <c r="W34" s="43" t="e">
        <f t="shared" si="1"/>
        <v>#VALUE!</v>
      </c>
      <c r="X34" s="43" t="str">
        <f t="shared" si="2"/>
        <v>PL Per Minute</v>
      </c>
      <c r="Y34" s="43" t="e">
        <f t="shared" si="3"/>
        <v>#VALUE!</v>
      </c>
      <c r="Z34" s="43"/>
      <c r="AA34" s="215" t="s">
        <v>144</v>
      </c>
      <c r="AB34" s="215" t="s">
        <v>620</v>
      </c>
      <c r="AC34" s="215" t="s">
        <v>621</v>
      </c>
      <c r="AD34" s="215" t="s">
        <v>5</v>
      </c>
    </row>
    <row r="35" spans="1:30" ht="14">
      <c r="A35" s="39" t="s">
        <v>149</v>
      </c>
      <c r="B35" s="99" t="s">
        <v>756</v>
      </c>
      <c r="C35" s="34" t="s">
        <v>630</v>
      </c>
      <c r="D35" s="41">
        <v>115</v>
      </c>
      <c r="E35" s="41">
        <v>35</v>
      </c>
      <c r="F35" s="41">
        <v>12.02</v>
      </c>
      <c r="G35" s="41">
        <v>7</v>
      </c>
      <c r="H35" s="1"/>
      <c r="I35" s="218" t="s">
        <v>590</v>
      </c>
      <c r="J35" s="217" t="s">
        <v>756</v>
      </c>
      <c r="K35" s="43">
        <v>411</v>
      </c>
      <c r="L35" s="43">
        <v>42</v>
      </c>
      <c r="M35" s="43">
        <v>6.75</v>
      </c>
      <c r="N35" s="43">
        <v>28</v>
      </c>
      <c r="O35" s="1"/>
      <c r="P35" s="1"/>
      <c r="Q35" s="1"/>
      <c r="R35" s="1"/>
      <c r="S35" s="1"/>
      <c r="T35" s="1"/>
      <c r="U35" s="1"/>
      <c r="V35" s="1">
        <f t="shared" si="0"/>
        <v>4.1100000000000003</v>
      </c>
      <c r="W35" s="43">
        <f t="shared" si="1"/>
        <v>2.1</v>
      </c>
      <c r="X35" s="43">
        <f t="shared" si="2"/>
        <v>6.75</v>
      </c>
      <c r="Y35" s="43">
        <f t="shared" si="3"/>
        <v>1.4000000000000001</v>
      </c>
      <c r="Z35" s="43"/>
      <c r="AA35" s="43">
        <v>411</v>
      </c>
      <c r="AB35" s="43">
        <v>42</v>
      </c>
      <c r="AC35" s="43">
        <v>6.75</v>
      </c>
      <c r="AD35" s="43">
        <v>28</v>
      </c>
    </row>
    <row r="36" spans="1:30" ht="14">
      <c r="A36" s="39" t="s">
        <v>149</v>
      </c>
      <c r="B36" s="99" t="s">
        <v>756</v>
      </c>
      <c r="C36" s="44" t="s">
        <v>631</v>
      </c>
      <c r="D36" s="45">
        <v>485</v>
      </c>
      <c r="E36" s="45">
        <v>95</v>
      </c>
      <c r="F36" s="45">
        <v>8.92</v>
      </c>
      <c r="G36" s="45">
        <v>25</v>
      </c>
      <c r="H36" s="1"/>
      <c r="I36" s="218" t="s">
        <v>590</v>
      </c>
      <c r="J36" s="217" t="s">
        <v>625</v>
      </c>
      <c r="K36" s="43">
        <v>558</v>
      </c>
      <c r="L36" s="43">
        <v>57</v>
      </c>
      <c r="M36" s="43">
        <v>7.54</v>
      </c>
      <c r="N36" s="43">
        <v>50</v>
      </c>
      <c r="O36" s="1"/>
      <c r="P36" s="1"/>
      <c r="Q36" s="1"/>
      <c r="R36" s="1"/>
      <c r="S36" s="1"/>
      <c r="T36" s="1"/>
      <c r="U36" s="1"/>
      <c r="V36" s="1">
        <f t="shared" si="0"/>
        <v>5.58</v>
      </c>
      <c r="W36" s="43">
        <f t="shared" si="1"/>
        <v>2.85</v>
      </c>
      <c r="X36" s="43">
        <f t="shared" si="2"/>
        <v>7.54</v>
      </c>
      <c r="Y36" s="43">
        <f t="shared" si="3"/>
        <v>2.5</v>
      </c>
      <c r="Z36" s="43"/>
      <c r="AA36" s="43">
        <v>558</v>
      </c>
      <c r="AB36" s="43">
        <v>57</v>
      </c>
      <c r="AC36" s="43">
        <v>7.54</v>
      </c>
      <c r="AD36" s="43">
        <v>50</v>
      </c>
    </row>
    <row r="37" spans="1:30" ht="14">
      <c r="A37" s="39" t="s">
        <v>149</v>
      </c>
      <c r="B37" s="99" t="s">
        <v>625</v>
      </c>
      <c r="C37" s="34" t="s">
        <v>626</v>
      </c>
      <c r="D37" s="41">
        <v>191</v>
      </c>
      <c r="E37" s="41">
        <v>23</v>
      </c>
      <c r="F37" s="41">
        <v>8</v>
      </c>
      <c r="G37" s="41">
        <v>3</v>
      </c>
      <c r="H37" s="1"/>
      <c r="I37" s="218" t="s">
        <v>590</v>
      </c>
      <c r="J37" s="217" t="s">
        <v>757</v>
      </c>
      <c r="K37" s="43">
        <v>453</v>
      </c>
      <c r="L37" s="43">
        <v>48</v>
      </c>
      <c r="M37" s="43">
        <v>6.12</v>
      </c>
      <c r="N37" s="43">
        <v>42</v>
      </c>
      <c r="O37" s="1"/>
      <c r="P37" s="1"/>
      <c r="Q37" s="1"/>
      <c r="R37" s="1"/>
      <c r="S37" s="1"/>
      <c r="T37" s="1"/>
      <c r="U37" s="1"/>
      <c r="V37" s="1">
        <f t="shared" si="0"/>
        <v>4.53</v>
      </c>
      <c r="W37" s="43">
        <f t="shared" si="1"/>
        <v>2.4000000000000004</v>
      </c>
      <c r="X37" s="43">
        <f t="shared" si="2"/>
        <v>6.12</v>
      </c>
      <c r="Y37" s="43">
        <f t="shared" si="3"/>
        <v>2.1</v>
      </c>
      <c r="Z37" s="43"/>
      <c r="AA37" s="43">
        <v>453</v>
      </c>
      <c r="AB37" s="43">
        <v>48</v>
      </c>
      <c r="AC37" s="43">
        <v>6.12</v>
      </c>
      <c r="AD37" s="43">
        <v>42</v>
      </c>
    </row>
    <row r="38" spans="1:30" ht="14">
      <c r="A38" s="39" t="s">
        <v>149</v>
      </c>
      <c r="B38" s="99" t="s">
        <v>625</v>
      </c>
      <c r="C38" s="44" t="s">
        <v>631</v>
      </c>
      <c r="D38" s="45">
        <v>191</v>
      </c>
      <c r="E38" s="45">
        <v>23</v>
      </c>
      <c r="F38" s="45">
        <v>8</v>
      </c>
      <c r="G38" s="45">
        <v>3</v>
      </c>
      <c r="H38" s="1"/>
      <c r="I38" s="218" t="s">
        <v>590</v>
      </c>
      <c r="J38" s="217" t="s">
        <v>121</v>
      </c>
      <c r="K38" s="43">
        <v>392</v>
      </c>
      <c r="L38" s="43">
        <v>27</v>
      </c>
      <c r="M38" s="43">
        <v>6.4</v>
      </c>
      <c r="N38" s="43">
        <v>36</v>
      </c>
      <c r="O38" s="1"/>
      <c r="P38" s="1"/>
      <c r="Q38" s="1"/>
      <c r="R38" s="1"/>
      <c r="S38" s="1"/>
      <c r="T38" s="1"/>
      <c r="U38" s="1"/>
      <c r="V38" s="1">
        <f t="shared" si="0"/>
        <v>3.92</v>
      </c>
      <c r="W38" s="43">
        <f t="shared" si="1"/>
        <v>1.35</v>
      </c>
      <c r="X38" s="43">
        <f t="shared" si="2"/>
        <v>6.4</v>
      </c>
      <c r="Y38" s="43">
        <f t="shared" si="3"/>
        <v>1.8</v>
      </c>
      <c r="Z38" s="43"/>
      <c r="AA38" s="43">
        <v>392</v>
      </c>
      <c r="AB38" s="43">
        <v>27</v>
      </c>
      <c r="AC38" s="43">
        <v>6.4</v>
      </c>
      <c r="AD38" s="43">
        <v>36</v>
      </c>
    </row>
    <row r="39" spans="1:30" ht="14">
      <c r="A39" s="39"/>
      <c r="B39" s="99"/>
      <c r="C39" s="34"/>
      <c r="D39" s="41"/>
      <c r="E39" s="41"/>
      <c r="F39" s="41"/>
      <c r="G39" s="41"/>
      <c r="H39" s="1"/>
      <c r="I39" s="218"/>
      <c r="J39" s="214" t="s">
        <v>763</v>
      </c>
      <c r="K39" s="215" t="s">
        <v>144</v>
      </c>
      <c r="L39" s="215" t="s">
        <v>620</v>
      </c>
      <c r="M39" s="215" t="s">
        <v>621</v>
      </c>
      <c r="N39" s="215" t="s">
        <v>5</v>
      </c>
      <c r="O39" s="1"/>
      <c r="P39" s="1"/>
      <c r="Q39" s="1"/>
      <c r="R39" s="1"/>
      <c r="S39" s="1"/>
      <c r="T39" s="1"/>
      <c r="U39" s="1"/>
      <c r="V39" s="1" t="e">
        <f t="shared" si="0"/>
        <v>#VALUE!</v>
      </c>
      <c r="W39" s="43" t="e">
        <f t="shared" si="1"/>
        <v>#VALUE!</v>
      </c>
      <c r="X39" s="43" t="str">
        <f t="shared" si="2"/>
        <v>PL Per Minute</v>
      </c>
      <c r="Y39" s="43" t="e">
        <f t="shared" si="3"/>
        <v>#VALUE!</v>
      </c>
      <c r="Z39" s="43"/>
      <c r="AA39" s="215" t="s">
        <v>144</v>
      </c>
      <c r="AB39" s="215" t="s">
        <v>620</v>
      </c>
      <c r="AC39" s="215" t="s">
        <v>621</v>
      </c>
      <c r="AD39" s="215" t="s">
        <v>5</v>
      </c>
    </row>
    <row r="40" spans="1:30" ht="14">
      <c r="A40" s="39" t="s">
        <v>149</v>
      </c>
      <c r="B40" s="99" t="s">
        <v>757</v>
      </c>
      <c r="C40" s="34" t="s">
        <v>626</v>
      </c>
      <c r="D40" s="41">
        <v>221</v>
      </c>
      <c r="E40" s="41">
        <v>26</v>
      </c>
      <c r="F40" s="41">
        <v>5.89</v>
      </c>
      <c r="G40" s="41">
        <v>5</v>
      </c>
      <c r="H40" s="1"/>
      <c r="I40" s="218" t="s">
        <v>633</v>
      </c>
      <c r="J40" s="217" t="s">
        <v>756</v>
      </c>
      <c r="K40" s="43">
        <v>440</v>
      </c>
      <c r="L40" s="43">
        <v>24</v>
      </c>
      <c r="M40" s="43">
        <v>7.24</v>
      </c>
      <c r="N40" s="43">
        <v>37</v>
      </c>
      <c r="O40" s="1"/>
      <c r="P40" s="1"/>
      <c r="Q40" s="1"/>
      <c r="R40" s="1"/>
      <c r="S40" s="1"/>
      <c r="T40" s="1"/>
      <c r="U40" s="1"/>
      <c r="V40" s="1">
        <f t="shared" si="0"/>
        <v>4.4000000000000004</v>
      </c>
      <c r="W40" s="43">
        <f t="shared" si="1"/>
        <v>1.2000000000000002</v>
      </c>
      <c r="X40" s="43">
        <f t="shared" si="2"/>
        <v>7.24</v>
      </c>
      <c r="Y40" s="43">
        <f t="shared" si="3"/>
        <v>1.85</v>
      </c>
      <c r="Z40" s="43"/>
      <c r="AA40" s="43">
        <v>440</v>
      </c>
      <c r="AB40" s="43">
        <v>24</v>
      </c>
      <c r="AC40" s="43">
        <v>7.24</v>
      </c>
      <c r="AD40" s="43">
        <v>37</v>
      </c>
    </row>
    <row r="41" spans="1:30" ht="14">
      <c r="A41" s="39" t="s">
        <v>149</v>
      </c>
      <c r="B41" s="99" t="s">
        <v>757</v>
      </c>
      <c r="C41" s="44" t="s">
        <v>631</v>
      </c>
      <c r="D41" s="45">
        <v>221</v>
      </c>
      <c r="E41" s="45">
        <v>26</v>
      </c>
      <c r="F41" s="45">
        <v>5.89</v>
      </c>
      <c r="G41" s="45">
        <v>5</v>
      </c>
      <c r="H41" s="1"/>
      <c r="I41" s="218" t="s">
        <v>633</v>
      </c>
      <c r="J41" s="217" t="s">
        <v>625</v>
      </c>
      <c r="K41" s="43">
        <v>666</v>
      </c>
      <c r="L41" s="43">
        <v>38</v>
      </c>
      <c r="M41" s="43">
        <v>8</v>
      </c>
      <c r="N41" s="43">
        <v>67</v>
      </c>
      <c r="O41" s="1"/>
      <c r="P41" s="1"/>
      <c r="Q41" s="1"/>
      <c r="R41" s="1"/>
      <c r="S41" s="1"/>
      <c r="T41" s="1"/>
      <c r="U41" s="1"/>
      <c r="V41" s="1">
        <f t="shared" si="0"/>
        <v>6.66</v>
      </c>
      <c r="W41" s="43">
        <f t="shared" si="1"/>
        <v>1.9000000000000001</v>
      </c>
      <c r="X41" s="43">
        <f t="shared" si="2"/>
        <v>8</v>
      </c>
      <c r="Y41" s="43">
        <f t="shared" si="3"/>
        <v>3.35</v>
      </c>
      <c r="Z41" s="43"/>
      <c r="AA41" s="43">
        <v>666</v>
      </c>
      <c r="AB41" s="43">
        <v>38</v>
      </c>
      <c r="AC41" s="43">
        <v>8</v>
      </c>
      <c r="AD41" s="43">
        <v>67</v>
      </c>
    </row>
    <row r="42" spans="1:30" ht="14">
      <c r="A42" s="39" t="s">
        <v>149</v>
      </c>
      <c r="B42" s="99" t="s">
        <v>121</v>
      </c>
      <c r="C42" s="34" t="s">
        <v>626</v>
      </c>
      <c r="D42" s="41">
        <v>145</v>
      </c>
      <c r="E42" s="41">
        <v>11</v>
      </c>
      <c r="F42" s="41">
        <v>5.38</v>
      </c>
      <c r="G42" s="41">
        <v>2</v>
      </c>
      <c r="H42" s="1"/>
      <c r="I42" s="218" t="s">
        <v>633</v>
      </c>
      <c r="J42" s="217" t="s">
        <v>757</v>
      </c>
      <c r="K42" s="43">
        <v>714</v>
      </c>
      <c r="L42" s="43">
        <v>32</v>
      </c>
      <c r="M42" s="43">
        <v>6.98</v>
      </c>
      <c r="N42" s="43">
        <v>67</v>
      </c>
      <c r="O42" s="1"/>
      <c r="P42" s="1"/>
      <c r="Q42" s="1"/>
      <c r="R42" s="1"/>
      <c r="S42" s="1"/>
      <c r="T42" s="1"/>
      <c r="U42" s="1"/>
      <c r="V42" s="1">
        <f t="shared" si="0"/>
        <v>7.14</v>
      </c>
      <c r="W42" s="43">
        <f t="shared" si="1"/>
        <v>1.6</v>
      </c>
      <c r="X42" s="43">
        <f t="shared" si="2"/>
        <v>6.98</v>
      </c>
      <c r="Y42" s="43">
        <f t="shared" si="3"/>
        <v>3.35</v>
      </c>
      <c r="Z42" s="43"/>
      <c r="AA42" s="43">
        <v>714</v>
      </c>
      <c r="AB42" s="43">
        <v>32</v>
      </c>
      <c r="AC42" s="43">
        <v>6.98</v>
      </c>
      <c r="AD42" s="43">
        <v>67</v>
      </c>
    </row>
    <row r="43" spans="1:30" ht="14">
      <c r="A43" s="39" t="s">
        <v>149</v>
      </c>
      <c r="B43" s="99" t="s">
        <v>121</v>
      </c>
      <c r="C43" s="34" t="s">
        <v>629</v>
      </c>
      <c r="D43" s="41">
        <v>33</v>
      </c>
      <c r="E43" s="41">
        <v>15</v>
      </c>
      <c r="F43" s="41">
        <v>13.38</v>
      </c>
      <c r="G43" s="41">
        <v>2</v>
      </c>
      <c r="H43" s="1"/>
      <c r="I43" s="218" t="s">
        <v>633</v>
      </c>
      <c r="J43" s="217" t="s">
        <v>121</v>
      </c>
      <c r="K43" s="43">
        <v>700</v>
      </c>
      <c r="L43" s="43">
        <v>31</v>
      </c>
      <c r="M43" s="43">
        <v>7.16</v>
      </c>
      <c r="N43" s="43">
        <v>65</v>
      </c>
      <c r="O43" s="1"/>
      <c r="P43" s="1"/>
      <c r="Q43" s="1"/>
      <c r="R43" s="1"/>
      <c r="S43" s="1"/>
      <c r="T43" s="1"/>
      <c r="U43" s="1"/>
      <c r="V43" s="1">
        <f t="shared" si="0"/>
        <v>7</v>
      </c>
      <c r="W43" s="43">
        <f t="shared" si="1"/>
        <v>1.55</v>
      </c>
      <c r="X43" s="43">
        <f t="shared" si="2"/>
        <v>7.16</v>
      </c>
      <c r="Y43" s="43">
        <f t="shared" si="3"/>
        <v>3.25</v>
      </c>
      <c r="Z43" s="43"/>
      <c r="AA43" s="43">
        <v>700</v>
      </c>
      <c r="AB43" s="43">
        <v>31</v>
      </c>
      <c r="AC43" s="43">
        <v>7.16</v>
      </c>
      <c r="AD43" s="43">
        <v>65</v>
      </c>
    </row>
    <row r="44" spans="1:30" ht="15.75" customHeight="1">
      <c r="A44" s="39" t="s">
        <v>149</v>
      </c>
      <c r="B44" s="99" t="s">
        <v>121</v>
      </c>
      <c r="C44" s="44" t="s">
        <v>631</v>
      </c>
      <c r="D44" s="45">
        <v>178</v>
      </c>
      <c r="E44" s="45">
        <v>26</v>
      </c>
      <c r="F44" s="45">
        <v>6.06</v>
      </c>
      <c r="G44" s="45"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39" t="s">
        <v>190</v>
      </c>
      <c r="B45" s="99" t="s">
        <v>756</v>
      </c>
      <c r="C45" s="34" t="s">
        <v>626</v>
      </c>
      <c r="D45" s="41">
        <v>154</v>
      </c>
      <c r="E45" s="41">
        <v>3</v>
      </c>
      <c r="F45" s="41">
        <v>4.47</v>
      </c>
      <c r="G45" s="41">
        <v>12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39" t="s">
        <v>190</v>
      </c>
      <c r="B46" s="99" t="s">
        <v>756</v>
      </c>
      <c r="C46" s="34" t="s">
        <v>627</v>
      </c>
      <c r="D46" s="41">
        <v>73</v>
      </c>
      <c r="E46" s="41">
        <v>8</v>
      </c>
      <c r="F46" s="41">
        <v>12.19</v>
      </c>
      <c r="G46" s="41">
        <v>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39" t="s">
        <v>190</v>
      </c>
      <c r="B47" s="99" t="s">
        <v>756</v>
      </c>
      <c r="C47" s="34" t="s">
        <v>629</v>
      </c>
      <c r="D47" s="41">
        <v>69</v>
      </c>
      <c r="E47" s="41">
        <v>4</v>
      </c>
      <c r="F47" s="41">
        <v>7.81</v>
      </c>
      <c r="G47" s="41">
        <v>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39" t="s">
        <v>190</v>
      </c>
      <c r="B48" s="99" t="s">
        <v>756</v>
      </c>
      <c r="C48" s="34" t="s">
        <v>630</v>
      </c>
      <c r="D48" s="41">
        <v>72</v>
      </c>
      <c r="E48" s="41">
        <v>4</v>
      </c>
      <c r="F48" s="41">
        <v>7.15</v>
      </c>
      <c r="G48" s="41">
        <v>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39" t="s">
        <v>190</v>
      </c>
      <c r="B49" s="99" t="s">
        <v>756</v>
      </c>
      <c r="C49" s="44" t="s">
        <v>631</v>
      </c>
      <c r="D49" s="45">
        <v>368</v>
      </c>
      <c r="E49" s="45">
        <v>19</v>
      </c>
      <c r="F49" s="45">
        <v>6.2</v>
      </c>
      <c r="G49" s="45">
        <v>24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39" t="s">
        <v>190</v>
      </c>
      <c r="B50" s="99" t="s">
        <v>625</v>
      </c>
      <c r="C50" s="34" t="s">
        <v>626</v>
      </c>
      <c r="D50" s="41">
        <v>101</v>
      </c>
      <c r="E50" s="41">
        <v>1</v>
      </c>
      <c r="F50" s="41">
        <v>4.24</v>
      </c>
      <c r="G50" s="4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39" t="s">
        <v>190</v>
      </c>
      <c r="B51" s="99" t="s">
        <v>625</v>
      </c>
      <c r="C51" s="34" t="s">
        <v>627</v>
      </c>
      <c r="D51" s="41">
        <v>48</v>
      </c>
      <c r="E51" s="41">
        <v>3</v>
      </c>
      <c r="F51" s="41">
        <v>7.56</v>
      </c>
      <c r="G51" s="41">
        <v>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39" t="s">
        <v>190</v>
      </c>
      <c r="B52" s="99" t="s">
        <v>625</v>
      </c>
      <c r="C52" s="34" t="s">
        <v>628</v>
      </c>
      <c r="D52" s="41">
        <v>35</v>
      </c>
      <c r="E52" s="41">
        <v>2</v>
      </c>
      <c r="F52" s="41">
        <v>8.2799999999999994</v>
      </c>
      <c r="G52" s="41">
        <v>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3">
      <c r="A53" s="39" t="s">
        <v>190</v>
      </c>
      <c r="B53" s="99" t="s">
        <v>625</v>
      </c>
      <c r="C53" s="34" t="s">
        <v>629</v>
      </c>
      <c r="D53" s="41">
        <v>30</v>
      </c>
      <c r="E53" s="41">
        <v>5</v>
      </c>
      <c r="F53" s="41">
        <v>8.76</v>
      </c>
      <c r="G53" s="41">
        <v>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3">
      <c r="A54" s="39" t="s">
        <v>190</v>
      </c>
      <c r="B54" s="99" t="s">
        <v>625</v>
      </c>
      <c r="C54" s="44" t="s">
        <v>631</v>
      </c>
      <c r="D54" s="45">
        <v>214</v>
      </c>
      <c r="E54" s="45">
        <v>11</v>
      </c>
      <c r="F54" s="45">
        <v>5.66</v>
      </c>
      <c r="G54" s="45">
        <v>17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3">
      <c r="A55" s="39" t="s">
        <v>190</v>
      </c>
      <c r="B55" s="99" t="s">
        <v>757</v>
      </c>
      <c r="C55" s="34" t="s">
        <v>626</v>
      </c>
      <c r="D55" s="41">
        <v>112</v>
      </c>
      <c r="E55" s="41">
        <v>0</v>
      </c>
      <c r="F55" s="41">
        <v>2.99</v>
      </c>
      <c r="G55" s="41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3">
      <c r="A56" s="39" t="s">
        <v>190</v>
      </c>
      <c r="B56" s="99" t="s">
        <v>757</v>
      </c>
      <c r="C56" s="34" t="s">
        <v>627</v>
      </c>
      <c r="D56" s="41">
        <v>60</v>
      </c>
      <c r="E56" s="41">
        <v>3</v>
      </c>
      <c r="F56" s="41">
        <v>6.9</v>
      </c>
      <c r="G56" s="41">
        <v>6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3">
      <c r="A57" s="39" t="s">
        <v>190</v>
      </c>
      <c r="B57" s="99" t="s">
        <v>757</v>
      </c>
      <c r="C57" s="34" t="s">
        <v>628</v>
      </c>
      <c r="D57" s="41">
        <v>67</v>
      </c>
      <c r="E57" s="41">
        <v>5</v>
      </c>
      <c r="F57" s="41">
        <v>8.73</v>
      </c>
      <c r="G57" s="41"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3">
      <c r="A58" s="39" t="s">
        <v>190</v>
      </c>
      <c r="B58" s="99" t="s">
        <v>757</v>
      </c>
      <c r="C58" s="34" t="s">
        <v>629</v>
      </c>
      <c r="D58" s="41">
        <v>49</v>
      </c>
      <c r="E58" s="41">
        <v>4</v>
      </c>
      <c r="F58" s="41">
        <v>7.31</v>
      </c>
      <c r="G58" s="41">
        <v>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3">
      <c r="A59" s="39" t="s">
        <v>190</v>
      </c>
      <c r="B59" s="99" t="s">
        <v>757</v>
      </c>
      <c r="C59" s="44" t="s">
        <v>631</v>
      </c>
      <c r="D59" s="45">
        <v>288</v>
      </c>
      <c r="E59" s="45">
        <v>12</v>
      </c>
      <c r="F59" s="45">
        <v>4.76</v>
      </c>
      <c r="G59" s="45">
        <v>14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">
      <c r="A60" s="39" t="s">
        <v>190</v>
      </c>
      <c r="B60" s="99" t="s">
        <v>121</v>
      </c>
      <c r="C60" s="34" t="s">
        <v>626</v>
      </c>
      <c r="D60" s="41">
        <v>75</v>
      </c>
      <c r="E60" s="41">
        <v>0</v>
      </c>
      <c r="F60" s="41">
        <v>2.78</v>
      </c>
      <c r="G60" s="41">
        <v>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">
      <c r="A61" s="39" t="s">
        <v>190</v>
      </c>
      <c r="B61" s="99" t="s">
        <v>121</v>
      </c>
      <c r="C61" s="34" t="s">
        <v>627</v>
      </c>
      <c r="D61" s="41">
        <v>36</v>
      </c>
      <c r="E61" s="41">
        <v>1</v>
      </c>
      <c r="F61" s="41">
        <v>4.92</v>
      </c>
      <c r="G61" s="41">
        <v>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">
      <c r="A62" s="39" t="s">
        <v>190</v>
      </c>
      <c r="B62" s="99" t="s">
        <v>121</v>
      </c>
      <c r="C62" s="34" t="s">
        <v>628</v>
      </c>
      <c r="D62" s="41">
        <v>32</v>
      </c>
      <c r="E62" s="41">
        <v>1</v>
      </c>
      <c r="F62" s="41">
        <v>7.4</v>
      </c>
      <c r="G62" s="41">
        <v>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3">
      <c r="A63" s="39" t="s">
        <v>190</v>
      </c>
      <c r="B63" s="99" t="s">
        <v>121</v>
      </c>
      <c r="C63" s="34" t="s">
        <v>629</v>
      </c>
      <c r="D63" s="41">
        <v>36</v>
      </c>
      <c r="E63" s="41">
        <v>0</v>
      </c>
      <c r="F63" s="41">
        <v>7.73</v>
      </c>
      <c r="G63" s="41"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3">
      <c r="A64" s="39" t="s">
        <v>190</v>
      </c>
      <c r="B64" s="99" t="s">
        <v>121</v>
      </c>
      <c r="C64" s="34" t="s">
        <v>630</v>
      </c>
      <c r="D64" s="41">
        <v>46</v>
      </c>
      <c r="E64" s="41">
        <v>1</v>
      </c>
      <c r="F64" s="41">
        <v>7.82</v>
      </c>
      <c r="G64" s="41">
        <v>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3">
      <c r="A65" s="39" t="s">
        <v>190</v>
      </c>
      <c r="B65" s="99" t="s">
        <v>121</v>
      </c>
      <c r="C65" s="44" t="s">
        <v>631</v>
      </c>
      <c r="D65" s="45">
        <v>225</v>
      </c>
      <c r="E65" s="45">
        <v>3</v>
      </c>
      <c r="F65" s="45">
        <v>4.58</v>
      </c>
      <c r="G65" s="45">
        <v>17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3">
      <c r="A66" s="39" t="s">
        <v>189</v>
      </c>
      <c r="B66" s="99" t="s">
        <v>756</v>
      </c>
      <c r="C66" s="34" t="s">
        <v>626</v>
      </c>
      <c r="D66" s="41">
        <v>197</v>
      </c>
      <c r="E66" s="41">
        <v>12</v>
      </c>
      <c r="F66" s="41">
        <v>5.7</v>
      </c>
      <c r="G66" s="41">
        <v>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3">
      <c r="A67" s="39" t="s">
        <v>189</v>
      </c>
      <c r="B67" s="99" t="s">
        <v>756</v>
      </c>
      <c r="C67" s="34" t="s">
        <v>627</v>
      </c>
      <c r="D67" s="41">
        <v>103</v>
      </c>
      <c r="E67" s="41">
        <v>27</v>
      </c>
      <c r="F67" s="41">
        <v>14.02</v>
      </c>
      <c r="G67" s="41">
        <v>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3">
      <c r="A68" s="39" t="s">
        <v>189</v>
      </c>
      <c r="B68" s="99" t="s">
        <v>756</v>
      </c>
      <c r="C68" s="34" t="s">
        <v>628</v>
      </c>
      <c r="D68" s="41">
        <v>75</v>
      </c>
      <c r="E68" s="41">
        <v>13</v>
      </c>
      <c r="F68" s="41">
        <v>12.74</v>
      </c>
      <c r="G68" s="41">
        <v>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3">
      <c r="A69" s="39" t="s">
        <v>189</v>
      </c>
      <c r="B69" s="99" t="s">
        <v>756</v>
      </c>
      <c r="C69" s="34" t="s">
        <v>629</v>
      </c>
      <c r="D69" s="41">
        <v>48</v>
      </c>
      <c r="E69" s="41">
        <v>13</v>
      </c>
      <c r="F69" s="41">
        <v>11.22</v>
      </c>
      <c r="G69" s="41">
        <v>4</v>
      </c>
      <c r="H69" s="1" t="s">
        <v>590</v>
      </c>
      <c r="I69" s="1" t="s">
        <v>761</v>
      </c>
      <c r="J69" s="211" t="s">
        <v>631</v>
      </c>
      <c r="K69" s="45">
        <v>477</v>
      </c>
      <c r="L69" s="45">
        <v>16</v>
      </c>
      <c r="M69" s="45">
        <v>4.9400000000000004</v>
      </c>
      <c r="N69" s="45">
        <v>47</v>
      </c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">
      <c r="A70" s="39" t="s">
        <v>189</v>
      </c>
      <c r="B70" s="99" t="s">
        <v>756</v>
      </c>
      <c r="C70" s="34" t="s">
        <v>630</v>
      </c>
      <c r="D70" s="41">
        <v>54</v>
      </c>
      <c r="E70" s="41">
        <v>11</v>
      </c>
      <c r="F70" s="41">
        <v>10.4</v>
      </c>
      <c r="G70" s="41">
        <v>7</v>
      </c>
      <c r="H70" s="219" t="s">
        <v>590</v>
      </c>
      <c r="I70" s="212" t="s">
        <v>625</v>
      </c>
      <c r="J70" s="220" t="s">
        <v>631</v>
      </c>
      <c r="K70" s="43">
        <v>558</v>
      </c>
      <c r="L70" s="43">
        <v>57</v>
      </c>
      <c r="M70" s="43">
        <v>7.54</v>
      </c>
      <c r="N70" s="43">
        <v>50</v>
      </c>
      <c r="O70" s="214" t="str">
        <f t="shared" ref="O70:O75" si="4">IF(OR(H70="Aliyahna Morris", H70="Lulu Laditan-Twidale", H70="Taylor Barnes", H70="Gisella Maul", H70="Lola Donez"), "High Minute",
 IF(OR(H70="Sakima Walker", H70="Naya Ojukwu", H70="Claudia Langarita"), "Posts",
 "Development"))</f>
        <v>Posts</v>
      </c>
      <c r="Q70" s="21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">
      <c r="A71" s="39" t="s">
        <v>189</v>
      </c>
      <c r="B71" s="99" t="s">
        <v>756</v>
      </c>
      <c r="C71" s="44" t="s">
        <v>631</v>
      </c>
      <c r="D71" s="45">
        <v>476</v>
      </c>
      <c r="E71" s="45">
        <v>76</v>
      </c>
      <c r="F71" s="45">
        <v>8.33</v>
      </c>
      <c r="G71" s="45">
        <v>34</v>
      </c>
      <c r="H71" s="219" t="s">
        <v>590</v>
      </c>
      <c r="I71" s="212" t="s">
        <v>757</v>
      </c>
      <c r="J71" s="220" t="s">
        <v>631</v>
      </c>
      <c r="K71" s="43">
        <v>453</v>
      </c>
      <c r="L71" s="43">
        <v>48</v>
      </c>
      <c r="M71" s="43">
        <v>6.12</v>
      </c>
      <c r="N71" s="43">
        <v>42</v>
      </c>
      <c r="O71" s="214" t="str">
        <f t="shared" si="4"/>
        <v>Posts</v>
      </c>
      <c r="Q71" s="21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">
      <c r="A72" s="39" t="s">
        <v>189</v>
      </c>
      <c r="B72" s="99" t="s">
        <v>625</v>
      </c>
      <c r="C72" s="34" t="s">
        <v>626</v>
      </c>
      <c r="D72" s="41">
        <v>144</v>
      </c>
      <c r="E72" s="41">
        <v>2</v>
      </c>
      <c r="F72" s="41">
        <v>6.04</v>
      </c>
      <c r="G72" s="41">
        <v>2</v>
      </c>
      <c r="H72" s="219" t="s">
        <v>590</v>
      </c>
      <c r="I72" s="212" t="s">
        <v>121</v>
      </c>
      <c r="J72" s="220" t="s">
        <v>631</v>
      </c>
      <c r="K72" s="43">
        <v>392</v>
      </c>
      <c r="L72" s="43">
        <v>27</v>
      </c>
      <c r="M72" s="43">
        <v>6.4</v>
      </c>
      <c r="N72" s="43">
        <v>36</v>
      </c>
      <c r="O72" s="214" t="str">
        <f t="shared" si="4"/>
        <v>Posts</v>
      </c>
      <c r="Q72" s="21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">
      <c r="A73" s="39" t="s">
        <v>189</v>
      </c>
      <c r="B73" s="99" t="s">
        <v>625</v>
      </c>
      <c r="C73" s="34" t="s">
        <v>627</v>
      </c>
      <c r="D73" s="41">
        <v>31</v>
      </c>
      <c r="E73" s="41">
        <v>4</v>
      </c>
      <c r="F73" s="41">
        <v>11.58</v>
      </c>
      <c r="G73" s="41">
        <v>3</v>
      </c>
      <c r="H73" s="214" t="s">
        <v>590</v>
      </c>
      <c r="I73" s="212" t="s">
        <v>758</v>
      </c>
      <c r="J73" s="220" t="s">
        <v>631</v>
      </c>
      <c r="K73" s="43">
        <v>479</v>
      </c>
      <c r="L73" s="43">
        <v>47</v>
      </c>
      <c r="M73" s="43">
        <v>6.79</v>
      </c>
      <c r="N73" s="43">
        <v>63</v>
      </c>
      <c r="O73" s="214" t="str">
        <f t="shared" si="4"/>
        <v>Posts</v>
      </c>
      <c r="Q73" s="21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">
      <c r="A74" s="39" t="s">
        <v>189</v>
      </c>
      <c r="B74" s="99" t="s">
        <v>625</v>
      </c>
      <c r="C74" s="34" t="s">
        <v>628</v>
      </c>
      <c r="D74" s="41">
        <v>64</v>
      </c>
      <c r="E74" s="41">
        <v>12</v>
      </c>
      <c r="F74" s="41">
        <v>11.03</v>
      </c>
      <c r="G74" s="41">
        <v>7</v>
      </c>
      <c r="H74" s="214" t="s">
        <v>590</v>
      </c>
      <c r="I74" s="212" t="s">
        <v>759</v>
      </c>
      <c r="J74" s="220" t="s">
        <v>631</v>
      </c>
      <c r="K74" s="43">
        <v>518</v>
      </c>
      <c r="L74" s="43">
        <v>49</v>
      </c>
      <c r="M74" s="43">
        <v>6.66</v>
      </c>
      <c r="N74" s="43">
        <v>45</v>
      </c>
      <c r="O74" s="214" t="str">
        <f t="shared" si="4"/>
        <v>Posts</v>
      </c>
      <c r="Q74" s="21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">
      <c r="A75" s="39" t="s">
        <v>189</v>
      </c>
      <c r="B75" s="99" t="s">
        <v>625</v>
      </c>
      <c r="C75" s="34" t="s">
        <v>630</v>
      </c>
      <c r="D75" s="41">
        <v>42</v>
      </c>
      <c r="E75" s="41">
        <v>6</v>
      </c>
      <c r="F75" s="41">
        <v>10.81</v>
      </c>
      <c r="G75" s="41">
        <v>6</v>
      </c>
      <c r="H75" s="214" t="s">
        <v>590</v>
      </c>
      <c r="I75" s="212" t="s">
        <v>760</v>
      </c>
      <c r="J75" s="220" t="s">
        <v>631</v>
      </c>
      <c r="K75" s="43">
        <v>644</v>
      </c>
      <c r="L75" s="43">
        <v>47</v>
      </c>
      <c r="M75" s="43">
        <v>5.75</v>
      </c>
      <c r="N75" s="43">
        <v>47</v>
      </c>
      <c r="O75" s="214" t="str">
        <f t="shared" si="4"/>
        <v>Posts</v>
      </c>
      <c r="Q75" s="21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3">
      <c r="A76" s="39" t="s">
        <v>189</v>
      </c>
      <c r="B76" s="99" t="s">
        <v>625</v>
      </c>
      <c r="C76" s="44" t="s">
        <v>631</v>
      </c>
      <c r="D76" s="45">
        <v>282</v>
      </c>
      <c r="E76" s="45">
        <v>24</v>
      </c>
      <c r="F76" s="45">
        <v>7.77</v>
      </c>
      <c r="G76" s="45">
        <v>18</v>
      </c>
      <c r="H76" s="1"/>
      <c r="I76" s="1"/>
      <c r="J76" s="1"/>
      <c r="K76" s="1">
        <f t="shared" ref="K76:N76" si="5">AVERAGE(K69:K75)</f>
        <v>503</v>
      </c>
      <c r="L76" s="1">
        <f t="shared" si="5"/>
        <v>41.571428571428569</v>
      </c>
      <c r="M76" s="1">
        <f t="shared" si="5"/>
        <v>6.3142857142857149</v>
      </c>
      <c r="N76" s="1">
        <f t="shared" si="5"/>
        <v>47.142857142857146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3">
      <c r="A77" s="39" t="s">
        <v>189</v>
      </c>
      <c r="B77" s="99" t="s">
        <v>757</v>
      </c>
      <c r="C77" s="34" t="s">
        <v>626</v>
      </c>
      <c r="D77" s="41">
        <v>194</v>
      </c>
      <c r="E77" s="41">
        <v>9</v>
      </c>
      <c r="F77" s="41">
        <v>5.18</v>
      </c>
      <c r="G77" s="41">
        <v>2</v>
      </c>
      <c r="H77" s="1"/>
      <c r="I77" s="1"/>
      <c r="J77" s="1"/>
      <c r="K77" s="1"/>
      <c r="L77" s="1" t="s">
        <v>765</v>
      </c>
      <c r="M77" s="1">
        <v>60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3">
      <c r="A78" s="39" t="s">
        <v>189</v>
      </c>
      <c r="B78" s="99" t="s">
        <v>757</v>
      </c>
      <c r="C78" s="34" t="s">
        <v>627</v>
      </c>
      <c r="D78" s="41">
        <v>53</v>
      </c>
      <c r="E78" s="41">
        <v>8</v>
      </c>
      <c r="F78" s="41">
        <v>9.82</v>
      </c>
      <c r="G78" s="41">
        <v>6</v>
      </c>
      <c r="H78" s="1"/>
      <c r="I78" s="1"/>
      <c r="J78" s="1"/>
      <c r="K78" s="1"/>
      <c r="L78" s="1"/>
      <c r="M78" s="1">
        <f>M77*M76</f>
        <v>378.85714285714289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3">
      <c r="A79" s="39" t="s">
        <v>189</v>
      </c>
      <c r="B79" s="99" t="s">
        <v>757</v>
      </c>
      <c r="C79" s="34" t="s">
        <v>628</v>
      </c>
      <c r="D79" s="41">
        <v>188</v>
      </c>
      <c r="E79" s="41">
        <v>43</v>
      </c>
      <c r="F79" s="41">
        <v>10.59</v>
      </c>
      <c r="G79" s="41">
        <v>8</v>
      </c>
      <c r="H79" s="1"/>
      <c r="I79" s="1"/>
      <c r="J79" s="1"/>
      <c r="K79" s="1"/>
      <c r="L79" s="1"/>
      <c r="M79" s="1">
        <f>M78+150</f>
        <v>528.85714285714289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3">
      <c r="A80" s="39" t="s">
        <v>189</v>
      </c>
      <c r="B80" s="99" t="s">
        <v>757</v>
      </c>
      <c r="C80" s="34" t="s">
        <v>629</v>
      </c>
      <c r="D80" s="41">
        <v>62</v>
      </c>
      <c r="E80" s="41">
        <v>13</v>
      </c>
      <c r="F80" s="41">
        <v>9.51</v>
      </c>
      <c r="G80" s="41">
        <v>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3">
      <c r="A81" s="39" t="s">
        <v>189</v>
      </c>
      <c r="B81" s="99" t="s">
        <v>757</v>
      </c>
      <c r="C81" s="34" t="s">
        <v>630</v>
      </c>
      <c r="D81" s="41">
        <v>70</v>
      </c>
      <c r="E81" s="41">
        <v>14</v>
      </c>
      <c r="F81" s="41">
        <v>13.06</v>
      </c>
      <c r="G81" s="41">
        <v>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3">
      <c r="A82" s="39" t="s">
        <v>189</v>
      </c>
      <c r="B82" s="99" t="s">
        <v>757</v>
      </c>
      <c r="C82" s="44" t="s">
        <v>631</v>
      </c>
      <c r="D82" s="45">
        <v>567</v>
      </c>
      <c r="E82" s="45">
        <v>87</v>
      </c>
      <c r="F82" s="45">
        <v>7.82</v>
      </c>
      <c r="G82" s="45">
        <v>26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3">
      <c r="A83" s="39" t="s">
        <v>189</v>
      </c>
      <c r="B83" s="99" t="s">
        <v>121</v>
      </c>
      <c r="C83" s="34" t="s">
        <v>626</v>
      </c>
      <c r="D83" s="41">
        <v>145</v>
      </c>
      <c r="E83" s="41">
        <v>8</v>
      </c>
      <c r="F83" s="41">
        <v>5.37</v>
      </c>
      <c r="G83" s="4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3">
      <c r="A84" s="39" t="s">
        <v>189</v>
      </c>
      <c r="B84" s="99" t="s">
        <v>121</v>
      </c>
      <c r="C84" s="34" t="s">
        <v>627</v>
      </c>
      <c r="D84" s="41">
        <v>89</v>
      </c>
      <c r="E84" s="41">
        <v>22</v>
      </c>
      <c r="F84" s="41">
        <v>9.2100000000000009</v>
      </c>
      <c r="G84" s="41">
        <v>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3">
      <c r="A85" s="39" t="s">
        <v>189</v>
      </c>
      <c r="B85" s="99" t="s">
        <v>121</v>
      </c>
      <c r="C85" s="34" t="s">
        <v>628</v>
      </c>
      <c r="D85" s="41">
        <v>53</v>
      </c>
      <c r="E85" s="41">
        <v>18</v>
      </c>
      <c r="F85" s="41">
        <v>13.16</v>
      </c>
      <c r="G85" s="41">
        <v>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3">
      <c r="A86" s="39" t="s">
        <v>189</v>
      </c>
      <c r="B86" s="99" t="s">
        <v>121</v>
      </c>
      <c r="C86" s="34" t="s">
        <v>629</v>
      </c>
      <c r="D86" s="41">
        <v>113</v>
      </c>
      <c r="E86" s="41">
        <v>27</v>
      </c>
      <c r="F86" s="41">
        <v>12.7</v>
      </c>
      <c r="G86" s="41">
        <v>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3">
      <c r="A87" s="39" t="s">
        <v>189</v>
      </c>
      <c r="B87" s="99" t="s">
        <v>121</v>
      </c>
      <c r="C87" s="34" t="s">
        <v>630</v>
      </c>
      <c r="D87" s="41">
        <v>160</v>
      </c>
      <c r="E87" s="41">
        <v>23</v>
      </c>
      <c r="F87" s="41">
        <v>9.82</v>
      </c>
      <c r="G87" s="41">
        <v>14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3">
      <c r="A88" s="39" t="s">
        <v>189</v>
      </c>
      <c r="B88" s="99" t="s">
        <v>121</v>
      </c>
      <c r="C88" s="44" t="s">
        <v>631</v>
      </c>
      <c r="D88" s="45">
        <v>559</v>
      </c>
      <c r="E88" s="45">
        <v>98</v>
      </c>
      <c r="F88" s="45">
        <v>8.5</v>
      </c>
      <c r="G88" s="45">
        <v>37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">
      <c r="A89" s="39" t="s">
        <v>637</v>
      </c>
      <c r="B89" s="99" t="s">
        <v>756</v>
      </c>
      <c r="C89" s="34" t="s">
        <v>626</v>
      </c>
      <c r="D89" s="41">
        <v>186</v>
      </c>
      <c r="E89" s="41">
        <v>5</v>
      </c>
      <c r="F89" s="41">
        <v>5.37</v>
      </c>
      <c r="G89" s="41">
        <v>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3">
      <c r="A90" s="39" t="s">
        <v>637</v>
      </c>
      <c r="B90" s="99" t="s">
        <v>756</v>
      </c>
      <c r="C90" s="34" t="s">
        <v>627</v>
      </c>
      <c r="D90" s="41">
        <v>18</v>
      </c>
      <c r="E90" s="41">
        <v>3</v>
      </c>
      <c r="F90" s="41">
        <v>13.47</v>
      </c>
      <c r="G90" s="41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3">
      <c r="A91" s="39" t="s">
        <v>637</v>
      </c>
      <c r="B91" s="99" t="s">
        <v>756</v>
      </c>
      <c r="C91" s="34" t="s">
        <v>628</v>
      </c>
      <c r="D91" s="41">
        <v>83</v>
      </c>
      <c r="E91" s="41">
        <v>22</v>
      </c>
      <c r="F91" s="41">
        <v>12.35</v>
      </c>
      <c r="G91" s="41">
        <v>15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3">
      <c r="A92" s="39" t="s">
        <v>637</v>
      </c>
      <c r="B92" s="99" t="s">
        <v>756</v>
      </c>
      <c r="C92" s="34" t="s">
        <v>629</v>
      </c>
      <c r="D92" s="41">
        <v>96</v>
      </c>
      <c r="E92" s="41">
        <v>21</v>
      </c>
      <c r="F92" s="41">
        <v>10.85</v>
      </c>
      <c r="G92" s="41">
        <v>15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3">
      <c r="A93" s="39" t="s">
        <v>637</v>
      </c>
      <c r="B93" s="99" t="s">
        <v>756</v>
      </c>
      <c r="C93" s="34" t="s">
        <v>630</v>
      </c>
      <c r="D93" s="41">
        <v>167</v>
      </c>
      <c r="E93" s="41">
        <v>38</v>
      </c>
      <c r="F93" s="41">
        <v>9.7799999999999994</v>
      </c>
      <c r="G93" s="41">
        <v>23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3">
      <c r="A94" s="39" t="s">
        <v>637</v>
      </c>
      <c r="B94" s="99" t="s">
        <v>756</v>
      </c>
      <c r="C94" s="44" t="s">
        <v>631</v>
      </c>
      <c r="D94" s="45">
        <v>549</v>
      </c>
      <c r="E94" s="45">
        <v>89</v>
      </c>
      <c r="F94" s="45">
        <v>8.02</v>
      </c>
      <c r="G94" s="45">
        <v>57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">
      <c r="A95" s="39" t="s">
        <v>637</v>
      </c>
      <c r="B95" s="99" t="s">
        <v>625</v>
      </c>
      <c r="C95" s="34" t="s">
        <v>626</v>
      </c>
      <c r="D95" s="41">
        <v>151</v>
      </c>
      <c r="E95" s="41">
        <v>1</v>
      </c>
      <c r="F95" s="41">
        <v>6.32</v>
      </c>
      <c r="G95" s="41">
        <v>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">
      <c r="A96" s="39" t="s">
        <v>637</v>
      </c>
      <c r="B96" s="99" t="s">
        <v>625</v>
      </c>
      <c r="C96" s="34" t="s">
        <v>627</v>
      </c>
      <c r="D96" s="41">
        <v>6</v>
      </c>
      <c r="E96" s="41">
        <v>1</v>
      </c>
      <c r="F96" s="41">
        <v>5.71</v>
      </c>
      <c r="G96" s="41">
        <v>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3">
      <c r="A97" s="39" t="s">
        <v>637</v>
      </c>
      <c r="B97" s="99" t="s">
        <v>625</v>
      </c>
      <c r="C97" s="44" t="s">
        <v>631</v>
      </c>
      <c r="D97" s="45">
        <v>156</v>
      </c>
      <c r="E97" s="45">
        <v>2</v>
      </c>
      <c r="F97" s="45">
        <v>6.29</v>
      </c>
      <c r="G97" s="45">
        <v>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">
      <c r="A98" s="39" t="s">
        <v>637</v>
      </c>
      <c r="B98" s="99" t="s">
        <v>121</v>
      </c>
      <c r="C98" s="34" t="s">
        <v>626</v>
      </c>
      <c r="D98" s="41">
        <v>121</v>
      </c>
      <c r="E98" s="41">
        <v>1</v>
      </c>
      <c r="F98" s="41">
        <v>4.49</v>
      </c>
      <c r="G98" s="41">
        <v>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">
      <c r="A99" s="39" t="s">
        <v>637</v>
      </c>
      <c r="B99" s="99" t="s">
        <v>121</v>
      </c>
      <c r="C99" s="34" t="s">
        <v>627</v>
      </c>
      <c r="D99" s="41">
        <v>55</v>
      </c>
      <c r="E99" s="41">
        <v>15</v>
      </c>
      <c r="F99" s="41">
        <v>11.56</v>
      </c>
      <c r="G99" s="41">
        <v>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">
      <c r="A100" s="39" t="s">
        <v>637</v>
      </c>
      <c r="B100" s="99" t="s">
        <v>121</v>
      </c>
      <c r="C100" s="34" t="s">
        <v>628</v>
      </c>
      <c r="D100" s="41">
        <v>41</v>
      </c>
      <c r="E100" s="41">
        <v>8</v>
      </c>
      <c r="F100" s="41">
        <v>10.94</v>
      </c>
      <c r="G100" s="41">
        <v>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">
      <c r="A101" s="39" t="s">
        <v>637</v>
      </c>
      <c r="B101" s="99" t="s">
        <v>121</v>
      </c>
      <c r="C101" s="44" t="s">
        <v>631</v>
      </c>
      <c r="D101" s="45">
        <v>217</v>
      </c>
      <c r="E101" s="45">
        <v>24</v>
      </c>
      <c r="F101" s="45">
        <v>6.12</v>
      </c>
      <c r="G101" s="45">
        <v>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">
      <c r="A102" s="39" t="s">
        <v>634</v>
      </c>
      <c r="B102" s="99" t="s">
        <v>756</v>
      </c>
      <c r="C102" s="34" t="s">
        <v>626</v>
      </c>
      <c r="D102" s="41">
        <v>191</v>
      </c>
      <c r="E102" s="41">
        <v>5</v>
      </c>
      <c r="F102" s="41">
        <v>5.53</v>
      </c>
      <c r="G102" s="41">
        <v>14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">
      <c r="A103" s="39" t="s">
        <v>634</v>
      </c>
      <c r="B103" s="99" t="s">
        <v>756</v>
      </c>
      <c r="C103" s="34" t="s">
        <v>628</v>
      </c>
      <c r="D103" s="41">
        <v>116</v>
      </c>
      <c r="E103" s="41">
        <v>40</v>
      </c>
      <c r="F103" s="41">
        <v>13.41</v>
      </c>
      <c r="G103" s="41">
        <v>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">
      <c r="A104" s="39" t="s">
        <v>634</v>
      </c>
      <c r="B104" s="99" t="s">
        <v>756</v>
      </c>
      <c r="C104" s="34" t="s">
        <v>629</v>
      </c>
      <c r="D104" s="41">
        <v>63</v>
      </c>
      <c r="E104" s="41">
        <v>23</v>
      </c>
      <c r="F104" s="41">
        <v>12.71</v>
      </c>
      <c r="G104" s="41">
        <v>10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">
      <c r="A105" s="39" t="s">
        <v>634</v>
      </c>
      <c r="B105" s="99" t="s">
        <v>756</v>
      </c>
      <c r="C105" s="34" t="s">
        <v>630</v>
      </c>
      <c r="D105" s="41">
        <v>192</v>
      </c>
      <c r="E105" s="41">
        <v>48</v>
      </c>
      <c r="F105" s="41">
        <v>11.26</v>
      </c>
      <c r="G105" s="41">
        <v>15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">
      <c r="A106" s="39" t="s">
        <v>634</v>
      </c>
      <c r="B106" s="99" t="s">
        <v>756</v>
      </c>
      <c r="C106" s="44" t="s">
        <v>631</v>
      </c>
      <c r="D106" s="45">
        <v>562</v>
      </c>
      <c r="E106" s="45">
        <v>116</v>
      </c>
      <c r="F106" s="45">
        <v>8.6199999999999992</v>
      </c>
      <c r="G106" s="45">
        <v>48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">
      <c r="A107" s="39" t="s">
        <v>634</v>
      </c>
      <c r="B107" s="99" t="s">
        <v>625</v>
      </c>
      <c r="C107" s="34" t="s">
        <v>626</v>
      </c>
      <c r="D107" s="41">
        <v>146</v>
      </c>
      <c r="E107" s="41">
        <v>1</v>
      </c>
      <c r="F107" s="41">
        <v>6.1</v>
      </c>
      <c r="G107" s="41">
        <v>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">
      <c r="A108" s="39" t="s">
        <v>634</v>
      </c>
      <c r="B108" s="99" t="s">
        <v>625</v>
      </c>
      <c r="C108" s="44" t="s">
        <v>631</v>
      </c>
      <c r="D108" s="45">
        <v>146</v>
      </c>
      <c r="E108" s="45">
        <v>1</v>
      </c>
      <c r="F108" s="45">
        <v>6.1</v>
      </c>
      <c r="G108" s="45">
        <v>8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">
      <c r="A109" s="39" t="s">
        <v>634</v>
      </c>
      <c r="B109" s="99" t="s">
        <v>757</v>
      </c>
      <c r="C109" s="34" t="s">
        <v>626</v>
      </c>
      <c r="D109" s="41">
        <v>172</v>
      </c>
      <c r="E109" s="41">
        <v>3</v>
      </c>
      <c r="F109" s="41">
        <v>4.59</v>
      </c>
      <c r="G109" s="41">
        <v>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">
      <c r="A110" s="39" t="s">
        <v>634</v>
      </c>
      <c r="B110" s="99" t="s">
        <v>757</v>
      </c>
      <c r="C110" s="34" t="s">
        <v>628</v>
      </c>
      <c r="D110" s="41">
        <v>26</v>
      </c>
      <c r="E110" s="41">
        <v>8</v>
      </c>
      <c r="F110" s="41">
        <v>11.54</v>
      </c>
      <c r="G110" s="41">
        <v>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">
      <c r="A111" s="39" t="s">
        <v>634</v>
      </c>
      <c r="B111" s="99" t="s">
        <v>757</v>
      </c>
      <c r="C111" s="44" t="s">
        <v>631</v>
      </c>
      <c r="D111" s="45">
        <v>198</v>
      </c>
      <c r="E111" s="45">
        <v>11</v>
      </c>
      <c r="F111" s="45">
        <v>4.99</v>
      </c>
      <c r="G111" s="45">
        <v>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">
      <c r="A112" s="39" t="s">
        <v>634</v>
      </c>
      <c r="B112" s="99" t="s">
        <v>121</v>
      </c>
      <c r="C112" s="34" t="s">
        <v>626</v>
      </c>
      <c r="D112" s="41">
        <v>129</v>
      </c>
      <c r="E112" s="41">
        <v>1</v>
      </c>
      <c r="F112" s="41">
        <v>4.7699999999999996</v>
      </c>
      <c r="G112" s="41">
        <v>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">
      <c r="A113" s="39" t="s">
        <v>634</v>
      </c>
      <c r="B113" s="99" t="s">
        <v>121</v>
      </c>
      <c r="C113" s="34" t="s">
        <v>628</v>
      </c>
      <c r="D113" s="41">
        <v>98</v>
      </c>
      <c r="E113" s="41">
        <v>29</v>
      </c>
      <c r="F113" s="41">
        <v>11.7</v>
      </c>
      <c r="G113" s="41">
        <v>12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">
      <c r="A114" s="39" t="s">
        <v>634</v>
      </c>
      <c r="B114" s="99" t="s">
        <v>121</v>
      </c>
      <c r="C114" s="44" t="s">
        <v>631</v>
      </c>
      <c r="D114" s="45">
        <v>226</v>
      </c>
      <c r="E114" s="45">
        <v>30</v>
      </c>
      <c r="F114" s="45">
        <v>6.41</v>
      </c>
      <c r="G114" s="45">
        <v>18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">
      <c r="A115" s="39" t="s">
        <v>157</v>
      </c>
      <c r="B115" s="99" t="s">
        <v>756</v>
      </c>
      <c r="C115" s="34" t="s">
        <v>626</v>
      </c>
      <c r="D115" s="41">
        <v>172</v>
      </c>
      <c r="E115" s="41">
        <v>3</v>
      </c>
      <c r="F115" s="41">
        <v>4.9800000000000004</v>
      </c>
      <c r="G115" s="41">
        <v>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">
      <c r="A116" s="39" t="s">
        <v>157</v>
      </c>
      <c r="B116" s="99" t="s">
        <v>756</v>
      </c>
      <c r="C116" s="34" t="s">
        <v>627</v>
      </c>
      <c r="D116" s="41">
        <v>87</v>
      </c>
      <c r="E116" s="41">
        <v>12</v>
      </c>
      <c r="F116" s="41">
        <v>11.94</v>
      </c>
      <c r="G116" s="41">
        <v>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">
      <c r="A117" s="39" t="s">
        <v>157</v>
      </c>
      <c r="B117" s="99" t="s">
        <v>756</v>
      </c>
      <c r="C117" s="34" t="s">
        <v>628</v>
      </c>
      <c r="D117" s="41">
        <v>90</v>
      </c>
      <c r="E117" s="41">
        <v>9</v>
      </c>
      <c r="F117" s="41">
        <v>10.62</v>
      </c>
      <c r="G117" s="41">
        <v>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">
      <c r="A118" s="39" t="s">
        <v>157</v>
      </c>
      <c r="B118" s="99" t="s">
        <v>756</v>
      </c>
      <c r="C118" s="34" t="s">
        <v>629</v>
      </c>
      <c r="D118" s="41">
        <v>76</v>
      </c>
      <c r="E118" s="41">
        <v>7</v>
      </c>
      <c r="F118" s="41">
        <v>9.84</v>
      </c>
      <c r="G118" s="41">
        <v>4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">
      <c r="A119" s="39" t="s">
        <v>157</v>
      </c>
      <c r="B119" s="99" t="s">
        <v>756</v>
      </c>
      <c r="C119" s="44" t="s">
        <v>631</v>
      </c>
      <c r="D119" s="45">
        <v>425</v>
      </c>
      <c r="E119" s="45">
        <v>31</v>
      </c>
      <c r="F119" s="45">
        <v>7.33</v>
      </c>
      <c r="G119" s="45">
        <v>21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">
      <c r="A120" s="39" t="s">
        <v>157</v>
      </c>
      <c r="B120" s="99" t="s">
        <v>625</v>
      </c>
      <c r="C120" s="34" t="s">
        <v>626</v>
      </c>
      <c r="D120" s="41">
        <v>128</v>
      </c>
      <c r="E120" s="41">
        <v>2</v>
      </c>
      <c r="F120" s="41">
        <v>5.37</v>
      </c>
      <c r="G120" s="41">
        <v>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">
      <c r="A121" s="39" t="s">
        <v>157</v>
      </c>
      <c r="B121" s="99" t="s">
        <v>625</v>
      </c>
      <c r="C121" s="34" t="s">
        <v>627</v>
      </c>
      <c r="D121" s="41">
        <v>76</v>
      </c>
      <c r="E121" s="41">
        <v>21</v>
      </c>
      <c r="F121" s="41">
        <v>9.49</v>
      </c>
      <c r="G121" s="41">
        <v>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">
      <c r="A122" s="39" t="s">
        <v>157</v>
      </c>
      <c r="B122" s="99" t="s">
        <v>625</v>
      </c>
      <c r="C122" s="34" t="s">
        <v>628</v>
      </c>
      <c r="D122" s="41">
        <v>98</v>
      </c>
      <c r="E122" s="41">
        <v>18</v>
      </c>
      <c r="F122" s="41">
        <v>10.94</v>
      </c>
      <c r="G122" s="41">
        <v>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">
      <c r="A123" s="39" t="s">
        <v>157</v>
      </c>
      <c r="B123" s="99" t="s">
        <v>625</v>
      </c>
      <c r="C123" s="34" t="s">
        <v>629</v>
      </c>
      <c r="D123" s="41">
        <v>37</v>
      </c>
      <c r="E123" s="41">
        <v>5</v>
      </c>
      <c r="F123" s="41">
        <v>10.94</v>
      </c>
      <c r="G123" s="41">
        <v>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">
      <c r="A124" s="39" t="s">
        <v>157</v>
      </c>
      <c r="B124" s="99" t="s">
        <v>625</v>
      </c>
      <c r="C124" s="34" t="s">
        <v>630</v>
      </c>
      <c r="D124" s="41">
        <v>41</v>
      </c>
      <c r="E124" s="41">
        <v>11</v>
      </c>
      <c r="F124" s="41">
        <v>10.48</v>
      </c>
      <c r="G124" s="41">
        <v>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">
      <c r="A125" s="39" t="s">
        <v>157</v>
      </c>
      <c r="B125" s="99" t="s">
        <v>625</v>
      </c>
      <c r="C125" s="44" t="s">
        <v>631</v>
      </c>
      <c r="D125" s="45">
        <v>379</v>
      </c>
      <c r="E125" s="45">
        <v>57</v>
      </c>
      <c r="F125" s="45">
        <v>7.9</v>
      </c>
      <c r="G125" s="45">
        <v>30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">
      <c r="A126" s="39" t="s">
        <v>157</v>
      </c>
      <c r="B126" s="217" t="s">
        <v>757</v>
      </c>
      <c r="C126" s="34" t="s">
        <v>626</v>
      </c>
      <c r="D126" s="41">
        <v>178</v>
      </c>
      <c r="E126" s="41">
        <v>1</v>
      </c>
      <c r="F126" s="41">
        <v>4.75</v>
      </c>
      <c r="G126" s="41">
        <v>11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">
      <c r="A127" s="39" t="s">
        <v>157</v>
      </c>
      <c r="B127" s="217" t="s">
        <v>757</v>
      </c>
      <c r="C127" s="34" t="s">
        <v>627</v>
      </c>
      <c r="D127" s="41">
        <v>82</v>
      </c>
      <c r="E127" s="41">
        <v>22</v>
      </c>
      <c r="F127" s="41">
        <v>9.39</v>
      </c>
      <c r="G127" s="41">
        <v>13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">
      <c r="A128" s="39" t="s">
        <v>157</v>
      </c>
      <c r="B128" s="217" t="s">
        <v>757</v>
      </c>
      <c r="C128" s="34" t="s">
        <v>628</v>
      </c>
      <c r="D128" s="41">
        <v>115</v>
      </c>
      <c r="E128" s="41">
        <v>21</v>
      </c>
      <c r="F128" s="41">
        <v>9.02</v>
      </c>
      <c r="G128" s="41">
        <v>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">
      <c r="A129" s="39" t="s">
        <v>157</v>
      </c>
      <c r="B129" s="217" t="s">
        <v>757</v>
      </c>
      <c r="C129" s="34" t="s">
        <v>629</v>
      </c>
      <c r="D129" s="41">
        <v>59</v>
      </c>
      <c r="E129" s="41">
        <v>10</v>
      </c>
      <c r="F129" s="41">
        <v>8.4700000000000006</v>
      </c>
      <c r="G129" s="41">
        <v>6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">
      <c r="A130" s="39" t="s">
        <v>157</v>
      </c>
      <c r="B130" s="217" t="s">
        <v>757</v>
      </c>
      <c r="C130" s="34" t="s">
        <v>630</v>
      </c>
      <c r="D130" s="41">
        <v>141</v>
      </c>
      <c r="E130" s="41">
        <v>15</v>
      </c>
      <c r="F130" s="41">
        <v>9.73</v>
      </c>
      <c r="G130" s="41">
        <v>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">
      <c r="A131" s="39" t="s">
        <v>157</v>
      </c>
      <c r="B131" s="217" t="s">
        <v>757</v>
      </c>
      <c r="C131" s="44" t="s">
        <v>631</v>
      </c>
      <c r="D131" s="45">
        <v>574</v>
      </c>
      <c r="E131" s="45">
        <v>69</v>
      </c>
      <c r="F131" s="45">
        <v>7.15</v>
      </c>
      <c r="G131" s="45">
        <v>44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">
      <c r="A132" s="39" t="s">
        <v>157</v>
      </c>
      <c r="B132" s="217" t="s">
        <v>121</v>
      </c>
      <c r="C132" s="34" t="s">
        <v>626</v>
      </c>
      <c r="D132" s="41">
        <v>113</v>
      </c>
      <c r="E132" s="41">
        <v>1</v>
      </c>
      <c r="F132" s="41">
        <v>4.1900000000000004</v>
      </c>
      <c r="G132" s="41">
        <v>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">
      <c r="A133" s="39" t="s">
        <v>157</v>
      </c>
      <c r="B133" s="217" t="s">
        <v>121</v>
      </c>
      <c r="C133" s="34" t="s">
        <v>627</v>
      </c>
      <c r="D133" s="41">
        <v>143</v>
      </c>
      <c r="E133" s="41">
        <v>25</v>
      </c>
      <c r="F133" s="41">
        <v>9.52</v>
      </c>
      <c r="G133" s="41">
        <v>10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">
      <c r="A134" s="39" t="s">
        <v>157</v>
      </c>
      <c r="B134" s="217" t="s">
        <v>121</v>
      </c>
      <c r="C134" s="34" t="s">
        <v>628</v>
      </c>
      <c r="D134" s="41">
        <v>132</v>
      </c>
      <c r="E134" s="41">
        <v>16</v>
      </c>
      <c r="F134" s="41">
        <v>9.6999999999999993</v>
      </c>
      <c r="G134" s="41">
        <v>12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">
      <c r="A135" s="39" t="s">
        <v>157</v>
      </c>
      <c r="B135" s="217" t="s">
        <v>121</v>
      </c>
      <c r="C135" s="34" t="s">
        <v>629</v>
      </c>
      <c r="D135" s="41">
        <v>29</v>
      </c>
      <c r="E135" s="41">
        <v>3</v>
      </c>
      <c r="F135" s="41">
        <v>8.42</v>
      </c>
      <c r="G135" s="41">
        <v>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">
      <c r="A136" s="39" t="s">
        <v>157</v>
      </c>
      <c r="B136" s="217" t="s">
        <v>121</v>
      </c>
      <c r="C136" s="34" t="s">
        <v>630</v>
      </c>
      <c r="D136" s="41">
        <v>118</v>
      </c>
      <c r="E136" s="41">
        <v>7</v>
      </c>
      <c r="F136" s="41">
        <v>6.84</v>
      </c>
      <c r="G136" s="41">
        <v>7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">
      <c r="A137" s="39" t="s">
        <v>157</v>
      </c>
      <c r="B137" s="217" t="s">
        <v>121</v>
      </c>
      <c r="C137" s="44" t="s">
        <v>631</v>
      </c>
      <c r="D137" s="45">
        <v>535</v>
      </c>
      <c r="E137" s="45">
        <v>52</v>
      </c>
      <c r="F137" s="45">
        <v>7.01</v>
      </c>
      <c r="G137" s="45">
        <v>40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">
      <c r="A138" s="39" t="s">
        <v>159</v>
      </c>
      <c r="B138" s="99" t="s">
        <v>756</v>
      </c>
      <c r="C138" s="34" t="s">
        <v>626</v>
      </c>
      <c r="D138" s="41">
        <v>165</v>
      </c>
      <c r="E138" s="41">
        <v>4</v>
      </c>
      <c r="F138" s="41">
        <v>4.78</v>
      </c>
      <c r="G138" s="41">
        <v>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">
      <c r="A139" s="39" t="s">
        <v>159</v>
      </c>
      <c r="B139" s="99" t="s">
        <v>756</v>
      </c>
      <c r="C139" s="34" t="s">
        <v>627</v>
      </c>
      <c r="D139" s="41">
        <v>130</v>
      </c>
      <c r="E139" s="41">
        <v>19</v>
      </c>
      <c r="F139" s="41">
        <v>11.46</v>
      </c>
      <c r="G139" s="41">
        <v>9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">
      <c r="A140" s="39" t="s">
        <v>159</v>
      </c>
      <c r="B140" s="99" t="s">
        <v>756</v>
      </c>
      <c r="C140" s="34" t="s">
        <v>628</v>
      </c>
      <c r="D140" s="41">
        <v>107</v>
      </c>
      <c r="E140" s="41">
        <v>15</v>
      </c>
      <c r="F140" s="41">
        <v>10.08</v>
      </c>
      <c r="G140" s="41">
        <v>6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">
      <c r="A141" s="39" t="s">
        <v>159</v>
      </c>
      <c r="B141" s="99" t="s">
        <v>756</v>
      </c>
      <c r="C141" s="34" t="s">
        <v>629</v>
      </c>
      <c r="D141" s="41">
        <v>140</v>
      </c>
      <c r="E141" s="41">
        <v>20</v>
      </c>
      <c r="F141" s="41">
        <v>9.6</v>
      </c>
      <c r="G141" s="41">
        <v>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">
      <c r="A142" s="39" t="s">
        <v>159</v>
      </c>
      <c r="B142" s="99" t="s">
        <v>756</v>
      </c>
      <c r="C142" s="44" t="s">
        <v>631</v>
      </c>
      <c r="D142" s="45">
        <v>543</v>
      </c>
      <c r="E142" s="45">
        <v>58</v>
      </c>
      <c r="F142" s="45">
        <v>7.63</v>
      </c>
      <c r="G142" s="45">
        <v>21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">
      <c r="A143" s="39" t="s">
        <v>159</v>
      </c>
      <c r="B143" s="99" t="s">
        <v>625</v>
      </c>
      <c r="C143" s="34" t="s">
        <v>626</v>
      </c>
      <c r="D143" s="41">
        <v>120</v>
      </c>
      <c r="E143" s="41">
        <v>4</v>
      </c>
      <c r="F143" s="41">
        <v>5.04</v>
      </c>
      <c r="G143" s="41">
        <v>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">
      <c r="A144" s="39" t="s">
        <v>159</v>
      </c>
      <c r="B144" s="99" t="s">
        <v>625</v>
      </c>
      <c r="C144" s="34" t="s">
        <v>627</v>
      </c>
      <c r="D144" s="41">
        <v>150</v>
      </c>
      <c r="E144" s="41">
        <v>27</v>
      </c>
      <c r="F144" s="41">
        <v>9.2200000000000006</v>
      </c>
      <c r="G144" s="41">
        <v>11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">
      <c r="A145" s="39" t="s">
        <v>159</v>
      </c>
      <c r="B145" s="99" t="s">
        <v>625</v>
      </c>
      <c r="C145" s="34" t="s">
        <v>628</v>
      </c>
      <c r="D145" s="41">
        <v>105</v>
      </c>
      <c r="E145" s="41">
        <v>19</v>
      </c>
      <c r="F145" s="41">
        <v>10.63</v>
      </c>
      <c r="G145" s="41">
        <v>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">
      <c r="A146" s="39" t="s">
        <v>159</v>
      </c>
      <c r="B146" s="99" t="s">
        <v>625</v>
      </c>
      <c r="C146" s="34" t="s">
        <v>629</v>
      </c>
      <c r="D146" s="41">
        <v>162</v>
      </c>
      <c r="E146" s="41">
        <v>28</v>
      </c>
      <c r="F146" s="41">
        <v>9.76</v>
      </c>
      <c r="G146" s="41">
        <v>19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">
      <c r="A147" s="39" t="s">
        <v>159</v>
      </c>
      <c r="B147" s="99" t="s">
        <v>625</v>
      </c>
      <c r="C147" s="34" t="s">
        <v>630</v>
      </c>
      <c r="D147" s="41">
        <v>98</v>
      </c>
      <c r="E147" s="41">
        <v>10</v>
      </c>
      <c r="F147" s="41">
        <v>8.31</v>
      </c>
      <c r="G147" s="41">
        <v>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">
      <c r="A148" s="39" t="s">
        <v>159</v>
      </c>
      <c r="B148" s="99" t="s">
        <v>625</v>
      </c>
      <c r="C148" s="44" t="s">
        <v>631</v>
      </c>
      <c r="D148" s="45">
        <v>635</v>
      </c>
      <c r="E148" s="45">
        <v>88</v>
      </c>
      <c r="F148" s="45">
        <v>8.1</v>
      </c>
      <c r="G148" s="45">
        <v>44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">
      <c r="A149" s="39" t="s">
        <v>159</v>
      </c>
      <c r="B149" s="99" t="s">
        <v>757</v>
      </c>
      <c r="C149" s="34" t="s">
        <v>626</v>
      </c>
      <c r="D149" s="41">
        <v>176</v>
      </c>
      <c r="E149" s="41">
        <v>6</v>
      </c>
      <c r="F149" s="41">
        <v>4.68</v>
      </c>
      <c r="G149" s="41">
        <v>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">
      <c r="A150" s="39" t="s">
        <v>159</v>
      </c>
      <c r="B150" s="99" t="s">
        <v>757</v>
      </c>
      <c r="C150" s="34" t="s">
        <v>627</v>
      </c>
      <c r="D150" s="41">
        <v>160</v>
      </c>
      <c r="E150" s="41">
        <v>29</v>
      </c>
      <c r="F150" s="41">
        <v>9.1</v>
      </c>
      <c r="G150" s="41">
        <v>12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">
      <c r="A151" s="39" t="s">
        <v>159</v>
      </c>
      <c r="B151" s="99" t="s">
        <v>757</v>
      </c>
      <c r="C151" s="34" t="s">
        <v>628</v>
      </c>
      <c r="D151" s="41">
        <v>68</v>
      </c>
      <c r="E151" s="41">
        <v>15</v>
      </c>
      <c r="F151" s="41">
        <v>9.32</v>
      </c>
      <c r="G151" s="41">
        <v>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">
      <c r="A152" s="39" t="s">
        <v>159</v>
      </c>
      <c r="B152" s="99" t="s">
        <v>757</v>
      </c>
      <c r="C152" s="34" t="s">
        <v>629</v>
      </c>
      <c r="D152" s="41">
        <v>103</v>
      </c>
      <c r="E152" s="41">
        <v>20</v>
      </c>
      <c r="F152" s="41">
        <v>8.7899999999999991</v>
      </c>
      <c r="G152" s="41">
        <v>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">
      <c r="A153" s="39" t="s">
        <v>159</v>
      </c>
      <c r="B153" s="99" t="s">
        <v>757</v>
      </c>
      <c r="C153" s="34" t="s">
        <v>630</v>
      </c>
      <c r="D153" s="41">
        <v>86</v>
      </c>
      <c r="E153" s="41">
        <v>18</v>
      </c>
      <c r="F153" s="41">
        <v>9.36</v>
      </c>
      <c r="G153" s="41">
        <v>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">
      <c r="A154" s="39" t="s">
        <v>159</v>
      </c>
      <c r="B154" s="99" t="s">
        <v>757</v>
      </c>
      <c r="C154" s="44" t="s">
        <v>631</v>
      </c>
      <c r="D154" s="45">
        <v>593</v>
      </c>
      <c r="E154" s="45">
        <v>88</v>
      </c>
      <c r="F154" s="45">
        <v>7.12</v>
      </c>
      <c r="G154" s="45">
        <v>31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">
      <c r="A155" s="39" t="s">
        <v>159</v>
      </c>
      <c r="B155" s="99" t="s">
        <v>121</v>
      </c>
      <c r="C155" s="34" t="s">
        <v>626</v>
      </c>
      <c r="D155" s="41">
        <v>108</v>
      </c>
      <c r="E155" s="41">
        <v>1</v>
      </c>
      <c r="F155" s="41">
        <v>4.0199999999999996</v>
      </c>
      <c r="G155" s="41">
        <v>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">
      <c r="A156" s="39" t="s">
        <v>159</v>
      </c>
      <c r="B156" s="99" t="s">
        <v>121</v>
      </c>
      <c r="C156" s="34" t="s">
        <v>627</v>
      </c>
      <c r="D156" s="41">
        <v>143</v>
      </c>
      <c r="E156" s="41">
        <v>18</v>
      </c>
      <c r="F156" s="41">
        <v>9.59</v>
      </c>
      <c r="G156" s="41">
        <v>9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">
      <c r="A157" s="39" t="s">
        <v>159</v>
      </c>
      <c r="B157" s="99" t="s">
        <v>121</v>
      </c>
      <c r="C157" s="34" t="s">
        <v>628</v>
      </c>
      <c r="D157" s="41">
        <v>175</v>
      </c>
      <c r="E157" s="41">
        <v>36</v>
      </c>
      <c r="F157" s="41">
        <v>9.43</v>
      </c>
      <c r="G157" s="41">
        <v>10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">
      <c r="A158" s="39" t="s">
        <v>159</v>
      </c>
      <c r="B158" s="99" t="s">
        <v>121</v>
      </c>
      <c r="C158" s="34" t="s">
        <v>629</v>
      </c>
      <c r="D158" s="41">
        <v>149</v>
      </c>
      <c r="E158" s="41">
        <v>28</v>
      </c>
      <c r="F158" s="41">
        <v>10.1</v>
      </c>
      <c r="G158" s="41">
        <v>18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">
      <c r="A159" s="39" t="s">
        <v>159</v>
      </c>
      <c r="B159" s="99" t="s">
        <v>121</v>
      </c>
      <c r="C159" s="34" t="s">
        <v>630</v>
      </c>
      <c r="D159" s="41">
        <v>118</v>
      </c>
      <c r="E159" s="41">
        <v>24</v>
      </c>
      <c r="F159" s="41">
        <v>8.6300000000000008</v>
      </c>
      <c r="G159" s="41">
        <v>11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">
      <c r="A160" s="39" t="s">
        <v>159</v>
      </c>
      <c r="B160" s="99" t="s">
        <v>121</v>
      </c>
      <c r="C160" s="44" t="s">
        <v>631</v>
      </c>
      <c r="D160" s="45">
        <v>693</v>
      </c>
      <c r="E160" s="45">
        <v>107</v>
      </c>
      <c r="F160" s="45">
        <v>7.8</v>
      </c>
      <c r="G160" s="45">
        <v>49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">
      <c r="A161" s="39" t="s">
        <v>638</v>
      </c>
      <c r="B161" s="99" t="s">
        <v>625</v>
      </c>
      <c r="C161" s="34" t="s">
        <v>626</v>
      </c>
      <c r="D161" s="41">
        <v>130</v>
      </c>
      <c r="E161" s="41">
        <v>1</v>
      </c>
      <c r="F161" s="41">
        <v>5.45</v>
      </c>
      <c r="G161" s="41">
        <v>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">
      <c r="A162" s="39" t="s">
        <v>638</v>
      </c>
      <c r="B162" s="99" t="s">
        <v>625</v>
      </c>
      <c r="C162" s="34" t="s">
        <v>627</v>
      </c>
      <c r="D162" s="41">
        <v>137</v>
      </c>
      <c r="E162" s="41">
        <v>33</v>
      </c>
      <c r="F162" s="41">
        <v>13.72</v>
      </c>
      <c r="G162" s="41">
        <v>25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">
      <c r="A163" s="39" t="s">
        <v>638</v>
      </c>
      <c r="B163" s="99" t="s">
        <v>625</v>
      </c>
      <c r="C163" s="34" t="s">
        <v>628</v>
      </c>
      <c r="D163" s="41">
        <v>48</v>
      </c>
      <c r="E163" s="41">
        <v>12</v>
      </c>
      <c r="F163" s="41">
        <v>10.119999999999999</v>
      </c>
      <c r="G163" s="41">
        <v>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">
      <c r="A164" s="39" t="s">
        <v>638</v>
      </c>
      <c r="B164" s="99" t="s">
        <v>625</v>
      </c>
      <c r="C164" s="34" t="s">
        <v>629</v>
      </c>
      <c r="D164" s="41">
        <v>87</v>
      </c>
      <c r="E164" s="41">
        <v>18</v>
      </c>
      <c r="F164" s="41">
        <v>11.3</v>
      </c>
      <c r="G164" s="41">
        <v>13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">
      <c r="A165" s="39" t="s">
        <v>638</v>
      </c>
      <c r="B165" s="99" t="s">
        <v>625</v>
      </c>
      <c r="C165" s="34" t="s">
        <v>630</v>
      </c>
      <c r="D165" s="41">
        <v>127</v>
      </c>
      <c r="E165" s="41">
        <v>25</v>
      </c>
      <c r="F165" s="41">
        <v>9.8000000000000007</v>
      </c>
      <c r="G165" s="41">
        <v>21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">
      <c r="A166" s="39" t="s">
        <v>638</v>
      </c>
      <c r="B166" s="99" t="s">
        <v>625</v>
      </c>
      <c r="C166" s="44" t="s">
        <v>631</v>
      </c>
      <c r="D166" s="45">
        <v>530</v>
      </c>
      <c r="E166" s="45">
        <v>89</v>
      </c>
      <c r="F166" s="45">
        <v>8.94</v>
      </c>
      <c r="G166" s="45">
        <v>71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">
      <c r="A167" s="39" t="s">
        <v>638</v>
      </c>
      <c r="B167" s="99" t="s">
        <v>757</v>
      </c>
      <c r="C167" s="34" t="s">
        <v>626</v>
      </c>
      <c r="D167" s="41">
        <v>155</v>
      </c>
      <c r="E167" s="41">
        <v>1</v>
      </c>
      <c r="F167" s="41">
        <v>4.1399999999999997</v>
      </c>
      <c r="G167" s="41">
        <v>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">
      <c r="A168" s="39" t="s">
        <v>638</v>
      </c>
      <c r="B168" s="99" t="s">
        <v>757</v>
      </c>
      <c r="C168" s="34" t="s">
        <v>627</v>
      </c>
      <c r="D168" s="41">
        <v>144</v>
      </c>
      <c r="E168" s="41">
        <v>34</v>
      </c>
      <c r="F168" s="41">
        <v>11.13</v>
      </c>
      <c r="G168" s="41">
        <v>17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">
      <c r="A169" s="39" t="s">
        <v>638</v>
      </c>
      <c r="B169" s="99" t="s">
        <v>757</v>
      </c>
      <c r="C169" s="34" t="s">
        <v>628</v>
      </c>
      <c r="D169" s="41">
        <v>123</v>
      </c>
      <c r="E169" s="41">
        <v>33</v>
      </c>
      <c r="F169" s="41">
        <v>10.43</v>
      </c>
      <c r="G169" s="41">
        <v>25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">
      <c r="A170" s="39" t="s">
        <v>638</v>
      </c>
      <c r="B170" s="99" t="s">
        <v>757</v>
      </c>
      <c r="C170" s="34" t="s">
        <v>629</v>
      </c>
      <c r="D170" s="41">
        <v>182</v>
      </c>
      <c r="E170" s="41">
        <v>39</v>
      </c>
      <c r="F170" s="41">
        <v>9.9700000000000006</v>
      </c>
      <c r="G170" s="41">
        <v>29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">
      <c r="A171" s="39" t="s">
        <v>638</v>
      </c>
      <c r="B171" s="99" t="s">
        <v>757</v>
      </c>
      <c r="C171" s="34" t="s">
        <v>630</v>
      </c>
      <c r="D171" s="41">
        <v>95</v>
      </c>
      <c r="E171" s="41">
        <v>23</v>
      </c>
      <c r="F171" s="41">
        <v>10.87</v>
      </c>
      <c r="G171" s="41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">
      <c r="A172" s="39" t="s">
        <v>638</v>
      </c>
      <c r="B172" s="99" t="s">
        <v>757</v>
      </c>
      <c r="C172" s="44" t="s">
        <v>631</v>
      </c>
      <c r="D172" s="45">
        <v>699</v>
      </c>
      <c r="E172" s="45">
        <v>130</v>
      </c>
      <c r="F172" s="45">
        <v>7.84</v>
      </c>
      <c r="G172" s="45">
        <v>88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">
      <c r="A173" s="39" t="s">
        <v>638</v>
      </c>
      <c r="B173" s="99" t="s">
        <v>121</v>
      </c>
      <c r="C173" s="34" t="s">
        <v>626</v>
      </c>
      <c r="D173" s="41">
        <v>115</v>
      </c>
      <c r="E173" s="41">
        <v>1</v>
      </c>
      <c r="F173" s="41">
        <v>4.28</v>
      </c>
      <c r="G173" s="41">
        <v>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">
      <c r="A174" s="39" t="s">
        <v>638</v>
      </c>
      <c r="B174" s="99" t="s">
        <v>121</v>
      </c>
      <c r="C174" s="34" t="s">
        <v>629</v>
      </c>
      <c r="D174" s="41">
        <v>93</v>
      </c>
      <c r="E174" s="41">
        <v>21</v>
      </c>
      <c r="F174" s="41">
        <v>12.68</v>
      </c>
      <c r="G174" s="41">
        <v>11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">
      <c r="A175" s="39" t="s">
        <v>638</v>
      </c>
      <c r="B175" s="99" t="s">
        <v>121</v>
      </c>
      <c r="C175" s="34" t="s">
        <v>630</v>
      </c>
      <c r="D175" s="41">
        <v>151</v>
      </c>
      <c r="E175" s="41">
        <v>25</v>
      </c>
      <c r="F175" s="41">
        <v>8.35</v>
      </c>
      <c r="G175" s="41">
        <v>22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">
      <c r="A176" s="39" t="s">
        <v>638</v>
      </c>
      <c r="B176" s="99" t="s">
        <v>121</v>
      </c>
      <c r="C176" s="44" t="s">
        <v>631</v>
      </c>
      <c r="D176" s="45">
        <v>359</v>
      </c>
      <c r="E176" s="45">
        <v>47</v>
      </c>
      <c r="F176" s="45">
        <v>6.86</v>
      </c>
      <c r="G176" s="45">
        <v>35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">
      <c r="A177" s="39" t="s">
        <v>589</v>
      </c>
      <c r="B177" s="99" t="s">
        <v>756</v>
      </c>
      <c r="C177" s="34" t="s">
        <v>626</v>
      </c>
      <c r="D177" s="41">
        <v>174</v>
      </c>
      <c r="E177" s="41">
        <v>0</v>
      </c>
      <c r="F177" s="41">
        <v>5.03</v>
      </c>
      <c r="G177" s="41">
        <v>30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">
      <c r="A178" s="39" t="s">
        <v>589</v>
      </c>
      <c r="B178" s="99" t="s">
        <v>756</v>
      </c>
      <c r="C178" s="34" t="s">
        <v>627</v>
      </c>
      <c r="D178" s="41">
        <v>16</v>
      </c>
      <c r="E178" s="41">
        <v>4</v>
      </c>
      <c r="F178" s="41">
        <v>12.54</v>
      </c>
      <c r="G178" s="41">
        <v>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">
      <c r="A179" s="39" t="s">
        <v>589</v>
      </c>
      <c r="B179" s="99" t="s">
        <v>756</v>
      </c>
      <c r="C179" s="34" t="s">
        <v>628</v>
      </c>
      <c r="D179" s="41">
        <v>43</v>
      </c>
      <c r="E179" s="41">
        <v>6</v>
      </c>
      <c r="F179" s="41">
        <v>10.5</v>
      </c>
      <c r="G179" s="41">
        <v>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">
      <c r="A180" s="39" t="s">
        <v>589</v>
      </c>
      <c r="B180" s="99" t="s">
        <v>756</v>
      </c>
      <c r="C180" s="34" t="s">
        <v>629</v>
      </c>
      <c r="D180" s="41">
        <v>18</v>
      </c>
      <c r="E180" s="41">
        <v>3</v>
      </c>
      <c r="F180" s="41">
        <v>7.95</v>
      </c>
      <c r="G180" s="41">
        <v>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">
      <c r="A181" s="39" t="s">
        <v>589</v>
      </c>
      <c r="B181" s="99" t="s">
        <v>756</v>
      </c>
      <c r="C181" s="34" t="s">
        <v>630</v>
      </c>
      <c r="D181" s="41">
        <v>100</v>
      </c>
      <c r="E181" s="41">
        <v>11</v>
      </c>
      <c r="F181" s="41">
        <v>8.8000000000000007</v>
      </c>
      <c r="G181" s="41">
        <v>12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">
      <c r="A182" s="39" t="s">
        <v>589</v>
      </c>
      <c r="B182" s="99" t="s">
        <v>756</v>
      </c>
      <c r="C182" s="44" t="s">
        <v>631</v>
      </c>
      <c r="D182" s="45">
        <v>350</v>
      </c>
      <c r="E182" s="45">
        <v>24</v>
      </c>
      <c r="F182" s="45">
        <v>6.55</v>
      </c>
      <c r="G182" s="45">
        <v>58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">
      <c r="A183" s="39" t="s">
        <v>589</v>
      </c>
      <c r="B183" s="99" t="s">
        <v>757</v>
      </c>
      <c r="C183" s="34" t="s">
        <v>626</v>
      </c>
      <c r="D183" s="41">
        <v>154</v>
      </c>
      <c r="E183" s="41">
        <v>0</v>
      </c>
      <c r="F183" s="41">
        <v>4.1100000000000003</v>
      </c>
      <c r="G183" s="41">
        <v>20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">
      <c r="A184" s="39" t="s">
        <v>589</v>
      </c>
      <c r="B184" s="99" t="s">
        <v>757</v>
      </c>
      <c r="C184" s="34" t="s">
        <v>628</v>
      </c>
      <c r="D184" s="41">
        <v>57</v>
      </c>
      <c r="E184" s="41">
        <v>10</v>
      </c>
      <c r="F184" s="41">
        <v>7.69</v>
      </c>
      <c r="G184" s="41">
        <v>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">
      <c r="A185" s="39" t="s">
        <v>589</v>
      </c>
      <c r="B185" s="99" t="s">
        <v>757</v>
      </c>
      <c r="C185" s="34" t="s">
        <v>630</v>
      </c>
      <c r="D185" s="41">
        <v>32</v>
      </c>
      <c r="E185" s="41">
        <v>4</v>
      </c>
      <c r="F185" s="41">
        <v>9.4600000000000009</v>
      </c>
      <c r="G185" s="41">
        <v>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">
      <c r="A186" s="39" t="s">
        <v>589</v>
      </c>
      <c r="B186" s="99" t="s">
        <v>757</v>
      </c>
      <c r="C186" s="44" t="s">
        <v>631</v>
      </c>
      <c r="D186" s="45">
        <v>243</v>
      </c>
      <c r="E186" s="45">
        <v>14</v>
      </c>
      <c r="F186" s="45">
        <v>5.03</v>
      </c>
      <c r="G186" s="45">
        <v>26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">
      <c r="A187" s="39" t="s">
        <v>589</v>
      </c>
      <c r="B187" s="99" t="s">
        <v>121</v>
      </c>
      <c r="C187" s="34" t="s">
        <v>626</v>
      </c>
      <c r="D187" s="41">
        <v>115</v>
      </c>
      <c r="E187" s="41">
        <v>0</v>
      </c>
      <c r="F187" s="41">
        <v>4.26</v>
      </c>
      <c r="G187" s="41">
        <v>13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">
      <c r="A188" s="39" t="s">
        <v>589</v>
      </c>
      <c r="B188" s="99" t="s">
        <v>121</v>
      </c>
      <c r="C188" s="34" t="s">
        <v>627</v>
      </c>
      <c r="D188" s="41">
        <v>35</v>
      </c>
      <c r="E188" s="41">
        <v>7</v>
      </c>
      <c r="F188" s="41">
        <v>9.6300000000000008</v>
      </c>
      <c r="G188" s="41">
        <v>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">
      <c r="A189" s="39" t="s">
        <v>589</v>
      </c>
      <c r="B189" s="99" t="s">
        <v>121</v>
      </c>
      <c r="C189" s="34" t="s">
        <v>628</v>
      </c>
      <c r="D189" s="41">
        <v>38</v>
      </c>
      <c r="E189" s="41">
        <v>12</v>
      </c>
      <c r="F189" s="41">
        <v>11</v>
      </c>
      <c r="G189" s="41">
        <v>9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">
      <c r="A190" s="39" t="s">
        <v>589</v>
      </c>
      <c r="B190" s="99" t="s">
        <v>121</v>
      </c>
      <c r="C190" s="34" t="s">
        <v>630</v>
      </c>
      <c r="D190" s="41">
        <v>89</v>
      </c>
      <c r="E190" s="41">
        <v>14</v>
      </c>
      <c r="F190" s="41">
        <v>7.83</v>
      </c>
      <c r="G190" s="41">
        <v>12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">
      <c r="A191" s="39" t="s">
        <v>589</v>
      </c>
      <c r="B191" s="99" t="s">
        <v>121</v>
      </c>
      <c r="C191" s="44" t="s">
        <v>631</v>
      </c>
      <c r="D191" s="45">
        <v>276</v>
      </c>
      <c r="E191" s="45">
        <v>33</v>
      </c>
      <c r="F191" s="45">
        <v>6.09</v>
      </c>
      <c r="G191" s="45">
        <v>37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">
      <c r="A192" s="39" t="s">
        <v>590</v>
      </c>
      <c r="B192" s="99" t="s">
        <v>756</v>
      </c>
      <c r="C192" s="34" t="s">
        <v>626</v>
      </c>
      <c r="D192" s="41">
        <v>167</v>
      </c>
      <c r="E192" s="41">
        <v>3</v>
      </c>
      <c r="F192" s="41">
        <v>4.83</v>
      </c>
      <c r="G192" s="41">
        <v>8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">
      <c r="A193" s="39" t="s">
        <v>590</v>
      </c>
      <c r="B193" s="99" t="s">
        <v>756</v>
      </c>
      <c r="C193" s="34" t="s">
        <v>627</v>
      </c>
      <c r="D193" s="41">
        <v>59</v>
      </c>
      <c r="E193" s="41">
        <v>8</v>
      </c>
      <c r="F193" s="41">
        <v>10.97</v>
      </c>
      <c r="G193" s="41">
        <v>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">
      <c r="A194" s="39" t="s">
        <v>590</v>
      </c>
      <c r="B194" s="99" t="s">
        <v>756</v>
      </c>
      <c r="C194" s="34" t="s">
        <v>628</v>
      </c>
      <c r="D194" s="41">
        <v>97</v>
      </c>
      <c r="E194" s="41">
        <v>17</v>
      </c>
      <c r="F194" s="41">
        <v>9.1300000000000008</v>
      </c>
      <c r="G194" s="41">
        <v>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">
      <c r="A195" s="39" t="s">
        <v>590</v>
      </c>
      <c r="B195" s="99" t="s">
        <v>756</v>
      </c>
      <c r="C195" s="34" t="s">
        <v>629</v>
      </c>
      <c r="D195" s="41">
        <v>65</v>
      </c>
      <c r="E195" s="41">
        <v>12</v>
      </c>
      <c r="F195" s="41">
        <v>8.14</v>
      </c>
      <c r="G195" s="41">
        <v>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">
      <c r="A196" s="39" t="s">
        <v>590</v>
      </c>
      <c r="B196" s="99" t="s">
        <v>756</v>
      </c>
      <c r="C196" s="34" t="s">
        <v>630</v>
      </c>
      <c r="D196" s="41">
        <v>23</v>
      </c>
      <c r="E196" s="41">
        <v>2</v>
      </c>
      <c r="F196" s="41">
        <v>9.81</v>
      </c>
      <c r="G196" s="41">
        <v>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">
      <c r="A197" s="39" t="s">
        <v>590</v>
      </c>
      <c r="B197" s="99" t="s">
        <v>756</v>
      </c>
      <c r="C197" s="44" t="s">
        <v>631</v>
      </c>
      <c r="D197" s="45">
        <v>411</v>
      </c>
      <c r="E197" s="45">
        <v>42</v>
      </c>
      <c r="F197" s="45">
        <v>6.75</v>
      </c>
      <c r="G197" s="45">
        <v>28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">
      <c r="A198" s="39" t="s">
        <v>590</v>
      </c>
      <c r="B198" s="99" t="s">
        <v>625</v>
      </c>
      <c r="C198" s="34" t="s">
        <v>626</v>
      </c>
      <c r="D198" s="41">
        <v>114</v>
      </c>
      <c r="E198" s="41">
        <v>0</v>
      </c>
      <c r="F198" s="41">
        <v>4.79</v>
      </c>
      <c r="G198" s="41">
        <v>11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">
      <c r="A199" s="39" t="s">
        <v>590</v>
      </c>
      <c r="B199" s="99" t="s">
        <v>625</v>
      </c>
      <c r="C199" s="34" t="s">
        <v>627</v>
      </c>
      <c r="D199" s="41">
        <v>91</v>
      </c>
      <c r="E199" s="41">
        <v>11</v>
      </c>
      <c r="F199" s="41">
        <v>11.11</v>
      </c>
      <c r="G199" s="41">
        <v>6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">
      <c r="A200" s="39" t="s">
        <v>590</v>
      </c>
      <c r="B200" s="99" t="s">
        <v>625</v>
      </c>
      <c r="C200" s="34" t="s">
        <v>628</v>
      </c>
      <c r="D200" s="41">
        <v>87</v>
      </c>
      <c r="E200" s="41">
        <v>12</v>
      </c>
      <c r="F200" s="41">
        <v>9.33</v>
      </c>
      <c r="G200" s="41">
        <v>12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">
      <c r="A201" s="39" t="s">
        <v>590</v>
      </c>
      <c r="B201" s="99" t="s">
        <v>625</v>
      </c>
      <c r="C201" s="34" t="s">
        <v>629</v>
      </c>
      <c r="D201" s="41">
        <v>142</v>
      </c>
      <c r="E201" s="41">
        <v>22</v>
      </c>
      <c r="F201" s="41">
        <v>8.9700000000000006</v>
      </c>
      <c r="G201" s="41">
        <v>13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">
      <c r="A202" s="39" t="s">
        <v>590</v>
      </c>
      <c r="B202" s="99" t="s">
        <v>625</v>
      </c>
      <c r="C202" s="34" t="s">
        <v>630</v>
      </c>
      <c r="D202" s="41">
        <v>125</v>
      </c>
      <c r="E202" s="41">
        <v>12</v>
      </c>
      <c r="F202" s="41">
        <v>7.38</v>
      </c>
      <c r="G202" s="41">
        <v>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">
      <c r="A203" s="39" t="s">
        <v>590</v>
      </c>
      <c r="B203" s="99" t="s">
        <v>625</v>
      </c>
      <c r="C203" s="44" t="s">
        <v>631</v>
      </c>
      <c r="D203" s="45">
        <v>558</v>
      </c>
      <c r="E203" s="45">
        <v>57</v>
      </c>
      <c r="F203" s="45">
        <v>7.54</v>
      </c>
      <c r="G203" s="45">
        <v>50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">
      <c r="A204" s="39" t="s">
        <v>590</v>
      </c>
      <c r="B204" s="99" t="s">
        <v>757</v>
      </c>
      <c r="C204" s="34" t="s">
        <v>626</v>
      </c>
      <c r="D204" s="41">
        <v>136</v>
      </c>
      <c r="E204" s="41">
        <v>3</v>
      </c>
      <c r="F204" s="41">
        <v>3.62</v>
      </c>
      <c r="G204" s="41">
        <v>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">
      <c r="A205" s="39" t="s">
        <v>590</v>
      </c>
      <c r="B205" s="99" t="s">
        <v>757</v>
      </c>
      <c r="C205" s="34" t="s">
        <v>627</v>
      </c>
      <c r="D205" s="41">
        <v>85</v>
      </c>
      <c r="E205" s="41">
        <v>17</v>
      </c>
      <c r="F205" s="41">
        <v>9.6300000000000008</v>
      </c>
      <c r="G205" s="41">
        <v>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">
      <c r="A206" s="39" t="s">
        <v>590</v>
      </c>
      <c r="B206" s="99" t="s">
        <v>757</v>
      </c>
      <c r="C206" s="34" t="s">
        <v>628</v>
      </c>
      <c r="D206" s="41">
        <v>35</v>
      </c>
      <c r="E206" s="41">
        <v>5</v>
      </c>
      <c r="F206" s="41">
        <v>6.98</v>
      </c>
      <c r="G206" s="41">
        <v>6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">
      <c r="A207" s="39" t="s">
        <v>590</v>
      </c>
      <c r="B207" s="99" t="s">
        <v>757</v>
      </c>
      <c r="C207" s="34" t="s">
        <v>629</v>
      </c>
      <c r="D207" s="41">
        <v>96</v>
      </c>
      <c r="E207" s="41">
        <v>14</v>
      </c>
      <c r="F207" s="41">
        <v>8.2899999999999991</v>
      </c>
      <c r="G207" s="41">
        <v>14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">
      <c r="A208" s="39" t="s">
        <v>590</v>
      </c>
      <c r="B208" s="99" t="s">
        <v>757</v>
      </c>
      <c r="C208" s="34" t="s">
        <v>630</v>
      </c>
      <c r="D208" s="41">
        <v>101</v>
      </c>
      <c r="E208" s="41">
        <v>9</v>
      </c>
      <c r="F208" s="41">
        <v>9.1300000000000008</v>
      </c>
      <c r="G208" s="41">
        <v>12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">
      <c r="A209" s="39" t="s">
        <v>590</v>
      </c>
      <c r="B209" s="99" t="s">
        <v>757</v>
      </c>
      <c r="C209" s="44" t="s">
        <v>631</v>
      </c>
      <c r="D209" s="45">
        <v>453</v>
      </c>
      <c r="E209" s="45">
        <v>48</v>
      </c>
      <c r="F209" s="45">
        <v>6.12</v>
      </c>
      <c r="G209" s="45">
        <v>42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">
      <c r="A210" s="39" t="s">
        <v>590</v>
      </c>
      <c r="B210" s="99" t="s">
        <v>121</v>
      </c>
      <c r="C210" s="34" t="s">
        <v>626</v>
      </c>
      <c r="D210" s="41">
        <v>102</v>
      </c>
      <c r="E210" s="41">
        <v>1</v>
      </c>
      <c r="F210" s="41">
        <v>3.8</v>
      </c>
      <c r="G210" s="41">
        <v>1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">
      <c r="A211" s="39" t="s">
        <v>590</v>
      </c>
      <c r="B211" s="99" t="s">
        <v>121</v>
      </c>
      <c r="C211" s="34" t="s">
        <v>627</v>
      </c>
      <c r="D211" s="41">
        <v>91</v>
      </c>
      <c r="E211" s="41">
        <v>11</v>
      </c>
      <c r="F211" s="41">
        <v>10.28</v>
      </c>
      <c r="G211" s="41">
        <v>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">
      <c r="A212" s="39" t="s">
        <v>590</v>
      </c>
      <c r="B212" s="99" t="s">
        <v>121</v>
      </c>
      <c r="C212" s="34" t="s">
        <v>628</v>
      </c>
      <c r="D212" s="41">
        <v>82</v>
      </c>
      <c r="E212" s="41">
        <v>5</v>
      </c>
      <c r="F212" s="41">
        <v>7.65</v>
      </c>
      <c r="G212" s="41">
        <v>11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">
      <c r="A213" s="39" t="s">
        <v>590</v>
      </c>
      <c r="B213" s="99" t="s">
        <v>121</v>
      </c>
      <c r="C213" s="34" t="s">
        <v>629</v>
      </c>
      <c r="D213" s="41">
        <v>82</v>
      </c>
      <c r="E213" s="41">
        <v>5</v>
      </c>
      <c r="F213" s="41">
        <v>8.0399999999999991</v>
      </c>
      <c r="G213" s="41">
        <v>14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">
      <c r="A214" s="39" t="s">
        <v>590</v>
      </c>
      <c r="B214" s="99" t="s">
        <v>121</v>
      </c>
      <c r="C214" s="34" t="s">
        <v>630</v>
      </c>
      <c r="D214" s="41">
        <v>35</v>
      </c>
      <c r="E214" s="41">
        <v>5</v>
      </c>
      <c r="F214" s="41">
        <v>7.64</v>
      </c>
      <c r="G214" s="41">
        <v>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">
      <c r="A215" s="39" t="s">
        <v>590</v>
      </c>
      <c r="B215" s="99" t="s">
        <v>121</v>
      </c>
      <c r="C215" s="44" t="s">
        <v>631</v>
      </c>
      <c r="D215" s="45">
        <v>392</v>
      </c>
      <c r="E215" s="45">
        <v>27</v>
      </c>
      <c r="F215" s="45">
        <v>6.4</v>
      </c>
      <c r="G215" s="45">
        <v>36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">
      <c r="A216" s="39" t="s">
        <v>167</v>
      </c>
      <c r="B216" s="99" t="s">
        <v>756</v>
      </c>
      <c r="C216" s="34" t="s">
        <v>626</v>
      </c>
      <c r="D216" s="41">
        <v>181</v>
      </c>
      <c r="E216" s="41">
        <v>7</v>
      </c>
      <c r="F216" s="41">
        <v>5.24</v>
      </c>
      <c r="G216" s="41">
        <v>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">
      <c r="A217" s="39" t="s">
        <v>167</v>
      </c>
      <c r="B217" s="99" t="s">
        <v>756</v>
      </c>
      <c r="C217" s="34" t="s">
        <v>630</v>
      </c>
      <c r="D217" s="41">
        <v>66</v>
      </c>
      <c r="E217" s="41">
        <v>7</v>
      </c>
      <c r="F217" s="41">
        <v>9.57</v>
      </c>
      <c r="G217" s="41">
        <v>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">
      <c r="A218" s="39" t="s">
        <v>167</v>
      </c>
      <c r="B218" s="99" t="s">
        <v>756</v>
      </c>
      <c r="C218" s="44" t="s">
        <v>631</v>
      </c>
      <c r="D218" s="45">
        <v>248</v>
      </c>
      <c r="E218" s="45">
        <v>14</v>
      </c>
      <c r="F218" s="45">
        <v>5.97</v>
      </c>
      <c r="G218" s="45">
        <v>5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">
      <c r="A219" s="39" t="s">
        <v>167</v>
      </c>
      <c r="B219" s="99" t="s">
        <v>625</v>
      </c>
      <c r="C219" s="99" t="s">
        <v>625</v>
      </c>
      <c r="D219" s="100"/>
      <c r="E219" s="100"/>
      <c r="F219" s="100"/>
      <c r="G219" s="10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">
      <c r="A220" s="39" t="s">
        <v>167</v>
      </c>
      <c r="B220" s="99" t="s">
        <v>625</v>
      </c>
      <c r="C220" s="34" t="s">
        <v>626</v>
      </c>
      <c r="D220" s="41">
        <v>143</v>
      </c>
      <c r="E220" s="41">
        <v>2</v>
      </c>
      <c r="F220" s="41">
        <v>6.01</v>
      </c>
      <c r="G220" s="41">
        <v>3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">
      <c r="A221" s="39" t="s">
        <v>167</v>
      </c>
      <c r="B221" s="99" t="s">
        <v>625</v>
      </c>
      <c r="C221" s="44" t="s">
        <v>631</v>
      </c>
      <c r="D221" s="45">
        <v>143</v>
      </c>
      <c r="E221" s="45">
        <v>2</v>
      </c>
      <c r="F221" s="45">
        <v>6.01</v>
      </c>
      <c r="G221" s="45">
        <v>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">
      <c r="A222" s="39" t="s">
        <v>167</v>
      </c>
      <c r="B222" s="99" t="s">
        <v>757</v>
      </c>
      <c r="C222" s="34" t="s">
        <v>626</v>
      </c>
      <c r="D222" s="41">
        <v>178</v>
      </c>
      <c r="E222" s="41">
        <v>3</v>
      </c>
      <c r="F222" s="41">
        <v>4.74</v>
      </c>
      <c r="G222" s="41">
        <v>8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">
      <c r="A223" s="39" t="s">
        <v>167</v>
      </c>
      <c r="B223" s="99" t="s">
        <v>757</v>
      </c>
      <c r="C223" s="44" t="s">
        <v>631</v>
      </c>
      <c r="D223" s="45">
        <v>178</v>
      </c>
      <c r="E223" s="45">
        <v>3</v>
      </c>
      <c r="F223" s="45">
        <v>4.74</v>
      </c>
      <c r="G223" s="45">
        <v>8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">
      <c r="A224" s="39" t="s">
        <v>167</v>
      </c>
      <c r="B224" s="99" t="s">
        <v>121</v>
      </c>
      <c r="C224" s="34" t="s">
        <v>626</v>
      </c>
      <c r="D224" s="41">
        <v>122</v>
      </c>
      <c r="E224" s="41">
        <v>2</v>
      </c>
      <c r="F224" s="41">
        <v>4.53</v>
      </c>
      <c r="G224" s="41">
        <v>2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">
      <c r="A225" s="39" t="s">
        <v>167</v>
      </c>
      <c r="B225" s="99" t="s">
        <v>121</v>
      </c>
      <c r="C225" s="44" t="s">
        <v>631</v>
      </c>
      <c r="D225" s="45">
        <v>122</v>
      </c>
      <c r="E225" s="45">
        <v>2</v>
      </c>
      <c r="F225" s="45">
        <v>4.53</v>
      </c>
      <c r="G225" s="45">
        <v>2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">
      <c r="A226" s="39" t="s">
        <v>633</v>
      </c>
      <c r="B226" s="99" t="s">
        <v>756</v>
      </c>
      <c r="C226" s="34" t="s">
        <v>626</v>
      </c>
      <c r="D226" s="41">
        <v>184</v>
      </c>
      <c r="E226" s="41">
        <v>2</v>
      </c>
      <c r="F226" s="41">
        <v>5.32</v>
      </c>
      <c r="G226" s="41">
        <v>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">
      <c r="A227" s="39" t="s">
        <v>633</v>
      </c>
      <c r="B227" s="99" t="s">
        <v>756</v>
      </c>
      <c r="C227" s="34" t="s">
        <v>627</v>
      </c>
      <c r="D227" s="41">
        <v>57</v>
      </c>
      <c r="E227" s="41">
        <v>7</v>
      </c>
      <c r="F227" s="41">
        <v>10.53</v>
      </c>
      <c r="G227" s="41">
        <v>6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">
      <c r="A228" s="39" t="s">
        <v>633</v>
      </c>
      <c r="B228" s="99" t="s">
        <v>756</v>
      </c>
      <c r="C228" s="34" t="s">
        <v>628</v>
      </c>
      <c r="D228" s="41">
        <v>88</v>
      </c>
      <c r="E228" s="41">
        <v>8</v>
      </c>
      <c r="F228" s="41">
        <v>9.92</v>
      </c>
      <c r="G228" s="41">
        <v>14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">
      <c r="A229" s="39" t="s">
        <v>633</v>
      </c>
      <c r="B229" s="99" t="s">
        <v>756</v>
      </c>
      <c r="C229" s="34" t="s">
        <v>629</v>
      </c>
      <c r="D229" s="41">
        <v>112</v>
      </c>
      <c r="E229" s="41">
        <v>7</v>
      </c>
      <c r="F229" s="41">
        <v>9.3000000000000007</v>
      </c>
      <c r="G229" s="41">
        <v>13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">
      <c r="A230" s="39" t="s">
        <v>633</v>
      </c>
      <c r="B230" s="99" t="s">
        <v>756</v>
      </c>
      <c r="C230" s="44" t="s">
        <v>631</v>
      </c>
      <c r="D230" s="45">
        <v>440</v>
      </c>
      <c r="E230" s="45">
        <v>24</v>
      </c>
      <c r="F230" s="45">
        <v>7.24</v>
      </c>
      <c r="G230" s="45">
        <v>37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">
      <c r="A231" s="39" t="s">
        <v>633</v>
      </c>
      <c r="B231" s="99" t="s">
        <v>625</v>
      </c>
      <c r="C231" s="34" t="s">
        <v>626</v>
      </c>
      <c r="D231" s="41">
        <v>137</v>
      </c>
      <c r="E231" s="41">
        <v>0</v>
      </c>
      <c r="F231" s="41">
        <v>5.35</v>
      </c>
      <c r="G231" s="41">
        <v>7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">
      <c r="A232" s="39" t="s">
        <v>633</v>
      </c>
      <c r="B232" s="99" t="s">
        <v>625</v>
      </c>
      <c r="C232" s="34" t="s">
        <v>627</v>
      </c>
      <c r="D232" s="41">
        <v>116</v>
      </c>
      <c r="E232" s="41">
        <v>9</v>
      </c>
      <c r="F232" s="41">
        <v>9.64</v>
      </c>
      <c r="G232" s="41">
        <v>12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">
      <c r="A233" s="39" t="s">
        <v>633</v>
      </c>
      <c r="B233" s="99" t="s">
        <v>625</v>
      </c>
      <c r="C233" s="34" t="s">
        <v>628</v>
      </c>
      <c r="D233" s="41">
        <v>118</v>
      </c>
      <c r="E233" s="41">
        <v>10</v>
      </c>
      <c r="F233" s="41">
        <v>10.07</v>
      </c>
      <c r="G233" s="41">
        <v>16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">
      <c r="A234" s="39" t="s">
        <v>633</v>
      </c>
      <c r="B234" s="99" t="s">
        <v>625</v>
      </c>
      <c r="C234" s="34" t="s">
        <v>629</v>
      </c>
      <c r="D234" s="41">
        <v>154</v>
      </c>
      <c r="E234" s="41">
        <v>14</v>
      </c>
      <c r="F234" s="41">
        <v>9.24</v>
      </c>
      <c r="G234" s="41">
        <v>17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">
      <c r="A235" s="39" t="s">
        <v>633</v>
      </c>
      <c r="B235" s="99" t="s">
        <v>625</v>
      </c>
      <c r="C235" s="34" t="s">
        <v>630</v>
      </c>
      <c r="D235" s="41">
        <v>140</v>
      </c>
      <c r="E235" s="41">
        <v>5</v>
      </c>
      <c r="F235" s="41">
        <v>8.1999999999999993</v>
      </c>
      <c r="G235" s="41">
        <v>15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">
      <c r="A236" s="39" t="s">
        <v>633</v>
      </c>
      <c r="B236" s="99" t="s">
        <v>625</v>
      </c>
      <c r="C236" s="44" t="s">
        <v>631</v>
      </c>
      <c r="D236" s="45">
        <v>666</v>
      </c>
      <c r="E236" s="45">
        <v>38</v>
      </c>
      <c r="F236" s="45">
        <v>8</v>
      </c>
      <c r="G236" s="45">
        <v>67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">
      <c r="A237" s="39" t="s">
        <v>633</v>
      </c>
      <c r="B237" s="99" t="s">
        <v>757</v>
      </c>
      <c r="C237" s="34" t="s">
        <v>626</v>
      </c>
      <c r="D237" s="41">
        <v>174</v>
      </c>
      <c r="E237" s="41">
        <v>0</v>
      </c>
      <c r="F237" s="41">
        <v>4.6500000000000004</v>
      </c>
      <c r="G237" s="41">
        <v>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">
      <c r="A238" s="39" t="s">
        <v>633</v>
      </c>
      <c r="B238" s="99" t="s">
        <v>757</v>
      </c>
      <c r="C238" s="34" t="s">
        <v>627</v>
      </c>
      <c r="D238" s="41">
        <v>113</v>
      </c>
      <c r="E238" s="41">
        <v>7</v>
      </c>
      <c r="F238" s="41">
        <v>9.33</v>
      </c>
      <c r="G238" s="41">
        <v>12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">
      <c r="A239" s="39" t="s">
        <v>633</v>
      </c>
      <c r="B239" s="99" t="s">
        <v>757</v>
      </c>
      <c r="C239" s="34" t="s">
        <v>628</v>
      </c>
      <c r="D239" s="41">
        <v>152</v>
      </c>
      <c r="E239" s="41">
        <v>12</v>
      </c>
      <c r="F239" s="41">
        <v>7.59</v>
      </c>
      <c r="G239" s="41">
        <v>20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">
      <c r="A240" s="39" t="s">
        <v>633</v>
      </c>
      <c r="B240" s="99" t="s">
        <v>757</v>
      </c>
      <c r="C240" s="34" t="s">
        <v>629</v>
      </c>
      <c r="D240" s="41">
        <v>143</v>
      </c>
      <c r="E240" s="41">
        <v>8</v>
      </c>
      <c r="F240" s="41">
        <v>7.84</v>
      </c>
      <c r="G240" s="41">
        <v>14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">
      <c r="A241" s="39" t="s">
        <v>633</v>
      </c>
      <c r="B241" s="99" t="s">
        <v>757</v>
      </c>
      <c r="C241" s="34" t="s">
        <v>630</v>
      </c>
      <c r="D241" s="41">
        <v>132</v>
      </c>
      <c r="E241" s="41">
        <v>5</v>
      </c>
      <c r="F241" s="41">
        <v>9.1</v>
      </c>
      <c r="G241" s="41">
        <v>16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">
      <c r="A242" s="39" t="s">
        <v>633</v>
      </c>
      <c r="B242" s="99" t="s">
        <v>757</v>
      </c>
      <c r="C242" s="44" t="s">
        <v>631</v>
      </c>
      <c r="D242" s="45">
        <v>714</v>
      </c>
      <c r="E242" s="45">
        <v>32</v>
      </c>
      <c r="F242" s="45">
        <v>6.98</v>
      </c>
      <c r="G242" s="45">
        <v>67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">
      <c r="A243" s="39" t="s">
        <v>633</v>
      </c>
      <c r="B243" s="99" t="s">
        <v>121</v>
      </c>
      <c r="C243" s="34" t="s">
        <v>626</v>
      </c>
      <c r="D243" s="41">
        <v>123</v>
      </c>
      <c r="E243" s="41">
        <v>0</v>
      </c>
      <c r="F243" s="41">
        <v>4.58</v>
      </c>
      <c r="G243" s="41">
        <v>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>
      <c r="A244" s="39" t="s">
        <v>633</v>
      </c>
      <c r="B244" s="99" t="s">
        <v>121</v>
      </c>
      <c r="C244" s="34" t="s">
        <v>627</v>
      </c>
      <c r="D244" s="41">
        <v>172</v>
      </c>
      <c r="E244" s="41">
        <v>10</v>
      </c>
      <c r="F244" s="41">
        <v>8.7100000000000009</v>
      </c>
      <c r="G244" s="41">
        <v>16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>
      <c r="A245" s="39" t="s">
        <v>633</v>
      </c>
      <c r="B245" s="99" t="s">
        <v>121</v>
      </c>
      <c r="C245" s="34" t="s">
        <v>628</v>
      </c>
      <c r="D245" s="41">
        <v>115</v>
      </c>
      <c r="E245" s="41">
        <v>7</v>
      </c>
      <c r="F245" s="41">
        <v>7.96</v>
      </c>
      <c r="G245" s="41">
        <v>10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>
      <c r="A246" s="39" t="s">
        <v>633</v>
      </c>
      <c r="B246" s="99" t="s">
        <v>121</v>
      </c>
      <c r="C246" s="34" t="s">
        <v>629</v>
      </c>
      <c r="D246" s="41">
        <v>131</v>
      </c>
      <c r="E246" s="41">
        <v>6</v>
      </c>
      <c r="F246" s="41">
        <v>8.86</v>
      </c>
      <c r="G246" s="41">
        <v>13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>
      <c r="A247" s="39" t="s">
        <v>633</v>
      </c>
      <c r="B247" s="99" t="s">
        <v>121</v>
      </c>
      <c r="C247" s="34" t="s">
        <v>630</v>
      </c>
      <c r="D247" s="41">
        <v>158</v>
      </c>
      <c r="E247" s="41">
        <v>8</v>
      </c>
      <c r="F247" s="41">
        <v>7.27</v>
      </c>
      <c r="G247" s="41">
        <v>25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>
      <c r="A248" s="39" t="s">
        <v>633</v>
      </c>
      <c r="B248" s="99" t="s">
        <v>121</v>
      </c>
      <c r="C248" s="44" t="s">
        <v>631</v>
      </c>
      <c r="D248" s="45">
        <v>700</v>
      </c>
      <c r="E248" s="45">
        <v>31</v>
      </c>
      <c r="F248" s="45">
        <v>7.16</v>
      </c>
      <c r="G248" s="45">
        <v>65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>
      <c r="A249" s="39" t="s">
        <v>622</v>
      </c>
      <c r="B249" s="1" t="s">
        <v>758</v>
      </c>
      <c r="C249" s="34" t="s">
        <v>626</v>
      </c>
      <c r="D249" s="41">
        <v>140</v>
      </c>
      <c r="E249" s="41">
        <v>3</v>
      </c>
      <c r="F249" s="41">
        <v>4.18</v>
      </c>
      <c r="G249" s="41">
        <v>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>
      <c r="A250" s="39" t="s">
        <v>622</v>
      </c>
      <c r="B250" s="1" t="s">
        <v>758</v>
      </c>
      <c r="C250" s="34" t="s">
        <v>627</v>
      </c>
      <c r="D250" s="41">
        <v>148</v>
      </c>
      <c r="E250" s="41">
        <v>28</v>
      </c>
      <c r="F250" s="41">
        <v>12.29</v>
      </c>
      <c r="G250" s="41">
        <v>17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>
      <c r="A251" s="39" t="s">
        <v>622</v>
      </c>
      <c r="B251" s="1" t="s">
        <v>758</v>
      </c>
      <c r="C251" s="34" t="s">
        <v>628</v>
      </c>
      <c r="D251" s="41">
        <v>171</v>
      </c>
      <c r="E251" s="41">
        <v>34</v>
      </c>
      <c r="F251" s="41">
        <v>11.21</v>
      </c>
      <c r="G251" s="41">
        <v>15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>
      <c r="A252" s="39" t="s">
        <v>622</v>
      </c>
      <c r="B252" s="1" t="s">
        <v>758</v>
      </c>
      <c r="C252" s="34" t="s">
        <v>629</v>
      </c>
      <c r="D252" s="41">
        <v>125</v>
      </c>
      <c r="E252" s="41">
        <v>27</v>
      </c>
      <c r="F252" s="41">
        <v>10.31</v>
      </c>
      <c r="G252" s="41">
        <v>16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>
      <c r="A253" s="39" t="s">
        <v>622</v>
      </c>
      <c r="B253" s="1" t="s">
        <v>758</v>
      </c>
      <c r="C253" s="34" t="s">
        <v>630</v>
      </c>
      <c r="D253" s="41">
        <v>180</v>
      </c>
      <c r="E253" s="41">
        <v>36</v>
      </c>
      <c r="F253" s="41">
        <v>10.49</v>
      </c>
      <c r="G253" s="41">
        <v>22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>
      <c r="A254" s="39" t="s">
        <v>622</v>
      </c>
      <c r="B254" s="1" t="s">
        <v>758</v>
      </c>
      <c r="C254" s="44" t="s">
        <v>631</v>
      </c>
      <c r="D254" s="45">
        <v>764</v>
      </c>
      <c r="E254" s="45">
        <v>128</v>
      </c>
      <c r="F254" s="45">
        <v>8.4700000000000006</v>
      </c>
      <c r="G254" s="45">
        <v>72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>
      <c r="A255" s="39" t="s">
        <v>622</v>
      </c>
      <c r="B255" s="99" t="s">
        <v>759</v>
      </c>
      <c r="C255" s="34" t="s">
        <v>626</v>
      </c>
      <c r="D255" s="41">
        <v>143</v>
      </c>
      <c r="E255" s="41">
        <v>2</v>
      </c>
      <c r="F255" s="41">
        <v>4.57</v>
      </c>
      <c r="G255" s="41">
        <v>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>
      <c r="A256" s="39" t="s">
        <v>622</v>
      </c>
      <c r="B256" s="99" t="s">
        <v>759</v>
      </c>
      <c r="C256" s="34" t="s">
        <v>627</v>
      </c>
      <c r="D256" s="41">
        <v>133</v>
      </c>
      <c r="E256" s="41">
        <v>31</v>
      </c>
      <c r="F256" s="41">
        <v>12.82</v>
      </c>
      <c r="G256" s="41">
        <v>10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>
      <c r="A257" s="39" t="s">
        <v>622</v>
      </c>
      <c r="B257" s="99" t="s">
        <v>759</v>
      </c>
      <c r="C257" s="34" t="s">
        <v>628</v>
      </c>
      <c r="D257" s="41">
        <v>134</v>
      </c>
      <c r="E257" s="41">
        <v>24</v>
      </c>
      <c r="F257" s="41">
        <v>11.29</v>
      </c>
      <c r="G257" s="41">
        <v>11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>
      <c r="A258" s="39" t="s">
        <v>622</v>
      </c>
      <c r="B258" s="99" t="s">
        <v>759</v>
      </c>
      <c r="C258" s="34" t="s">
        <v>629</v>
      </c>
      <c r="D258" s="41">
        <v>109</v>
      </c>
      <c r="E258" s="41">
        <v>21</v>
      </c>
      <c r="F258" s="41">
        <v>9.18</v>
      </c>
      <c r="G258" s="41">
        <v>12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>
      <c r="A259" s="39" t="s">
        <v>622</v>
      </c>
      <c r="B259" s="99" t="s">
        <v>759</v>
      </c>
      <c r="C259" s="34" t="s">
        <v>630</v>
      </c>
      <c r="D259" s="41">
        <v>109</v>
      </c>
      <c r="E259" s="41">
        <v>19</v>
      </c>
      <c r="F259" s="41">
        <v>9.99</v>
      </c>
      <c r="G259" s="41">
        <v>15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>
      <c r="A260" s="39" t="s">
        <v>622</v>
      </c>
      <c r="B260" s="99" t="s">
        <v>759</v>
      </c>
      <c r="C260" s="44" t="s">
        <v>631</v>
      </c>
      <c r="D260" s="45">
        <v>628</v>
      </c>
      <c r="E260" s="45">
        <v>97</v>
      </c>
      <c r="F260" s="45">
        <v>8.23</v>
      </c>
      <c r="G260" s="45">
        <v>52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>
      <c r="A261" s="39" t="s">
        <v>622</v>
      </c>
      <c r="B261" s="1" t="s">
        <v>760</v>
      </c>
      <c r="C261" s="34" t="s">
        <v>626</v>
      </c>
      <c r="D261" s="41">
        <v>147</v>
      </c>
      <c r="E261" s="41">
        <v>3</v>
      </c>
      <c r="F261" s="41">
        <v>3.92</v>
      </c>
      <c r="G261" s="41">
        <v>2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>
      <c r="A262" s="39" t="s">
        <v>622</v>
      </c>
      <c r="B262" s="1" t="s">
        <v>760</v>
      </c>
      <c r="C262" s="34" t="s">
        <v>627</v>
      </c>
      <c r="D262" s="41">
        <v>134</v>
      </c>
      <c r="E262" s="41">
        <v>24</v>
      </c>
      <c r="F262" s="41">
        <v>10.88</v>
      </c>
      <c r="G262" s="41">
        <v>14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>
      <c r="A263" s="39" t="s">
        <v>622</v>
      </c>
      <c r="B263" s="1" t="s">
        <v>760</v>
      </c>
      <c r="C263" s="34" t="s">
        <v>628</v>
      </c>
      <c r="D263" s="41">
        <v>165</v>
      </c>
      <c r="E263" s="41">
        <v>23</v>
      </c>
      <c r="F263" s="41">
        <v>9.09</v>
      </c>
      <c r="G263" s="41">
        <v>13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>
      <c r="A264" s="39" t="s">
        <v>622</v>
      </c>
      <c r="B264" s="1" t="s">
        <v>760</v>
      </c>
      <c r="C264" s="34" t="s">
        <v>629</v>
      </c>
      <c r="D264" s="41">
        <v>143</v>
      </c>
      <c r="E264" s="41">
        <v>24</v>
      </c>
      <c r="F264" s="41">
        <v>10.36</v>
      </c>
      <c r="G264" s="41">
        <v>15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>
      <c r="A265" s="39" t="s">
        <v>622</v>
      </c>
      <c r="B265" s="1" t="s">
        <v>760</v>
      </c>
      <c r="C265" s="34" t="s">
        <v>630</v>
      </c>
      <c r="D265" s="41">
        <v>166</v>
      </c>
      <c r="E265" s="41">
        <v>27</v>
      </c>
      <c r="F265" s="41">
        <v>9.5</v>
      </c>
      <c r="G265" s="41">
        <v>21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>
      <c r="A266" s="39" t="s">
        <v>622</v>
      </c>
      <c r="B266" s="1" t="s">
        <v>760</v>
      </c>
      <c r="C266" s="44" t="s">
        <v>631</v>
      </c>
      <c r="D266" s="45">
        <v>754</v>
      </c>
      <c r="E266" s="45">
        <v>101</v>
      </c>
      <c r="F266" s="45">
        <v>7.61</v>
      </c>
      <c r="G266" s="45">
        <v>65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>
      <c r="A267" s="1"/>
      <c r="B267" s="99" t="s">
        <v>766</v>
      </c>
      <c r="C267" s="34" t="s">
        <v>626</v>
      </c>
      <c r="D267" s="41">
        <v>209</v>
      </c>
      <c r="E267" s="41">
        <v>25</v>
      </c>
      <c r="F267" s="41">
        <v>6.22</v>
      </c>
      <c r="G267" s="41">
        <v>8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>
      <c r="A268" s="1"/>
      <c r="C268" s="34" t="s">
        <v>630</v>
      </c>
      <c r="D268" s="41">
        <v>29</v>
      </c>
      <c r="E268" s="41">
        <v>9</v>
      </c>
      <c r="F268" s="41">
        <v>11.62</v>
      </c>
      <c r="G268" s="41">
        <v>1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>
      <c r="A269" s="1"/>
      <c r="C269" s="44" t="s">
        <v>631</v>
      </c>
      <c r="D269" s="45">
        <v>238</v>
      </c>
      <c r="E269" s="45">
        <v>34</v>
      </c>
      <c r="F269" s="45">
        <v>6.59</v>
      </c>
      <c r="G269" s="45">
        <v>9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>
      <c r="A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>
      <c r="A271" s="1"/>
      <c r="B271" s="99" t="s">
        <v>767</v>
      </c>
      <c r="C271" s="34" t="s">
        <v>626</v>
      </c>
      <c r="D271" s="41">
        <v>186</v>
      </c>
      <c r="E271" s="41">
        <v>14</v>
      </c>
      <c r="F271" s="41">
        <v>5.94</v>
      </c>
      <c r="G271" s="41">
        <v>6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>
      <c r="A272" s="1"/>
      <c r="C272" s="44" t="s">
        <v>631</v>
      </c>
      <c r="D272" s="45">
        <v>186</v>
      </c>
      <c r="E272" s="45">
        <v>14</v>
      </c>
      <c r="F272" s="45">
        <v>5.94</v>
      </c>
      <c r="G272" s="45">
        <v>6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>
      <c r="A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>
      <c r="A274" s="1"/>
      <c r="B274" s="99" t="s">
        <v>768</v>
      </c>
      <c r="C274" s="34" t="s">
        <v>626</v>
      </c>
      <c r="D274" s="41">
        <v>215</v>
      </c>
      <c r="E274" s="41">
        <v>14</v>
      </c>
      <c r="F274" s="41">
        <v>5.76</v>
      </c>
      <c r="G274" s="41">
        <v>8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>
      <c r="A275" s="1"/>
      <c r="C275" s="44" t="s">
        <v>631</v>
      </c>
      <c r="D275" s="45">
        <v>215</v>
      </c>
      <c r="E275" s="45">
        <v>14</v>
      </c>
      <c r="F275" s="45">
        <v>5.76</v>
      </c>
      <c r="G275" s="45">
        <v>8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>
      <c r="A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315</v>
      </c>
      <c r="B1" s="1" t="s">
        <v>769</v>
      </c>
    </row>
    <row r="2" spans="1:2" ht="15.75" customHeight="1">
      <c r="A2" s="1" t="s">
        <v>770</v>
      </c>
      <c r="B2" s="1">
        <v>20</v>
      </c>
    </row>
    <row r="3" spans="1:2" ht="15.75" customHeight="1">
      <c r="A3" s="1" t="s">
        <v>771</v>
      </c>
      <c r="B3" s="1">
        <v>-9</v>
      </c>
    </row>
    <row r="4" spans="1:2" ht="15.75" customHeight="1">
      <c r="A4" s="1" t="s">
        <v>772</v>
      </c>
      <c r="B4" s="1">
        <v>17</v>
      </c>
    </row>
    <row r="5" spans="1:2" ht="15.75" customHeight="1">
      <c r="A5" s="1" t="s">
        <v>166</v>
      </c>
      <c r="B5" s="1">
        <v>8</v>
      </c>
    </row>
    <row r="6" spans="1:2" ht="15.75" customHeight="1">
      <c r="A6" s="1" t="s">
        <v>773</v>
      </c>
      <c r="B6" s="1">
        <v>25</v>
      </c>
    </row>
    <row r="7" spans="1:2" ht="15.75" customHeight="1">
      <c r="A7" s="1" t="s">
        <v>774</v>
      </c>
      <c r="B7" s="1">
        <v>11</v>
      </c>
    </row>
    <row r="8" spans="1:2" ht="15.75" customHeight="1">
      <c r="A8" s="1" t="s">
        <v>775</v>
      </c>
      <c r="B8" s="1">
        <v>8</v>
      </c>
    </row>
    <row r="9" spans="1:2" ht="15.75" customHeight="1">
      <c r="A9" s="1" t="s">
        <v>776</v>
      </c>
      <c r="B9" s="1">
        <v>5</v>
      </c>
    </row>
    <row r="10" spans="1:2" ht="15.75" customHeight="1">
      <c r="A10" s="1" t="s">
        <v>158</v>
      </c>
      <c r="B10" s="1">
        <v>-8</v>
      </c>
    </row>
    <row r="11" spans="1:2" ht="15.75" customHeight="1">
      <c r="A11" s="1" t="s">
        <v>777</v>
      </c>
      <c r="B11" s="1">
        <v>-1</v>
      </c>
    </row>
    <row r="12" spans="1:2" ht="15.75" customHeight="1">
      <c r="A12" s="1" t="s">
        <v>154</v>
      </c>
      <c r="B12" s="1">
        <v>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31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5.5" customWidth="1"/>
    <col min="3" max="3" width="14.6640625" customWidth="1"/>
    <col min="4" max="5" width="15.6640625" customWidth="1"/>
    <col min="6" max="6" width="18.6640625" customWidth="1"/>
  </cols>
  <sheetData>
    <row r="1" spans="1:29" ht="15.75" customHeight="1">
      <c r="A1" s="19" t="s">
        <v>16</v>
      </c>
      <c r="B1" s="20" t="s">
        <v>17</v>
      </c>
      <c r="C1" s="20" t="s">
        <v>18</v>
      </c>
      <c r="D1" s="20" t="s">
        <v>19</v>
      </c>
      <c r="E1" s="20" t="s">
        <v>20</v>
      </c>
      <c r="F1" s="20" t="s">
        <v>21</v>
      </c>
      <c r="G1" s="20" t="s">
        <v>22</v>
      </c>
      <c r="H1" s="20" t="s">
        <v>23</v>
      </c>
      <c r="I1" s="21" t="s">
        <v>24</v>
      </c>
      <c r="K1" s="22" t="s">
        <v>25</v>
      </c>
    </row>
    <row r="2" spans="1:29" ht="15.75" customHeight="1">
      <c r="A2" s="23" t="s">
        <v>26</v>
      </c>
      <c r="B2" s="24">
        <f>ionna!B35</f>
        <v>659.9666666666667</v>
      </c>
      <c r="C2" s="24">
        <f>ionna!B36</f>
        <v>19.259727626459146</v>
      </c>
      <c r="D2" s="24">
        <f>ionna!J35</f>
        <v>34.266666666666666</v>
      </c>
      <c r="E2" s="24">
        <f>ionna!B38</f>
        <v>115.55278934944316</v>
      </c>
      <c r="F2" s="24">
        <f t="shared" ref="F2:F15" si="0">B2/D2</f>
        <v>19.259727626459146</v>
      </c>
      <c r="G2" s="25" t="s">
        <v>27</v>
      </c>
      <c r="H2" s="25" t="s">
        <v>28</v>
      </c>
      <c r="I2" s="26" t="s">
        <v>29</v>
      </c>
      <c r="J2" s="27"/>
      <c r="K2" s="27" t="s">
        <v>30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5.75" customHeight="1">
      <c r="A3" s="23" t="s">
        <v>31</v>
      </c>
      <c r="B3" s="24">
        <f>michelle!B36</f>
        <v>386.96666666666664</v>
      </c>
      <c r="C3" s="24">
        <f>michelle!B37</f>
        <v>17.536253776435046</v>
      </c>
      <c r="D3" s="24">
        <f>michelle!J36</f>
        <v>22.066666666666666</v>
      </c>
      <c r="E3" s="24">
        <f>michelle!B39</f>
        <v>81.823255626321242</v>
      </c>
      <c r="F3" s="24">
        <f t="shared" si="0"/>
        <v>17.536253776435043</v>
      </c>
      <c r="G3" s="25" t="s">
        <v>27</v>
      </c>
      <c r="H3" s="25" t="s">
        <v>32</v>
      </c>
      <c r="I3" s="26" t="s">
        <v>33</v>
      </c>
      <c r="J3" s="27"/>
      <c r="K3" s="27" t="s">
        <v>34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5.75" customHeight="1">
      <c r="A4" s="23" t="s">
        <v>35</v>
      </c>
      <c r="B4" s="24">
        <f>jayda!B30</f>
        <v>325.15384615384613</v>
      </c>
      <c r="C4" s="24">
        <f>jayda!B31</f>
        <v>19.569444444444443</v>
      </c>
      <c r="D4" s="24">
        <f>jayda!J31</f>
        <v>16.615384615384617</v>
      </c>
      <c r="E4" s="24">
        <f>jayda!B33</f>
        <v>108.18528266180839</v>
      </c>
      <c r="F4" s="24">
        <f t="shared" si="0"/>
        <v>19.569444444444443</v>
      </c>
      <c r="G4" s="25" t="s">
        <v>36</v>
      </c>
      <c r="H4" s="25" t="s">
        <v>28</v>
      </c>
      <c r="I4" s="26" t="s">
        <v>37</v>
      </c>
      <c r="J4" s="27"/>
      <c r="K4" s="27" t="s">
        <v>38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5.75" customHeight="1">
      <c r="A5" s="23" t="s">
        <v>39</v>
      </c>
      <c r="B5" s="24">
        <f>kayla!B35</f>
        <v>619.54838709677415</v>
      </c>
      <c r="C5" s="24">
        <f>kayla!B36</f>
        <v>19.577981651376145</v>
      </c>
      <c r="D5" s="24">
        <f>kayla!I34</f>
        <v>31</v>
      </c>
      <c r="E5" s="24">
        <f>kayla!B38</f>
        <v>157.03350782761356</v>
      </c>
      <c r="F5" s="24">
        <f t="shared" si="0"/>
        <v>19.985431841831424</v>
      </c>
      <c r="G5" s="25" t="s">
        <v>27</v>
      </c>
      <c r="H5" s="25" t="s">
        <v>40</v>
      </c>
      <c r="I5" s="26" t="s">
        <v>41</v>
      </c>
      <c r="J5" s="27"/>
      <c r="K5" s="27" t="s">
        <v>42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5.75" customHeight="1">
      <c r="A6" s="23" t="s">
        <v>43</v>
      </c>
      <c r="B6" s="24">
        <f>marta!B34</f>
        <v>452.93103448275861</v>
      </c>
      <c r="C6" s="24">
        <f>marta!B35</f>
        <v>15.237819025522041</v>
      </c>
      <c r="D6" s="24">
        <f>marta!I35</f>
        <v>29.724137931034484</v>
      </c>
      <c r="E6" s="24">
        <f>marta!B37</f>
        <v>146.18906881967791</v>
      </c>
      <c r="F6" s="24">
        <f t="shared" si="0"/>
        <v>15.237819025522041</v>
      </c>
      <c r="G6" s="25" t="s">
        <v>27</v>
      </c>
      <c r="H6" s="25" t="s">
        <v>44</v>
      </c>
      <c r="I6" s="26" t="s">
        <v>34</v>
      </c>
      <c r="J6" s="27"/>
      <c r="K6" s="27" t="s">
        <v>45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15.75" customHeight="1">
      <c r="A7" s="23" t="s">
        <v>45</v>
      </c>
      <c r="B7" s="24">
        <f>lulu!B35</f>
        <v>528.0344827586207</v>
      </c>
      <c r="C7" s="24">
        <f>lulu!B36</f>
        <v>16.608459869848158</v>
      </c>
      <c r="D7" s="24">
        <f>lulu!J36</f>
        <v>31.793103448275861</v>
      </c>
      <c r="E7" s="24">
        <f>lulu!B38</f>
        <v>122.5402545227267</v>
      </c>
      <c r="F7" s="24">
        <f t="shared" si="0"/>
        <v>16.608459869848158</v>
      </c>
      <c r="G7" s="25" t="s">
        <v>27</v>
      </c>
      <c r="H7" s="25" t="s">
        <v>28</v>
      </c>
      <c r="I7" s="26" t="s">
        <v>46</v>
      </c>
      <c r="J7" s="27"/>
      <c r="K7" s="27" t="s">
        <v>29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15.75" customHeight="1">
      <c r="A8" s="23" t="s">
        <v>47</v>
      </c>
      <c r="B8" s="24">
        <f>gabi!B36</f>
        <v>162.38709677419354</v>
      </c>
      <c r="C8" s="24">
        <f>gabi!B37</f>
        <v>19.976190476190474</v>
      </c>
      <c r="D8" s="24">
        <f>gabi!$K36</f>
        <v>8.129032258064516</v>
      </c>
      <c r="E8" s="24">
        <f>gabi!B39</f>
        <v>89.726130500672184</v>
      </c>
      <c r="F8" s="24">
        <f t="shared" si="0"/>
        <v>19.976190476190474</v>
      </c>
      <c r="G8" s="25" t="s">
        <v>36</v>
      </c>
      <c r="H8" s="25" t="s">
        <v>32</v>
      </c>
      <c r="I8" s="26" t="s">
        <v>33</v>
      </c>
      <c r="J8" s="27"/>
      <c r="K8" s="27" t="s">
        <v>28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5.75" customHeight="1">
      <c r="A9" s="28" t="s">
        <v>48</v>
      </c>
      <c r="B9" s="29">
        <f>dros!B25</f>
        <v>169.1</v>
      </c>
      <c r="C9" s="29">
        <f>dros!B26</f>
        <v>22.851351351351351</v>
      </c>
      <c r="D9" s="29">
        <f>dros!J25</f>
        <v>7.4</v>
      </c>
      <c r="E9" s="29">
        <f>dros!B28</f>
        <v>140.59681062490264</v>
      </c>
      <c r="F9" s="29">
        <f t="shared" si="0"/>
        <v>22.851351351351351</v>
      </c>
      <c r="G9" s="30" t="s">
        <v>36</v>
      </c>
      <c r="H9" s="30" t="s">
        <v>28</v>
      </c>
      <c r="I9" s="31"/>
      <c r="K9" s="1" t="s">
        <v>37</v>
      </c>
    </row>
    <row r="10" spans="1:29" ht="15.75" customHeight="1">
      <c r="A10" s="28" t="s">
        <v>49</v>
      </c>
      <c r="B10" s="29">
        <f>gmaul!B25</f>
        <v>156.80000000000001</v>
      </c>
      <c r="C10" s="29">
        <f>gmaul!B26</f>
        <v>20.906666666666666</v>
      </c>
      <c r="D10" s="29">
        <f>gmaul!J25</f>
        <v>7.5</v>
      </c>
      <c r="E10" s="29">
        <f>gmaul!B28</f>
        <v>95.024428992039503</v>
      </c>
      <c r="F10" s="29">
        <f t="shared" si="0"/>
        <v>20.90666666666667</v>
      </c>
      <c r="G10" s="30" t="s">
        <v>36</v>
      </c>
      <c r="H10" s="30" t="s">
        <v>28</v>
      </c>
      <c r="I10" s="31"/>
      <c r="K10" s="1" t="s">
        <v>50</v>
      </c>
    </row>
    <row r="11" spans="1:29" ht="15.75" customHeight="1">
      <c r="A11" s="23" t="s">
        <v>38</v>
      </c>
      <c r="B11" s="24">
        <f>lola!B28</f>
        <v>199.95652173913044</v>
      </c>
      <c r="C11" s="24">
        <f>lola!B29</f>
        <v>18.396000000000001</v>
      </c>
      <c r="D11" s="24">
        <f>lola!J28</f>
        <v>10.869565217391305</v>
      </c>
      <c r="E11" s="24">
        <f>lola!B31</f>
        <v>134.59720321992023</v>
      </c>
      <c r="F11" s="24">
        <f t="shared" si="0"/>
        <v>18.396000000000001</v>
      </c>
      <c r="G11" s="25" t="s">
        <v>36</v>
      </c>
      <c r="H11" s="25" t="s">
        <v>28</v>
      </c>
      <c r="I11" s="26"/>
      <c r="J11" s="27"/>
      <c r="K11" s="27" t="s">
        <v>48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15.75" customHeight="1">
      <c r="A12" s="28" t="s">
        <v>51</v>
      </c>
      <c r="B12" s="29">
        <f>kam!B17</f>
        <v>131.30769230769232</v>
      </c>
      <c r="C12" s="29">
        <f>kam!B18</f>
        <v>25.477611940298509</v>
      </c>
      <c r="D12" s="29">
        <f>kam!H18</f>
        <v>5.1538461538461542</v>
      </c>
      <c r="E12" s="29"/>
      <c r="F12" s="29">
        <f t="shared" si="0"/>
        <v>25.477611940298509</v>
      </c>
      <c r="G12" s="30" t="s">
        <v>36</v>
      </c>
      <c r="H12" s="30" t="s">
        <v>44</v>
      </c>
      <c r="I12" s="31"/>
      <c r="K12" s="1" t="s">
        <v>41</v>
      </c>
    </row>
    <row r="13" spans="1:29" ht="15.75" customHeight="1">
      <c r="A13" s="28" t="s">
        <v>52</v>
      </c>
      <c r="B13" s="29">
        <f>nat!B28</f>
        <v>155.08695652173913</v>
      </c>
      <c r="C13" s="29">
        <f>nat!B29</f>
        <v>21.232142857142858</v>
      </c>
      <c r="D13" s="29">
        <f>nat!I28</f>
        <v>7.3043478260869561</v>
      </c>
      <c r="E13" s="29"/>
      <c r="F13" s="29">
        <f t="shared" si="0"/>
        <v>21.232142857142858</v>
      </c>
      <c r="G13" s="30" t="s">
        <v>36</v>
      </c>
      <c r="H13" s="30" t="s">
        <v>28</v>
      </c>
      <c r="I13" s="31"/>
      <c r="K13" s="1" t="s">
        <v>53</v>
      </c>
    </row>
    <row r="14" spans="1:29" ht="15.75" customHeight="1">
      <c r="A14" s="28" t="s">
        <v>54</v>
      </c>
      <c r="B14" s="30"/>
      <c r="C14" s="30"/>
      <c r="D14" s="30"/>
      <c r="E14" s="30"/>
      <c r="F14" s="30" t="e">
        <f t="shared" si="0"/>
        <v>#DIV/0!</v>
      </c>
      <c r="G14" s="30" t="s">
        <v>36</v>
      </c>
      <c r="H14" s="30" t="s">
        <v>28</v>
      </c>
      <c r="I14" s="31"/>
      <c r="K14" s="1" t="s">
        <v>55</v>
      </c>
    </row>
    <row r="15" spans="1:29" ht="15.75" customHeight="1">
      <c r="A15" s="28" t="s">
        <v>56</v>
      </c>
      <c r="B15" s="30"/>
      <c r="C15" s="30"/>
      <c r="D15" s="30"/>
      <c r="E15" s="30"/>
      <c r="F15" s="30" t="e">
        <f t="shared" si="0"/>
        <v>#DIV/0!</v>
      </c>
      <c r="G15" s="30" t="s">
        <v>36</v>
      </c>
      <c r="H15" s="30" t="s">
        <v>28</v>
      </c>
      <c r="I15" s="31"/>
    </row>
    <row r="16" spans="1:29" ht="15.75" customHeight="1">
      <c r="A16" s="28"/>
      <c r="B16" s="30"/>
      <c r="C16" s="30"/>
      <c r="D16" s="30"/>
      <c r="E16" s="30"/>
      <c r="F16" s="30"/>
      <c r="G16" s="30"/>
      <c r="H16" s="30"/>
      <c r="I16" s="31"/>
    </row>
    <row r="17" spans="1:9" ht="15.75" customHeight="1">
      <c r="A17" s="28" t="s">
        <v>57</v>
      </c>
      <c r="B17" s="30"/>
      <c r="C17" s="32">
        <f>SUM(B2:B3,B5,B6,B7)</f>
        <v>2647.4472376714866</v>
      </c>
      <c r="D17" s="30"/>
      <c r="E17" s="30"/>
      <c r="F17" s="30"/>
      <c r="G17" s="30"/>
      <c r="H17" s="30"/>
      <c r="I17" s="31"/>
    </row>
    <row r="20" spans="1:9" ht="15.75" customHeight="1">
      <c r="A20" s="19" t="s">
        <v>23</v>
      </c>
      <c r="B20" s="20" t="s">
        <v>58</v>
      </c>
      <c r="C20" s="20" t="s">
        <v>17</v>
      </c>
      <c r="D20" s="20" t="s">
        <v>59</v>
      </c>
      <c r="E20" s="21" t="s">
        <v>60</v>
      </c>
      <c r="F20" s="21" t="s">
        <v>25</v>
      </c>
    </row>
    <row r="21" spans="1:9" ht="15.75" customHeight="1">
      <c r="A21" s="28" t="s">
        <v>61</v>
      </c>
      <c r="B21" s="32">
        <f>C5</f>
        <v>19.577981651376145</v>
      </c>
      <c r="C21" s="32">
        <f>B5</f>
        <v>619.54838709677415</v>
      </c>
      <c r="D21" s="29">
        <f t="shared" ref="D21:D25" si="1">C21/B21</f>
        <v>31.64516129032258</v>
      </c>
      <c r="E21" s="32">
        <f>E5</f>
        <v>157.03350782761356</v>
      </c>
      <c r="F21" s="31" t="s">
        <v>62</v>
      </c>
    </row>
    <row r="22" spans="1:9" ht="15.75" customHeight="1">
      <c r="A22" s="28" t="s">
        <v>63</v>
      </c>
      <c r="B22" s="32">
        <f>AVERAGE(C2,C6,C7)</f>
        <v>17.035335507276447</v>
      </c>
      <c r="C22" s="32">
        <f>AVERAGE(B2,B6,B7)</f>
        <v>546.97739463601533</v>
      </c>
      <c r="D22" s="29">
        <f t="shared" si="1"/>
        <v>32.108401645648847</v>
      </c>
      <c r="E22" s="32">
        <f>AVERAGE(E2,E6,E7)</f>
        <v>128.09403756394926</v>
      </c>
      <c r="F22" s="31" t="s">
        <v>64</v>
      </c>
    </row>
    <row r="23" spans="1:9" ht="15.75" customHeight="1">
      <c r="A23" s="28" t="s">
        <v>65</v>
      </c>
      <c r="B23" s="32">
        <f>C3</f>
        <v>17.536253776435046</v>
      </c>
      <c r="C23" s="32">
        <f>B3</f>
        <v>386.96666666666664</v>
      </c>
      <c r="D23" s="29">
        <f t="shared" si="1"/>
        <v>22.066666666666663</v>
      </c>
      <c r="E23" s="32">
        <f>E3</f>
        <v>81.823255626321242</v>
      </c>
      <c r="F23" s="31" t="s">
        <v>53</v>
      </c>
    </row>
    <row r="24" spans="1:9" ht="15.75" customHeight="1">
      <c r="A24" s="28" t="s">
        <v>66</v>
      </c>
      <c r="B24" s="32">
        <f>AVERAGE(C4,C11)</f>
        <v>18.982722222222222</v>
      </c>
      <c r="C24" s="32">
        <f>AVERAGE(B4,B11)</f>
        <v>262.55518394648828</v>
      </c>
      <c r="D24" s="29">
        <f t="shared" si="1"/>
        <v>13.831271451632301</v>
      </c>
      <c r="E24" s="32">
        <f>AVERAGE(E4,E11)</f>
        <v>121.39124294086432</v>
      </c>
      <c r="F24" s="31" t="s">
        <v>67</v>
      </c>
    </row>
    <row r="25" spans="1:9" ht="15.75" customHeight="1">
      <c r="A25" s="28" t="s">
        <v>68</v>
      </c>
      <c r="B25" s="32">
        <f>C8</f>
        <v>19.976190476190474</v>
      </c>
      <c r="C25" s="32">
        <f>B8</f>
        <v>162.38709677419354</v>
      </c>
      <c r="D25" s="29">
        <f t="shared" si="1"/>
        <v>8.129032258064516</v>
      </c>
      <c r="E25" s="32">
        <f>E8</f>
        <v>89.726130500672184</v>
      </c>
      <c r="F25" s="31" t="s">
        <v>50</v>
      </c>
    </row>
    <row r="28" spans="1:9" ht="15.75" customHeight="1">
      <c r="A28" s="1" t="s">
        <v>9</v>
      </c>
    </row>
    <row r="29" spans="1:9" ht="15.75" customHeight="1">
      <c r="A29" s="1" t="s">
        <v>69</v>
      </c>
    </row>
    <row r="30" spans="1:9" ht="15.75" customHeight="1">
      <c r="A30" s="1" t="s">
        <v>70</v>
      </c>
    </row>
    <row r="31" spans="1:9" ht="15.75" customHeight="1">
      <c r="A31" s="1" t="s">
        <v>71</v>
      </c>
    </row>
  </sheetData>
  <pageMargins left="0.7" right="0.7" top="0.75" bottom="0.75" header="0.3" footer="0.3"/>
  <drawing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9.83203125" customWidth="1"/>
    <col min="3" max="3" width="14.6640625" customWidth="1"/>
    <col min="4" max="5" width="15.6640625" customWidth="1"/>
    <col min="6" max="6" width="23" customWidth="1"/>
  </cols>
  <sheetData>
    <row r="1" spans="1:29" ht="15.75" customHeight="1">
      <c r="A1" s="19" t="s">
        <v>16</v>
      </c>
      <c r="B1" s="20" t="s">
        <v>72</v>
      </c>
      <c r="C1" s="20" t="s">
        <v>73</v>
      </c>
      <c r="D1" s="20" t="s">
        <v>19</v>
      </c>
      <c r="E1" s="20" t="s">
        <v>20</v>
      </c>
      <c r="F1" s="20" t="s">
        <v>74</v>
      </c>
      <c r="G1" s="20" t="s">
        <v>22</v>
      </c>
      <c r="H1" s="20" t="s">
        <v>23</v>
      </c>
      <c r="I1" s="21" t="s">
        <v>24</v>
      </c>
      <c r="K1" s="22" t="s">
        <v>25</v>
      </c>
    </row>
    <row r="2" spans="1:29" ht="15.75" customHeight="1">
      <c r="A2" s="23" t="s">
        <v>26</v>
      </c>
      <c r="B2" s="24">
        <f>ionna!C35</f>
        <v>60.03448275862069</v>
      </c>
      <c r="C2" s="24">
        <f>ionna!C36</f>
        <v>1.751979068831343</v>
      </c>
      <c r="D2" s="24">
        <f>ionna!J35</f>
        <v>34.266666666666666</v>
      </c>
      <c r="E2" s="24">
        <f>ionna!C38</f>
        <v>16.674330382296571</v>
      </c>
      <c r="F2" s="24">
        <f t="shared" ref="F2:F15" si="0">B2/D2</f>
        <v>1.7519790688313432</v>
      </c>
      <c r="G2" s="25" t="s">
        <v>27</v>
      </c>
      <c r="H2" s="25" t="s">
        <v>28</v>
      </c>
      <c r="I2" s="26" t="s">
        <v>29</v>
      </c>
      <c r="J2" s="27"/>
      <c r="K2" s="27" t="s">
        <v>30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5.75" customHeight="1">
      <c r="A3" s="23" t="s">
        <v>31</v>
      </c>
      <c r="B3" s="24">
        <f>michelle!C36</f>
        <v>48.866666666666667</v>
      </c>
      <c r="C3" s="24">
        <f>michelle!C37</f>
        <v>2.214501510574018</v>
      </c>
      <c r="D3" s="24">
        <f>michelle!J36</f>
        <v>22.066666666666666</v>
      </c>
      <c r="E3" s="24">
        <f>michelle!C39</f>
        <v>12.538456971486028</v>
      </c>
      <c r="F3" s="24">
        <f t="shared" si="0"/>
        <v>2.214501510574018</v>
      </c>
      <c r="G3" s="25" t="s">
        <v>27</v>
      </c>
      <c r="H3" s="25" t="s">
        <v>32</v>
      </c>
      <c r="I3" s="26" t="s">
        <v>33</v>
      </c>
      <c r="J3" s="27"/>
      <c r="K3" s="27" t="s">
        <v>34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5.75" customHeight="1">
      <c r="A4" s="23" t="s">
        <v>35</v>
      </c>
      <c r="B4" s="24">
        <f>jayda!C30</f>
        <v>40</v>
      </c>
      <c r="C4" s="24">
        <f>jayda!C31</f>
        <v>2.4074074074074074</v>
      </c>
      <c r="D4" s="24">
        <f>jayda!J31</f>
        <v>16.615384615384617</v>
      </c>
      <c r="E4" s="24">
        <f>jayda!C33</f>
        <v>14.218298069740976</v>
      </c>
      <c r="F4" s="24">
        <f t="shared" si="0"/>
        <v>2.407407407407407</v>
      </c>
      <c r="G4" s="25" t="s">
        <v>36</v>
      </c>
      <c r="H4" s="25" t="s">
        <v>28</v>
      </c>
      <c r="I4" s="26" t="s">
        <v>37</v>
      </c>
      <c r="J4" s="27"/>
      <c r="K4" s="27" t="s">
        <v>38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5.75" customHeight="1">
      <c r="A5" s="23" t="s">
        <v>39</v>
      </c>
      <c r="B5" s="24">
        <f>kayla!$C35</f>
        <v>72.41935483870968</v>
      </c>
      <c r="C5" s="24">
        <f>kayla!C36</f>
        <v>2.2884811416921509</v>
      </c>
      <c r="D5" s="24">
        <f>kayla!I34</f>
        <v>31</v>
      </c>
      <c r="E5" s="24">
        <f>kayla!C38</f>
        <v>20.774622649679092</v>
      </c>
      <c r="F5" s="24">
        <f t="shared" si="0"/>
        <v>2.336108220603538</v>
      </c>
      <c r="G5" s="25" t="s">
        <v>27</v>
      </c>
      <c r="H5" s="25" t="s">
        <v>40</v>
      </c>
      <c r="I5" s="26" t="s">
        <v>41</v>
      </c>
      <c r="J5" s="27"/>
      <c r="K5" s="27" t="s">
        <v>42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5.75" customHeight="1">
      <c r="A6" s="23" t="s">
        <v>43</v>
      </c>
      <c r="B6" s="24">
        <f>marta!C34</f>
        <v>44.344827586206897</v>
      </c>
      <c r="C6" s="24">
        <f>marta!C35</f>
        <v>1.4918793503480279</v>
      </c>
      <c r="D6" s="24">
        <f>marta!I35</f>
        <v>29.724137931034484</v>
      </c>
      <c r="E6" s="24">
        <f>marta!C37</f>
        <v>16.621844491082037</v>
      </c>
      <c r="F6" s="24">
        <f t="shared" si="0"/>
        <v>1.4918793503480279</v>
      </c>
      <c r="G6" s="25" t="s">
        <v>27</v>
      </c>
      <c r="H6" s="25" t="s">
        <v>44</v>
      </c>
      <c r="I6" s="26" t="s">
        <v>34</v>
      </c>
      <c r="J6" s="27"/>
      <c r="K6" s="27" t="s">
        <v>45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15.75" customHeight="1">
      <c r="A7" s="23" t="s">
        <v>45</v>
      </c>
      <c r="B7" s="24">
        <f>lulu!C35</f>
        <v>39.310344827586206</v>
      </c>
      <c r="C7" s="24">
        <f>lulu!C36</f>
        <v>1.2364425162689805</v>
      </c>
      <c r="D7" s="24">
        <f>lulu!J36</f>
        <v>31.793103448275861</v>
      </c>
      <c r="E7" s="24">
        <f>lulu!C38</f>
        <v>10.639447798751853</v>
      </c>
      <c r="F7" s="24">
        <f t="shared" si="0"/>
        <v>1.2364425162689805</v>
      </c>
      <c r="G7" s="25" t="s">
        <v>27</v>
      </c>
      <c r="H7" s="25" t="s">
        <v>28</v>
      </c>
      <c r="I7" s="26" t="s">
        <v>46</v>
      </c>
      <c r="J7" s="27"/>
      <c r="K7" s="27" t="s">
        <v>29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15.75" customHeight="1">
      <c r="A8" s="23" t="s">
        <v>47</v>
      </c>
      <c r="B8" s="24">
        <f>gabi!C36</f>
        <v>23.870967741935484</v>
      </c>
      <c r="C8" s="24">
        <f>gabi!C37</f>
        <v>2.9365079365079363</v>
      </c>
      <c r="D8" s="24">
        <f>gabi!$K36</f>
        <v>8.129032258064516</v>
      </c>
      <c r="E8" s="24">
        <f>gabi!C39</f>
        <v>14.650920188356478</v>
      </c>
      <c r="F8" s="24">
        <f t="shared" si="0"/>
        <v>2.9365079365079367</v>
      </c>
      <c r="G8" s="25" t="s">
        <v>36</v>
      </c>
      <c r="H8" s="25" t="s">
        <v>32</v>
      </c>
      <c r="I8" s="26" t="s">
        <v>33</v>
      </c>
      <c r="J8" s="27"/>
      <c r="K8" s="27" t="s">
        <v>28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5.75" customHeight="1">
      <c r="A9" s="28" t="s">
        <v>48</v>
      </c>
      <c r="B9" s="29">
        <f>dros!C25</f>
        <v>9.8000000000000007</v>
      </c>
      <c r="C9" s="29">
        <f>dros!C26</f>
        <v>1.3243243243243243</v>
      </c>
      <c r="D9" s="29">
        <f>dros!J25</f>
        <v>7.4</v>
      </c>
      <c r="E9" s="29">
        <f>dros!C28</f>
        <v>8.9595582597874941</v>
      </c>
      <c r="F9" s="29">
        <f t="shared" si="0"/>
        <v>1.3243243243243243</v>
      </c>
      <c r="G9" s="30" t="s">
        <v>36</v>
      </c>
      <c r="H9" s="30" t="s">
        <v>28</v>
      </c>
      <c r="I9" s="31"/>
      <c r="K9" s="1" t="s">
        <v>37</v>
      </c>
    </row>
    <row r="10" spans="1:29" ht="15.75" customHeight="1">
      <c r="A10" s="28" t="s">
        <v>49</v>
      </c>
      <c r="B10" s="29">
        <f>gmaul!C25</f>
        <v>11.7</v>
      </c>
      <c r="C10" s="29">
        <f>gmaul!C26</f>
        <v>1.56</v>
      </c>
      <c r="D10" s="29">
        <f>gmaul!J25</f>
        <v>7.5</v>
      </c>
      <c r="E10" s="29">
        <f>gmaul!C28</f>
        <v>9.6796041676354339</v>
      </c>
      <c r="F10" s="29">
        <f t="shared" si="0"/>
        <v>1.5599999999999998</v>
      </c>
      <c r="G10" s="30" t="s">
        <v>36</v>
      </c>
      <c r="H10" s="30" t="s">
        <v>28</v>
      </c>
      <c r="I10" s="31"/>
      <c r="K10" s="1" t="s">
        <v>50</v>
      </c>
    </row>
    <row r="11" spans="1:29" ht="15.75" customHeight="1">
      <c r="A11" s="23" t="s">
        <v>38</v>
      </c>
      <c r="B11" s="24">
        <f>lola!C28</f>
        <v>13.695652173913043</v>
      </c>
      <c r="C11" s="24">
        <f>lola!C29</f>
        <v>1.26</v>
      </c>
      <c r="D11" s="24">
        <f>lola!J28</f>
        <v>10.869565217391305</v>
      </c>
      <c r="E11" s="24">
        <f>lola!C31</f>
        <v>9.804612933849489</v>
      </c>
      <c r="F11" s="24">
        <f t="shared" si="0"/>
        <v>1.26</v>
      </c>
      <c r="G11" s="25" t="s">
        <v>36</v>
      </c>
      <c r="H11" s="25" t="s">
        <v>28</v>
      </c>
      <c r="I11" s="26"/>
      <c r="J11" s="27"/>
      <c r="K11" s="27" t="s">
        <v>48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15.75" customHeight="1">
      <c r="A12" s="28" t="s">
        <v>51</v>
      </c>
      <c r="B12" s="29"/>
      <c r="C12" s="29"/>
      <c r="D12" s="29">
        <f>kam!H18</f>
        <v>5.1538461538461542</v>
      </c>
      <c r="E12" s="29"/>
      <c r="F12" s="29">
        <f t="shared" si="0"/>
        <v>0</v>
      </c>
      <c r="G12" s="30" t="s">
        <v>36</v>
      </c>
      <c r="H12" s="30" t="s">
        <v>44</v>
      </c>
      <c r="I12" s="31"/>
      <c r="K12" s="1" t="s">
        <v>41</v>
      </c>
    </row>
    <row r="13" spans="1:29" ht="15.75" customHeight="1">
      <c r="A13" s="28" t="s">
        <v>52</v>
      </c>
      <c r="B13" s="29"/>
      <c r="C13" s="29"/>
      <c r="D13" s="29">
        <f>nat!I28</f>
        <v>7.3043478260869561</v>
      </c>
      <c r="E13" s="29"/>
      <c r="F13" s="29">
        <f t="shared" si="0"/>
        <v>0</v>
      </c>
      <c r="G13" s="30" t="s">
        <v>36</v>
      </c>
      <c r="H13" s="30" t="s">
        <v>28</v>
      </c>
      <c r="I13" s="31"/>
      <c r="K13" s="1" t="s">
        <v>53</v>
      </c>
    </row>
    <row r="14" spans="1:29" ht="15.75" customHeight="1">
      <c r="A14" s="28" t="s">
        <v>54</v>
      </c>
      <c r="B14" s="30"/>
      <c r="C14" s="30"/>
      <c r="D14" s="30"/>
      <c r="E14" s="30"/>
      <c r="F14" s="30" t="e">
        <f t="shared" si="0"/>
        <v>#DIV/0!</v>
      </c>
      <c r="G14" s="30" t="s">
        <v>36</v>
      </c>
      <c r="H14" s="30" t="s">
        <v>28</v>
      </c>
      <c r="I14" s="31"/>
      <c r="K14" s="1" t="s">
        <v>55</v>
      </c>
    </row>
    <row r="15" spans="1:29" ht="15.75" customHeight="1">
      <c r="A15" s="28" t="s">
        <v>56</v>
      </c>
      <c r="B15" s="30"/>
      <c r="C15" s="30"/>
      <c r="D15" s="30"/>
      <c r="E15" s="30"/>
      <c r="F15" s="30" t="e">
        <f t="shared" si="0"/>
        <v>#DIV/0!</v>
      </c>
      <c r="G15" s="30" t="s">
        <v>36</v>
      </c>
      <c r="H15" s="30" t="s">
        <v>28</v>
      </c>
      <c r="I15" s="31"/>
    </row>
    <row r="16" spans="1:29" ht="15.75" customHeight="1">
      <c r="A16" s="28"/>
      <c r="B16" s="30"/>
      <c r="C16" s="30"/>
      <c r="D16" s="30"/>
      <c r="E16" s="30"/>
      <c r="F16" s="30"/>
      <c r="G16" s="30"/>
      <c r="H16" s="30"/>
      <c r="I16" s="31"/>
    </row>
    <row r="17" spans="1:9" ht="15.75" customHeight="1">
      <c r="A17" s="28" t="s">
        <v>75</v>
      </c>
      <c r="B17" s="30"/>
      <c r="C17" s="32">
        <f>SUM(B2:B3,B5,B6,B7)</f>
        <v>264.97567667779015</v>
      </c>
      <c r="D17" s="30"/>
      <c r="E17" s="30"/>
      <c r="F17" s="30"/>
      <c r="G17" s="30"/>
      <c r="H17" s="30"/>
      <c r="I17" s="31"/>
    </row>
    <row r="20" spans="1:9" ht="15.75" customHeight="1">
      <c r="A20" s="19" t="s">
        <v>23</v>
      </c>
      <c r="B20" s="20" t="s">
        <v>76</v>
      </c>
      <c r="C20" s="20" t="s">
        <v>72</v>
      </c>
      <c r="D20" s="20" t="s">
        <v>59</v>
      </c>
      <c r="E20" s="21" t="s">
        <v>20</v>
      </c>
      <c r="F20" s="21" t="s">
        <v>25</v>
      </c>
    </row>
    <row r="21" spans="1:9" ht="15.75" customHeight="1">
      <c r="A21" s="28" t="s">
        <v>61</v>
      </c>
      <c r="B21" s="32">
        <f>C5</f>
        <v>2.2884811416921509</v>
      </c>
      <c r="C21" s="32">
        <f>B5</f>
        <v>72.41935483870968</v>
      </c>
      <c r="D21" s="29">
        <f t="shared" ref="D21:D25" si="1">C21/B21</f>
        <v>31.64516129032258</v>
      </c>
      <c r="E21" s="32">
        <f>E5</f>
        <v>20.774622649679092</v>
      </c>
      <c r="F21" s="31" t="s">
        <v>62</v>
      </c>
    </row>
    <row r="22" spans="1:9" ht="15.75" customHeight="1">
      <c r="A22" s="28" t="s">
        <v>63</v>
      </c>
      <c r="B22" s="32">
        <f>AVERAGE(C2,C6,C7)</f>
        <v>1.4934336451494505</v>
      </c>
      <c r="C22" s="32">
        <f>AVERAGE(B2,B6,B7)</f>
        <v>47.896551724137929</v>
      </c>
      <c r="D22" s="29">
        <f t="shared" si="1"/>
        <v>32.071429406791509</v>
      </c>
      <c r="E22" s="32">
        <f>AVERAGE(E2,E6,E7)</f>
        <v>14.645207557376819</v>
      </c>
      <c r="F22" s="31" t="s">
        <v>64</v>
      </c>
    </row>
    <row r="23" spans="1:9" ht="15.75" customHeight="1">
      <c r="A23" s="28" t="s">
        <v>65</v>
      </c>
      <c r="B23" s="32">
        <f>C3</f>
        <v>2.214501510574018</v>
      </c>
      <c r="C23" s="32">
        <f>B3</f>
        <v>48.866666666666667</v>
      </c>
      <c r="D23" s="29">
        <f t="shared" si="1"/>
        <v>22.066666666666666</v>
      </c>
      <c r="E23" s="32">
        <f>E3</f>
        <v>12.538456971486028</v>
      </c>
      <c r="F23" s="31" t="s">
        <v>53</v>
      </c>
    </row>
    <row r="24" spans="1:9" ht="15.75" customHeight="1">
      <c r="A24" s="28" t="s">
        <v>66</v>
      </c>
      <c r="B24" s="32">
        <f>AVERAGE(C4,C11)</f>
        <v>1.8337037037037036</v>
      </c>
      <c r="C24" s="32">
        <f>AVERAGE(B4,B11)</f>
        <v>26.847826086956523</v>
      </c>
      <c r="D24" s="29">
        <f t="shared" si="1"/>
        <v>14.641310934110809</v>
      </c>
      <c r="E24" s="32">
        <f>AVERAGE(E4,E11)</f>
        <v>12.011455501795233</v>
      </c>
      <c r="F24" s="31" t="s">
        <v>67</v>
      </c>
    </row>
    <row r="25" spans="1:9" ht="15.75" customHeight="1">
      <c r="A25" s="28" t="s">
        <v>68</v>
      </c>
      <c r="B25" s="32">
        <f>C8</f>
        <v>2.9365079365079363</v>
      </c>
      <c r="C25" s="32">
        <f>B8</f>
        <v>23.870967741935484</v>
      </c>
      <c r="D25" s="29">
        <f t="shared" si="1"/>
        <v>8.129032258064516</v>
      </c>
      <c r="E25" s="32">
        <f>E8</f>
        <v>14.650920188356478</v>
      </c>
      <c r="F25" s="31" t="s">
        <v>50</v>
      </c>
    </row>
  </sheetData>
  <pageMargins left="0.7" right="0.7" top="0.75" bottom="0.75" header="0.3" footer="0.3"/>
  <drawing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2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9.83203125" customWidth="1"/>
    <col min="3" max="4" width="14.6640625" customWidth="1"/>
    <col min="5" max="6" width="15.6640625" customWidth="1"/>
    <col min="7" max="7" width="23" customWidth="1"/>
  </cols>
  <sheetData>
    <row r="1" spans="1:30" ht="15.75" customHeight="1">
      <c r="A1" s="19" t="s">
        <v>16</v>
      </c>
      <c r="B1" s="20" t="s">
        <v>77</v>
      </c>
      <c r="C1" s="20" t="s">
        <v>78</v>
      </c>
      <c r="D1" s="20" t="s">
        <v>79</v>
      </c>
      <c r="E1" s="20" t="s">
        <v>19</v>
      </c>
      <c r="F1" s="20" t="s">
        <v>20</v>
      </c>
      <c r="G1" s="20" t="s">
        <v>80</v>
      </c>
      <c r="H1" s="20" t="s">
        <v>22</v>
      </c>
      <c r="I1" s="20" t="s">
        <v>23</v>
      </c>
      <c r="J1" s="21" t="s">
        <v>24</v>
      </c>
      <c r="L1" s="22" t="s">
        <v>25</v>
      </c>
    </row>
    <row r="2" spans="1:30" ht="15.75" customHeight="1">
      <c r="A2" s="23" t="s">
        <v>26</v>
      </c>
      <c r="B2" s="24">
        <f>ionna!D35</f>
        <v>20.566666666666666</v>
      </c>
      <c r="C2" s="24">
        <f>ionna!D36</f>
        <v>0.60019455252918286</v>
      </c>
      <c r="D2" s="24">
        <f>ionna!D37</f>
        <v>24</v>
      </c>
      <c r="E2" s="24">
        <f>ionna!J35</f>
        <v>34.266666666666666</v>
      </c>
      <c r="F2" s="24">
        <f>ionna!D38</f>
        <v>1.4546793303071941</v>
      </c>
      <c r="G2" s="24">
        <f t="shared" ref="G2:G15" si="0">B2/E2</f>
        <v>0.60019455252918286</v>
      </c>
      <c r="H2" s="25" t="s">
        <v>27</v>
      </c>
      <c r="I2" s="25" t="s">
        <v>28</v>
      </c>
      <c r="J2" s="26" t="s">
        <v>29</v>
      </c>
      <c r="K2" s="27"/>
      <c r="L2" s="27" t="s">
        <v>30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15.75" customHeight="1">
      <c r="A3" s="23" t="s">
        <v>31</v>
      </c>
      <c r="B3" s="24">
        <f>michelle!$D36</f>
        <v>18.566666666666666</v>
      </c>
      <c r="C3" s="24">
        <f>michelle!$D37</f>
        <v>0.84138972809667678</v>
      </c>
      <c r="D3" s="24">
        <f>michelle!D38</f>
        <v>22</v>
      </c>
      <c r="E3" s="24">
        <f>michelle!J36</f>
        <v>22.066666666666666</v>
      </c>
      <c r="F3" s="24">
        <f>michelle!D39</f>
        <v>1.434595593234913</v>
      </c>
      <c r="G3" s="24">
        <f t="shared" si="0"/>
        <v>0.84138972809667678</v>
      </c>
      <c r="H3" s="25" t="s">
        <v>27</v>
      </c>
      <c r="I3" s="25" t="s">
        <v>32</v>
      </c>
      <c r="J3" s="26" t="s">
        <v>33</v>
      </c>
      <c r="K3" s="27"/>
      <c r="L3" s="27" t="s">
        <v>34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15.75" customHeight="1">
      <c r="A4" s="23" t="s">
        <v>35</v>
      </c>
      <c r="B4" s="24">
        <f>jayda!D30</f>
        <v>18.384615384615383</v>
      </c>
      <c r="C4" s="24">
        <f>jayda!D31</f>
        <v>1.1064814814814814</v>
      </c>
      <c r="D4" s="24">
        <f>jayda!D32</f>
        <v>22</v>
      </c>
      <c r="E4" s="24">
        <f>jayda!J31</f>
        <v>16.615384615384617</v>
      </c>
      <c r="F4" s="24">
        <f>jayda!D33</f>
        <v>1.3878594475500199</v>
      </c>
      <c r="G4" s="24">
        <f t="shared" si="0"/>
        <v>1.1064814814814814</v>
      </c>
      <c r="H4" s="25" t="s">
        <v>36</v>
      </c>
      <c r="I4" s="25" t="s">
        <v>28</v>
      </c>
      <c r="J4" s="26" t="s">
        <v>37</v>
      </c>
      <c r="K4" s="27"/>
      <c r="L4" s="27" t="s">
        <v>38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5.75" customHeight="1">
      <c r="A5" s="23" t="s">
        <v>39</v>
      </c>
      <c r="B5" s="24">
        <f>kayla!D35</f>
        <v>21.451612903225808</v>
      </c>
      <c r="C5" s="24">
        <f>kayla!D36</f>
        <v>0.67787971457696228</v>
      </c>
      <c r="D5" s="24">
        <f>kayla!D37</f>
        <v>25</v>
      </c>
      <c r="E5" s="24">
        <f>kayla!I34</f>
        <v>31</v>
      </c>
      <c r="F5" s="24">
        <f>kayla!D38</f>
        <v>1.6296975113482324</v>
      </c>
      <c r="G5" s="24">
        <f t="shared" si="0"/>
        <v>0.69198751300728412</v>
      </c>
      <c r="H5" s="25" t="s">
        <v>27</v>
      </c>
      <c r="I5" s="25" t="s">
        <v>40</v>
      </c>
      <c r="J5" s="26" t="s">
        <v>41</v>
      </c>
      <c r="K5" s="27"/>
      <c r="L5" s="27" t="s">
        <v>42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5.75" customHeight="1">
      <c r="A6" s="23" t="s">
        <v>43</v>
      </c>
      <c r="B6" s="24">
        <f>marta!D34</f>
        <v>17.137931034482758</v>
      </c>
      <c r="C6" s="24">
        <f>marta!D35</f>
        <v>0.57656612529002316</v>
      </c>
      <c r="D6" s="24">
        <f>marta!D36</f>
        <v>21</v>
      </c>
      <c r="E6" s="24">
        <f>marta!I35</f>
        <v>29.724137931034484</v>
      </c>
      <c r="F6" s="24">
        <f>marta!D37</f>
        <v>2.9411301068498714</v>
      </c>
      <c r="G6" s="24">
        <f t="shared" si="0"/>
        <v>0.57656612529002316</v>
      </c>
      <c r="H6" s="25" t="s">
        <v>27</v>
      </c>
      <c r="I6" s="25" t="s">
        <v>44</v>
      </c>
      <c r="J6" s="26" t="s">
        <v>34</v>
      </c>
      <c r="K6" s="27"/>
      <c r="L6" s="27" t="s">
        <v>45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15.75" customHeight="1">
      <c r="A7" s="23" t="s">
        <v>45</v>
      </c>
      <c r="B7" s="24">
        <f>lulu!D35</f>
        <v>17.96551724137931</v>
      </c>
      <c r="C7" s="24">
        <f>lulu!D36</f>
        <v>0.56507592190889366</v>
      </c>
      <c r="D7" s="24">
        <f>lulu!D37</f>
        <v>22</v>
      </c>
      <c r="E7" s="24">
        <f>lulu!J36</f>
        <v>31.793103448275861</v>
      </c>
      <c r="F7" s="24">
        <f>lulu!D38</f>
        <v>1.8636304031566684</v>
      </c>
      <c r="G7" s="24">
        <f t="shared" si="0"/>
        <v>0.56507592190889366</v>
      </c>
      <c r="H7" s="25" t="s">
        <v>27</v>
      </c>
      <c r="I7" s="25" t="s">
        <v>28</v>
      </c>
      <c r="J7" s="26" t="s">
        <v>46</v>
      </c>
      <c r="K7" s="27"/>
      <c r="L7" s="27" t="s">
        <v>29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 customHeight="1">
      <c r="A8" s="23" t="s">
        <v>47</v>
      </c>
      <c r="B8" s="24">
        <f>gabi!D36</f>
        <v>17.870967741935484</v>
      </c>
      <c r="C8" s="24">
        <f>gabi!D37</f>
        <v>2.1984126984126986</v>
      </c>
      <c r="D8" s="24">
        <f>gabi!D38</f>
        <v>23</v>
      </c>
      <c r="E8" s="24">
        <f>gabi!$K36</f>
        <v>8.129032258064516</v>
      </c>
      <c r="F8" s="24">
        <f>gabi!D39</f>
        <v>1.9956942899464203</v>
      </c>
      <c r="G8" s="24">
        <f t="shared" si="0"/>
        <v>2.1984126984126986</v>
      </c>
      <c r="H8" s="25" t="s">
        <v>36</v>
      </c>
      <c r="I8" s="25" t="s">
        <v>32</v>
      </c>
      <c r="J8" s="26" t="s">
        <v>33</v>
      </c>
      <c r="K8" s="27"/>
      <c r="L8" s="27" t="s">
        <v>28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5.75" customHeight="1">
      <c r="A9" s="28" t="s">
        <v>48</v>
      </c>
      <c r="B9" s="29">
        <f>dros!D25</f>
        <v>18.149999999999999</v>
      </c>
      <c r="C9" s="29">
        <f>dros!D26</f>
        <v>2.4527027027027026</v>
      </c>
      <c r="D9" s="29">
        <f>dros!D27</f>
        <v>22</v>
      </c>
      <c r="E9" s="29">
        <f>dros!J25</f>
        <v>7.4</v>
      </c>
      <c r="F9" s="29">
        <f>dros!D28</f>
        <v>4.1329866860865199</v>
      </c>
      <c r="G9" s="29">
        <f t="shared" si="0"/>
        <v>2.4527027027027022</v>
      </c>
      <c r="H9" s="30" t="s">
        <v>36</v>
      </c>
      <c r="I9" s="30" t="s">
        <v>28</v>
      </c>
      <c r="J9" s="31"/>
      <c r="L9" s="1" t="s">
        <v>37</v>
      </c>
    </row>
    <row r="10" spans="1:30" ht="15.75" customHeight="1">
      <c r="A10" s="28" t="s">
        <v>49</v>
      </c>
      <c r="B10" s="29">
        <f>gmaul!D25</f>
        <v>17.45</v>
      </c>
      <c r="C10" s="29">
        <f>gmaul!D26</f>
        <v>2.3266666666666667</v>
      </c>
      <c r="D10" s="29">
        <f>gmaul!D27</f>
        <v>21</v>
      </c>
      <c r="E10" s="29">
        <f>gmaul!J25</f>
        <v>7.5</v>
      </c>
      <c r="F10" s="29">
        <f>gmaul!D28</f>
        <v>2.8372521918222198</v>
      </c>
      <c r="G10" s="29">
        <f t="shared" si="0"/>
        <v>2.3266666666666667</v>
      </c>
      <c r="H10" s="30" t="s">
        <v>36</v>
      </c>
      <c r="I10" s="30" t="s">
        <v>28</v>
      </c>
      <c r="J10" s="31"/>
      <c r="L10" s="1" t="s">
        <v>50</v>
      </c>
    </row>
    <row r="11" spans="1:30" ht="15.75" customHeight="1">
      <c r="A11" s="23" t="s">
        <v>38</v>
      </c>
      <c r="B11" s="24">
        <f>lola!D28</f>
        <v>15.956521739130435</v>
      </c>
      <c r="C11" s="24">
        <f>lola!D29</f>
        <v>1.468</v>
      </c>
      <c r="D11" s="24">
        <f>lola!D30</f>
        <v>20</v>
      </c>
      <c r="E11" s="24">
        <f>lola!J28</f>
        <v>10.869565217391305</v>
      </c>
      <c r="F11" s="24">
        <f>lola!D31</f>
        <v>1.912026191202449</v>
      </c>
      <c r="G11" s="24">
        <f t="shared" si="0"/>
        <v>1.468</v>
      </c>
      <c r="H11" s="25" t="s">
        <v>36</v>
      </c>
      <c r="I11" s="25" t="s">
        <v>28</v>
      </c>
      <c r="J11" s="26"/>
      <c r="K11" s="27"/>
      <c r="L11" s="27" t="s">
        <v>48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5.75" customHeight="1">
      <c r="A12" s="28" t="s">
        <v>51</v>
      </c>
      <c r="B12" s="29"/>
      <c r="C12" s="29"/>
      <c r="D12" s="29"/>
      <c r="E12" s="29">
        <f>kam!H18</f>
        <v>5.1538461538461542</v>
      </c>
      <c r="F12" s="29"/>
      <c r="G12" s="29">
        <f t="shared" si="0"/>
        <v>0</v>
      </c>
      <c r="H12" s="30" t="s">
        <v>36</v>
      </c>
      <c r="I12" s="30" t="s">
        <v>44</v>
      </c>
      <c r="J12" s="31"/>
      <c r="L12" s="1" t="s">
        <v>41</v>
      </c>
    </row>
    <row r="13" spans="1:30" ht="15.75" customHeight="1">
      <c r="A13" s="28" t="s">
        <v>52</v>
      </c>
      <c r="B13" s="29"/>
      <c r="C13" s="29"/>
      <c r="D13" s="29"/>
      <c r="E13" s="29">
        <f>nat!I28</f>
        <v>7.3043478260869561</v>
      </c>
      <c r="F13" s="29"/>
      <c r="G13" s="29">
        <f t="shared" si="0"/>
        <v>0</v>
      </c>
      <c r="H13" s="30" t="s">
        <v>36</v>
      </c>
      <c r="I13" s="30" t="s">
        <v>28</v>
      </c>
      <c r="J13" s="31"/>
      <c r="L13" s="1" t="s">
        <v>53</v>
      </c>
    </row>
    <row r="14" spans="1:30" ht="15.75" customHeight="1">
      <c r="A14" s="28" t="s">
        <v>54</v>
      </c>
      <c r="B14" s="30"/>
      <c r="C14" s="30"/>
      <c r="D14" s="30"/>
      <c r="E14" s="30"/>
      <c r="F14" s="30"/>
      <c r="G14" s="30" t="e">
        <f t="shared" si="0"/>
        <v>#DIV/0!</v>
      </c>
      <c r="H14" s="30" t="s">
        <v>36</v>
      </c>
      <c r="I14" s="30" t="s">
        <v>28</v>
      </c>
      <c r="J14" s="31"/>
      <c r="L14" s="1" t="s">
        <v>55</v>
      </c>
    </row>
    <row r="15" spans="1:30" ht="15.75" customHeight="1">
      <c r="A15" s="28" t="s">
        <v>56</v>
      </c>
      <c r="B15" s="30"/>
      <c r="C15" s="30"/>
      <c r="D15" s="30"/>
      <c r="E15" s="30"/>
      <c r="F15" s="30"/>
      <c r="G15" s="30" t="e">
        <f t="shared" si="0"/>
        <v>#DIV/0!</v>
      </c>
      <c r="H15" s="30" t="s">
        <v>36</v>
      </c>
      <c r="I15" s="30" t="s">
        <v>28</v>
      </c>
      <c r="J15" s="31"/>
    </row>
    <row r="16" spans="1:30" ht="15.75" customHeight="1">
      <c r="A16" s="28"/>
      <c r="B16" s="30"/>
      <c r="C16" s="30"/>
      <c r="D16" s="30"/>
      <c r="E16" s="30"/>
      <c r="F16" s="30"/>
      <c r="G16" s="30"/>
      <c r="H16" s="30"/>
      <c r="I16" s="30"/>
      <c r="J16" s="31"/>
    </row>
    <row r="17" spans="1:10" ht="15.75" customHeight="1">
      <c r="A17" s="28" t="s">
        <v>81</v>
      </c>
      <c r="B17" s="30"/>
      <c r="C17" s="32">
        <f>SUM(B2:B3,B5,B6,B7)</f>
        <v>95.688394512421212</v>
      </c>
      <c r="D17" s="30"/>
      <c r="E17" s="30"/>
      <c r="F17" s="30"/>
      <c r="G17" s="30"/>
      <c r="H17" s="30"/>
      <c r="I17" s="30"/>
      <c r="J17" s="31"/>
    </row>
    <row r="20" spans="1:10" ht="15.75" customHeight="1">
      <c r="A20" s="19" t="s">
        <v>23</v>
      </c>
      <c r="B20" s="20" t="s">
        <v>82</v>
      </c>
      <c r="C20" s="20" t="s">
        <v>77</v>
      </c>
      <c r="D20" s="20" t="s">
        <v>83</v>
      </c>
      <c r="E20" s="20" t="s">
        <v>59</v>
      </c>
      <c r="F20" s="21" t="s">
        <v>20</v>
      </c>
      <c r="G20" s="21" t="s">
        <v>25</v>
      </c>
    </row>
    <row r="21" spans="1:10" ht="15.75" customHeight="1">
      <c r="A21" s="28" t="s">
        <v>61</v>
      </c>
      <c r="B21" s="32">
        <f>C5</f>
        <v>0.67787971457696228</v>
      </c>
      <c r="C21" s="32">
        <f>B5</f>
        <v>21.451612903225808</v>
      </c>
      <c r="D21" s="32">
        <f>D5</f>
        <v>25</v>
      </c>
      <c r="E21" s="29">
        <f t="shared" ref="E21:E25" si="1">C21/B21</f>
        <v>31.645161290322584</v>
      </c>
      <c r="F21" s="32">
        <f>F5</f>
        <v>1.6296975113482324</v>
      </c>
      <c r="G21" s="31" t="s">
        <v>62</v>
      </c>
    </row>
    <row r="22" spans="1:10" ht="15.75" customHeight="1">
      <c r="A22" s="28" t="s">
        <v>63</v>
      </c>
      <c r="B22" s="32">
        <f>AVERAGE(C2,C6,C7)</f>
        <v>0.58061219990936652</v>
      </c>
      <c r="C22" s="32">
        <f>AVERAGE(B2,B6,B7)</f>
        <v>18.556704980842913</v>
      </c>
      <c r="D22" s="32">
        <f>AVERAGE(D2,D6,D7)</f>
        <v>22.333333333333332</v>
      </c>
      <c r="E22" s="29">
        <f t="shared" si="1"/>
        <v>31.960583990036053</v>
      </c>
      <c r="F22" s="32">
        <f>AVERAGE(F2,F6,F7)</f>
        <v>2.0864799467712447</v>
      </c>
      <c r="G22" s="31" t="s">
        <v>64</v>
      </c>
    </row>
    <row r="23" spans="1:10" ht="15.75" customHeight="1">
      <c r="A23" s="28" t="s">
        <v>65</v>
      </c>
      <c r="B23" s="32">
        <f>C3</f>
        <v>0.84138972809667678</v>
      </c>
      <c r="C23" s="32">
        <f>B3</f>
        <v>18.566666666666666</v>
      </c>
      <c r="D23" s="32">
        <f>D3</f>
        <v>22</v>
      </c>
      <c r="E23" s="29">
        <f t="shared" si="1"/>
        <v>22.066666666666666</v>
      </c>
      <c r="F23" s="32">
        <f>F3</f>
        <v>1.434595593234913</v>
      </c>
      <c r="G23" s="31" t="s">
        <v>53</v>
      </c>
    </row>
    <row r="24" spans="1:10" ht="15.75" customHeight="1">
      <c r="A24" s="28" t="s">
        <v>66</v>
      </c>
      <c r="B24" s="32">
        <f>AVERAGE(C4,C11)</f>
        <v>1.2872407407407407</v>
      </c>
      <c r="C24" s="32">
        <f>AVERAGE(B4,B11)</f>
        <v>17.170568561872908</v>
      </c>
      <c r="D24" s="32">
        <f>AVERAGE(D4,D11)</f>
        <v>21</v>
      </c>
      <c r="E24" s="29">
        <f t="shared" si="1"/>
        <v>13.339049968222829</v>
      </c>
      <c r="F24" s="32">
        <f>AVERAGE(F4,F11)</f>
        <v>1.6499428193762344</v>
      </c>
      <c r="G24" s="31" t="s">
        <v>67</v>
      </c>
    </row>
    <row r="25" spans="1:10" ht="15.75" customHeight="1">
      <c r="A25" s="28" t="s">
        <v>68</v>
      </c>
      <c r="B25" s="32">
        <f>C8</f>
        <v>2.1984126984126986</v>
      </c>
      <c r="C25" s="32">
        <f>B8</f>
        <v>17.870967741935484</v>
      </c>
      <c r="D25" s="32">
        <f>D8</f>
        <v>23</v>
      </c>
      <c r="E25" s="29">
        <f t="shared" si="1"/>
        <v>8.129032258064516</v>
      </c>
      <c r="F25" s="32">
        <f>F8</f>
        <v>1.9956942899464203</v>
      </c>
      <c r="G25" s="31" t="s">
        <v>50</v>
      </c>
    </row>
  </sheetData>
  <pageMargins left="0.7" right="0.7" top="0.75" bottom="0.75" header="0.3" footer="0.3"/>
  <drawing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2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9.83203125" customWidth="1"/>
    <col min="3" max="4" width="14.6640625" customWidth="1"/>
    <col min="5" max="6" width="15.6640625" customWidth="1"/>
    <col min="7" max="7" width="23" customWidth="1"/>
  </cols>
  <sheetData>
    <row r="1" spans="1:30" ht="15.75" customHeight="1">
      <c r="A1" s="19" t="s">
        <v>16</v>
      </c>
      <c r="B1" s="20" t="s">
        <v>84</v>
      </c>
      <c r="C1" s="20" t="s">
        <v>85</v>
      </c>
      <c r="D1" s="20" t="s">
        <v>86</v>
      </c>
      <c r="E1" s="20" t="s">
        <v>19</v>
      </c>
      <c r="F1" s="20" t="s">
        <v>20</v>
      </c>
      <c r="G1" s="20" t="s">
        <v>87</v>
      </c>
      <c r="H1" s="20" t="s">
        <v>22</v>
      </c>
      <c r="I1" s="20" t="s">
        <v>23</v>
      </c>
      <c r="J1" s="21" t="s">
        <v>24</v>
      </c>
      <c r="L1" s="22" t="s">
        <v>25</v>
      </c>
    </row>
    <row r="2" spans="1:30" ht="15.75" customHeight="1">
      <c r="A2" s="23" t="s">
        <v>26</v>
      </c>
      <c r="B2" s="24">
        <f>ionna!E35</f>
        <v>45.833333333333336</v>
      </c>
      <c r="C2" s="24">
        <f>ionna!E36</f>
        <v>1.3375486381322956</v>
      </c>
      <c r="D2" s="24">
        <f>ionna!E37</f>
        <v>53</v>
      </c>
      <c r="E2" s="24">
        <f>ionna!J35</f>
        <v>34.266666666666666</v>
      </c>
      <c r="F2" s="24">
        <f>ionna!E38</f>
        <v>2.5741866252486814</v>
      </c>
      <c r="G2" s="24">
        <f t="shared" ref="G2:G15" si="0">B2/E2</f>
        <v>1.3375486381322959</v>
      </c>
      <c r="H2" s="25" t="s">
        <v>27</v>
      </c>
      <c r="I2" s="25" t="s">
        <v>28</v>
      </c>
      <c r="J2" s="26" t="s">
        <v>29</v>
      </c>
      <c r="K2" s="27"/>
      <c r="L2" s="27" t="s">
        <v>30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15.75" customHeight="1">
      <c r="A3" s="23" t="s">
        <v>31</v>
      </c>
      <c r="B3" s="24">
        <f>michelle!$E36</f>
        <v>41.033333333333331</v>
      </c>
      <c r="C3" s="24">
        <f>michelle!E37</f>
        <v>1.8595166163141994</v>
      </c>
      <c r="D3" s="24">
        <f>michelle!E38</f>
        <v>49</v>
      </c>
      <c r="E3" s="24">
        <f>michelle!J36</f>
        <v>22.066666666666666</v>
      </c>
      <c r="F3" s="24">
        <f>michelle!E39</f>
        <v>4.0118105209386421</v>
      </c>
      <c r="G3" s="24">
        <f t="shared" si="0"/>
        <v>1.8595166163141994</v>
      </c>
      <c r="H3" s="25" t="s">
        <v>27</v>
      </c>
      <c r="I3" s="25" t="s">
        <v>32</v>
      </c>
      <c r="J3" s="26" t="s">
        <v>33</v>
      </c>
      <c r="K3" s="27"/>
      <c r="L3" s="27" t="s">
        <v>34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15.75" customHeight="1">
      <c r="A4" s="23" t="s">
        <v>35</v>
      </c>
      <c r="B4" s="24">
        <f>jayda!E30</f>
        <v>40.307692307692307</v>
      </c>
      <c r="C4" s="24">
        <f>jayda!E31</f>
        <v>2.425925925925926</v>
      </c>
      <c r="D4" s="24">
        <f>jayda!E32</f>
        <v>46</v>
      </c>
      <c r="E4" s="24">
        <f>jayda!J31</f>
        <v>16.615384615384617</v>
      </c>
      <c r="F4" s="24">
        <f>jayda!E33</f>
        <v>3.391391817755427</v>
      </c>
      <c r="G4" s="24">
        <f t="shared" si="0"/>
        <v>2.4259259259259256</v>
      </c>
      <c r="H4" s="25" t="s">
        <v>36</v>
      </c>
      <c r="I4" s="25" t="s">
        <v>28</v>
      </c>
      <c r="J4" s="26" t="s">
        <v>37</v>
      </c>
      <c r="K4" s="27"/>
      <c r="L4" s="27" t="s">
        <v>38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5.75" customHeight="1">
      <c r="A5" s="23" t="s">
        <v>39</v>
      </c>
      <c r="B5" s="24">
        <f>kayla!E35</f>
        <v>47.516129032258064</v>
      </c>
      <c r="C5" s="24">
        <f>kayla!E36</f>
        <v>1.5015290519877675</v>
      </c>
      <c r="D5" s="24">
        <f>kayla!E37</f>
        <v>55</v>
      </c>
      <c r="E5" s="24">
        <f>kayla!I34</f>
        <v>31</v>
      </c>
      <c r="F5" s="24">
        <f>kayla!E38</f>
        <v>3.6043581744136319</v>
      </c>
      <c r="G5" s="24">
        <f t="shared" si="0"/>
        <v>1.5327783558792925</v>
      </c>
      <c r="H5" s="25" t="s">
        <v>27</v>
      </c>
      <c r="I5" s="25" t="s">
        <v>40</v>
      </c>
      <c r="J5" s="26" t="s">
        <v>41</v>
      </c>
      <c r="K5" s="27"/>
      <c r="L5" s="27" t="s">
        <v>42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5.75" customHeight="1">
      <c r="A6" s="23" t="s">
        <v>43</v>
      </c>
      <c r="B6" s="24">
        <f>marta!E34</f>
        <v>39.344827586206897</v>
      </c>
      <c r="C6" s="24">
        <f>marta!E35</f>
        <v>1.3236658932714618</v>
      </c>
      <c r="D6" s="24">
        <f>marta!E36</f>
        <v>48</v>
      </c>
      <c r="E6" s="24">
        <f>marta!I35</f>
        <v>29.724137931034484</v>
      </c>
      <c r="F6" s="24">
        <f>marta!E37</f>
        <v>6.9354873816967579</v>
      </c>
      <c r="G6" s="24">
        <f t="shared" si="0"/>
        <v>1.3236658932714618</v>
      </c>
      <c r="H6" s="25" t="s">
        <v>27</v>
      </c>
      <c r="I6" s="25" t="s">
        <v>44</v>
      </c>
      <c r="J6" s="26" t="s">
        <v>34</v>
      </c>
      <c r="K6" s="27"/>
      <c r="L6" s="27" t="s">
        <v>45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15.75" customHeight="1">
      <c r="A7" s="23" t="s">
        <v>45</v>
      </c>
      <c r="B7" s="24">
        <f>lulu!E35</f>
        <v>39.862068965517238</v>
      </c>
      <c r="C7" s="24">
        <f>lulu!E36</f>
        <v>1.2537960954446854</v>
      </c>
      <c r="D7" s="24">
        <f>lulu!E37</f>
        <v>52</v>
      </c>
      <c r="E7" s="24">
        <f>lulu!J36</f>
        <v>31.793103448275861</v>
      </c>
      <c r="F7" s="24">
        <f>lulu!E38</f>
        <v>4.1147518510475196</v>
      </c>
      <c r="G7" s="24">
        <f t="shared" si="0"/>
        <v>1.2537960954446854</v>
      </c>
      <c r="H7" s="25" t="s">
        <v>27</v>
      </c>
      <c r="I7" s="25" t="s">
        <v>28</v>
      </c>
      <c r="J7" s="26" t="s">
        <v>46</v>
      </c>
      <c r="K7" s="27"/>
      <c r="L7" s="27" t="s">
        <v>29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 customHeight="1">
      <c r="A8" s="23" t="s">
        <v>47</v>
      </c>
      <c r="B8" s="24">
        <f>gabi!E36</f>
        <v>34.354838709677416</v>
      </c>
      <c r="C8" s="24">
        <f>gabi!E37</f>
        <v>4.2261904761904763</v>
      </c>
      <c r="D8" s="24">
        <f>gabi!E38</f>
        <v>46</v>
      </c>
      <c r="E8" s="24">
        <f>gabi!$K36</f>
        <v>8.129032258064516</v>
      </c>
      <c r="F8" s="24">
        <f>gabi!E39</f>
        <v>8.2952001077482276</v>
      </c>
      <c r="G8" s="24">
        <f t="shared" si="0"/>
        <v>4.2261904761904763</v>
      </c>
      <c r="H8" s="25" t="s">
        <v>36</v>
      </c>
      <c r="I8" s="25" t="s">
        <v>32</v>
      </c>
      <c r="J8" s="26" t="s">
        <v>33</v>
      </c>
      <c r="K8" s="27"/>
      <c r="L8" s="27" t="s">
        <v>28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5.75" customHeight="1">
      <c r="A9" s="28" t="s">
        <v>48</v>
      </c>
      <c r="B9" s="29">
        <f>dros!E25</f>
        <v>40.1</v>
      </c>
      <c r="C9" s="29">
        <f>dros!E26</f>
        <v>5.4189189189189193</v>
      </c>
      <c r="D9" s="29">
        <f>dros!E27</f>
        <v>56</v>
      </c>
      <c r="E9" s="29">
        <f>dros!J25</f>
        <v>7.4</v>
      </c>
      <c r="F9" s="29">
        <f>dros!E28</f>
        <v>10.171684122835156</v>
      </c>
      <c r="G9" s="29">
        <f t="shared" si="0"/>
        <v>5.4189189189189184</v>
      </c>
      <c r="H9" s="30" t="s">
        <v>36</v>
      </c>
      <c r="I9" s="30" t="s">
        <v>28</v>
      </c>
      <c r="J9" s="31"/>
      <c r="L9" s="1" t="s">
        <v>37</v>
      </c>
    </row>
    <row r="10" spans="1:30" ht="15.75" customHeight="1">
      <c r="A10" s="28" t="s">
        <v>49</v>
      </c>
      <c r="B10" s="29">
        <f>gmaul!E25</f>
        <v>35.65</v>
      </c>
      <c r="C10" s="29">
        <f>gmaul!E26</f>
        <v>4.753333333333333</v>
      </c>
      <c r="D10" s="29">
        <f>gmaul!E27</f>
        <v>44</v>
      </c>
      <c r="E10" s="29">
        <f>gmaul!J25</f>
        <v>7.5</v>
      </c>
      <c r="F10" s="29">
        <f>gmaul!E28</f>
        <v>5.3992635408568219</v>
      </c>
      <c r="G10" s="29">
        <f t="shared" si="0"/>
        <v>4.753333333333333</v>
      </c>
      <c r="H10" s="30" t="s">
        <v>36</v>
      </c>
      <c r="I10" s="30" t="s">
        <v>28</v>
      </c>
      <c r="J10" s="31"/>
      <c r="L10" s="1" t="s">
        <v>50</v>
      </c>
    </row>
    <row r="11" spans="1:30" ht="15.75" customHeight="1">
      <c r="A11" s="23" t="s">
        <v>38</v>
      </c>
      <c r="B11" s="24">
        <f>lola!E28</f>
        <v>32.478260869565219</v>
      </c>
      <c r="C11" s="24">
        <f>lola!E29</f>
        <v>2.988</v>
      </c>
      <c r="D11" s="24">
        <f>lola!E30</f>
        <v>42</v>
      </c>
      <c r="E11" s="24">
        <f>lola!J28</f>
        <v>10.869565217391305</v>
      </c>
      <c r="F11" s="24"/>
      <c r="G11" s="24">
        <f t="shared" si="0"/>
        <v>2.988</v>
      </c>
      <c r="H11" s="25" t="s">
        <v>36</v>
      </c>
      <c r="I11" s="25" t="s">
        <v>28</v>
      </c>
      <c r="J11" s="26"/>
      <c r="K11" s="27"/>
      <c r="L11" s="27" t="s">
        <v>48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5.75" customHeight="1">
      <c r="A12" s="28" t="s">
        <v>51</v>
      </c>
      <c r="B12" s="29"/>
      <c r="C12" s="29"/>
      <c r="D12" s="29"/>
      <c r="E12" s="29">
        <f>kam!H18</f>
        <v>5.1538461538461542</v>
      </c>
      <c r="F12" s="29"/>
      <c r="G12" s="29">
        <f t="shared" si="0"/>
        <v>0</v>
      </c>
      <c r="H12" s="30" t="s">
        <v>36</v>
      </c>
      <c r="I12" s="30" t="s">
        <v>44</v>
      </c>
      <c r="J12" s="31"/>
      <c r="L12" s="1" t="s">
        <v>41</v>
      </c>
    </row>
    <row r="13" spans="1:30" ht="15.75" customHeight="1">
      <c r="A13" s="28" t="s">
        <v>52</v>
      </c>
      <c r="B13" s="29"/>
      <c r="C13" s="29"/>
      <c r="D13" s="29"/>
      <c r="E13" s="29">
        <f>nat!I28</f>
        <v>7.3043478260869561</v>
      </c>
      <c r="F13" s="29"/>
      <c r="G13" s="29">
        <f t="shared" si="0"/>
        <v>0</v>
      </c>
      <c r="H13" s="30" t="s">
        <v>36</v>
      </c>
      <c r="I13" s="30" t="s">
        <v>28</v>
      </c>
      <c r="J13" s="31"/>
      <c r="L13" s="1" t="s">
        <v>53</v>
      </c>
    </row>
    <row r="14" spans="1:30" ht="15.75" customHeight="1">
      <c r="A14" s="28" t="s">
        <v>54</v>
      </c>
      <c r="B14" s="30"/>
      <c r="C14" s="30"/>
      <c r="D14" s="30"/>
      <c r="E14" s="30"/>
      <c r="F14" s="30"/>
      <c r="G14" s="30" t="e">
        <f t="shared" si="0"/>
        <v>#DIV/0!</v>
      </c>
      <c r="H14" s="30" t="s">
        <v>36</v>
      </c>
      <c r="I14" s="30" t="s">
        <v>28</v>
      </c>
      <c r="J14" s="31"/>
      <c r="L14" s="1" t="s">
        <v>55</v>
      </c>
    </row>
    <row r="15" spans="1:30" ht="15.75" customHeight="1">
      <c r="A15" s="28" t="s">
        <v>56</v>
      </c>
      <c r="B15" s="30"/>
      <c r="C15" s="30"/>
      <c r="D15" s="30"/>
      <c r="E15" s="30"/>
      <c r="F15" s="30"/>
      <c r="G15" s="30" t="e">
        <f t="shared" si="0"/>
        <v>#DIV/0!</v>
      </c>
      <c r="H15" s="30" t="s">
        <v>36</v>
      </c>
      <c r="I15" s="30" t="s">
        <v>28</v>
      </c>
      <c r="J15" s="31"/>
    </row>
    <row r="16" spans="1:30" ht="15.75" customHeight="1">
      <c r="A16" s="28"/>
      <c r="B16" s="30"/>
      <c r="C16" s="30"/>
      <c r="D16" s="30"/>
      <c r="E16" s="30"/>
      <c r="F16" s="30"/>
      <c r="G16" s="30"/>
      <c r="H16" s="30"/>
      <c r="I16" s="30"/>
      <c r="J16" s="31"/>
    </row>
    <row r="17" spans="1:10" ht="15.75" customHeight="1">
      <c r="A17" s="28" t="s">
        <v>88</v>
      </c>
      <c r="B17" s="30"/>
      <c r="C17" s="32">
        <f>SUM(B2:B3,B5,B6,B7)</f>
        <v>213.58969225064885</v>
      </c>
      <c r="D17" s="30"/>
      <c r="E17" s="30"/>
      <c r="F17" s="30"/>
      <c r="G17" s="30"/>
      <c r="H17" s="30"/>
      <c r="I17" s="30"/>
      <c r="J17" s="31"/>
    </row>
    <row r="20" spans="1:10" ht="15.75" customHeight="1">
      <c r="A20" s="19" t="s">
        <v>23</v>
      </c>
      <c r="B20" s="20" t="s">
        <v>89</v>
      </c>
      <c r="C20" s="20" t="s">
        <v>84</v>
      </c>
      <c r="D20" s="20" t="s">
        <v>90</v>
      </c>
      <c r="E20" s="20" t="s">
        <v>59</v>
      </c>
      <c r="F20" s="21" t="s">
        <v>20</v>
      </c>
      <c r="G20" s="21" t="s">
        <v>25</v>
      </c>
    </row>
    <row r="21" spans="1:10" ht="15.75" customHeight="1">
      <c r="A21" s="28" t="s">
        <v>61</v>
      </c>
      <c r="B21" s="32">
        <f>C5</f>
        <v>1.5015290519877675</v>
      </c>
      <c r="C21" s="32">
        <f>B5</f>
        <v>47.516129032258064</v>
      </c>
      <c r="D21" s="32">
        <f>D5</f>
        <v>55</v>
      </c>
      <c r="E21" s="29">
        <f t="shared" ref="E21:E25" si="1">C21/B21</f>
        <v>31.64516129032258</v>
      </c>
      <c r="F21" s="32">
        <f>F5</f>
        <v>3.6043581744136319</v>
      </c>
      <c r="G21" s="31" t="s">
        <v>62</v>
      </c>
    </row>
    <row r="22" spans="1:10" ht="15.75" customHeight="1">
      <c r="A22" s="28" t="s">
        <v>63</v>
      </c>
      <c r="B22" s="32">
        <f>AVERAGE(C2,C6,C7)</f>
        <v>1.3050035422828143</v>
      </c>
      <c r="C22" s="32">
        <f>AVERAGE(B2,B6,B7)</f>
        <v>41.680076628352488</v>
      </c>
      <c r="D22" s="32">
        <f>AVERAGE(D2,D6,D7)</f>
        <v>51</v>
      </c>
      <c r="E22" s="29">
        <f t="shared" si="1"/>
        <v>31.938669342952462</v>
      </c>
      <c r="F22" s="32">
        <f>AVERAGE(F2,F6,F7)</f>
        <v>4.5414752859976524</v>
      </c>
      <c r="G22" s="31" t="s">
        <v>64</v>
      </c>
    </row>
    <row r="23" spans="1:10" ht="15.75" customHeight="1">
      <c r="A23" s="28" t="s">
        <v>65</v>
      </c>
      <c r="B23" s="32">
        <f>C3</f>
        <v>1.8595166163141994</v>
      </c>
      <c r="C23" s="32">
        <f>B3</f>
        <v>41.033333333333331</v>
      </c>
      <c r="D23" s="32">
        <f>D3</f>
        <v>49</v>
      </c>
      <c r="E23" s="29">
        <f t="shared" si="1"/>
        <v>22.066666666666666</v>
      </c>
      <c r="F23" s="32">
        <f>F3</f>
        <v>4.0118105209386421</v>
      </c>
      <c r="G23" s="31" t="s">
        <v>53</v>
      </c>
    </row>
    <row r="24" spans="1:10" ht="15.75" customHeight="1">
      <c r="A24" s="28" t="s">
        <v>66</v>
      </c>
      <c r="B24" s="32">
        <f>AVERAGE(C4,C11)</f>
        <v>2.706962962962963</v>
      </c>
      <c r="C24" s="32">
        <f>AVERAGE(B4,B11)</f>
        <v>36.392976588628763</v>
      </c>
      <c r="D24" s="32">
        <f>AVERAGE(D4,D11)</f>
        <v>44</v>
      </c>
      <c r="E24" s="29">
        <f t="shared" si="1"/>
        <v>13.444209280497162</v>
      </c>
      <c r="F24" s="32">
        <f>AVERAGE(F4,F11)</f>
        <v>3.391391817755427</v>
      </c>
      <c r="G24" s="31" t="s">
        <v>67</v>
      </c>
    </row>
    <row r="25" spans="1:10" ht="15.75" customHeight="1">
      <c r="A25" s="28" t="s">
        <v>68</v>
      </c>
      <c r="B25" s="32">
        <f>C8</f>
        <v>4.2261904761904763</v>
      </c>
      <c r="C25" s="32">
        <f>B8</f>
        <v>34.354838709677416</v>
      </c>
      <c r="D25" s="32">
        <f>D8</f>
        <v>46</v>
      </c>
      <c r="E25" s="29">
        <f t="shared" si="1"/>
        <v>8.129032258064516</v>
      </c>
      <c r="F25" s="32">
        <f>F8</f>
        <v>8.2952001077482276</v>
      </c>
      <c r="G25" s="31" t="s">
        <v>50</v>
      </c>
    </row>
  </sheetData>
  <pageMargins left="0.7" right="0.7" top="0.75" bottom="0.75" header="0.3" footer="0.3"/>
  <drawing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2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9.83203125" customWidth="1"/>
    <col min="3" max="4" width="14.6640625" customWidth="1"/>
    <col min="5" max="6" width="15.6640625" customWidth="1"/>
    <col min="7" max="7" width="23" customWidth="1"/>
  </cols>
  <sheetData>
    <row r="1" spans="1:30" ht="15.75" customHeight="1">
      <c r="A1" s="19" t="s">
        <v>16</v>
      </c>
      <c r="B1" s="20" t="s">
        <v>91</v>
      </c>
      <c r="C1" s="20" t="s">
        <v>92</v>
      </c>
      <c r="D1" s="20" t="s">
        <v>93</v>
      </c>
      <c r="E1" s="20" t="s">
        <v>19</v>
      </c>
      <c r="F1" s="20" t="s">
        <v>20</v>
      </c>
      <c r="G1" s="20" t="s">
        <v>94</v>
      </c>
      <c r="H1" s="20" t="s">
        <v>22</v>
      </c>
      <c r="I1" s="20" t="s">
        <v>23</v>
      </c>
      <c r="J1" s="21" t="s">
        <v>24</v>
      </c>
      <c r="L1" s="22" t="s">
        <v>25</v>
      </c>
    </row>
    <row r="2" spans="1:30" ht="15.75" customHeight="1">
      <c r="A2" s="23" t="s">
        <v>26</v>
      </c>
      <c r="B2" s="24">
        <f>ionna!F$35</f>
        <v>68.433333333333337</v>
      </c>
      <c r="C2" s="24">
        <f>ionna!F36</f>
        <v>1.9970817120622568</v>
      </c>
      <c r="D2" s="24">
        <f>ionna!F37</f>
        <v>79</v>
      </c>
      <c r="E2" s="24">
        <f>ionna!J35</f>
        <v>34.266666666666666</v>
      </c>
      <c r="F2" s="24">
        <f>ionna!F38</f>
        <v>5.0012642079939074</v>
      </c>
      <c r="G2" s="24">
        <f t="shared" ref="G2:G15" si="0">B2/E2</f>
        <v>1.997081712062257</v>
      </c>
      <c r="H2" s="25" t="s">
        <v>27</v>
      </c>
      <c r="I2" s="25" t="s">
        <v>28</v>
      </c>
      <c r="J2" s="26" t="s">
        <v>29</v>
      </c>
      <c r="K2" s="27"/>
      <c r="L2" s="27" t="s">
        <v>30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15.75" customHeight="1">
      <c r="A3" s="23" t="s">
        <v>31</v>
      </c>
      <c r="B3" s="24">
        <f>michelle!$F36</f>
        <v>57.43333333333333</v>
      </c>
      <c r="C3" s="24">
        <f>michelle!F37</f>
        <v>2.6027190332326282</v>
      </c>
      <c r="D3" s="24">
        <f>michelle!F38</f>
        <v>70</v>
      </c>
      <c r="E3" s="24">
        <f>michelle!J36</f>
        <v>22.066666666666666</v>
      </c>
      <c r="F3" s="24">
        <f>michelle!F39</f>
        <v>6.1492197249575131</v>
      </c>
      <c r="G3" s="24">
        <f t="shared" si="0"/>
        <v>2.6027190332326282</v>
      </c>
      <c r="H3" s="25" t="s">
        <v>27</v>
      </c>
      <c r="I3" s="25" t="s">
        <v>32</v>
      </c>
      <c r="J3" s="26" t="s">
        <v>33</v>
      </c>
      <c r="K3" s="27"/>
      <c r="L3" s="27" t="s">
        <v>34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15.75" customHeight="1">
      <c r="A4" s="23" t="s">
        <v>35</v>
      </c>
      <c r="B4" s="24">
        <f>jayda!F30</f>
        <v>53.807692307692307</v>
      </c>
      <c r="C4" s="24">
        <f>jayda!F31</f>
        <v>3.238425925925926</v>
      </c>
      <c r="D4" s="24">
        <f>jayda!F32</f>
        <v>72</v>
      </c>
      <c r="E4" s="24">
        <f>jayda!J31</f>
        <v>16.615384615384617</v>
      </c>
      <c r="F4" s="24">
        <f>jayda!F33</f>
        <v>9.4889409314211814</v>
      </c>
      <c r="G4" s="24">
        <f t="shared" si="0"/>
        <v>3.2384259259259256</v>
      </c>
      <c r="H4" s="25" t="s">
        <v>36</v>
      </c>
      <c r="I4" s="25" t="s">
        <v>28</v>
      </c>
      <c r="J4" s="26" t="s">
        <v>37</v>
      </c>
      <c r="K4" s="27"/>
      <c r="L4" s="27" t="s">
        <v>38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5.75" customHeight="1">
      <c r="A5" s="23" t="s">
        <v>39</v>
      </c>
      <c r="B5" s="24">
        <f>kayla!F35</f>
        <v>71.258064516129039</v>
      </c>
      <c r="C5" s="24">
        <f>kayla!F36</f>
        <v>2.2517838939857286</v>
      </c>
      <c r="D5" s="24">
        <f>kayla!F37</f>
        <v>86</v>
      </c>
      <c r="E5" s="24">
        <f>kayla!I34</f>
        <v>31</v>
      </c>
      <c r="F5" s="24">
        <f>kayla!F38</f>
        <v>5.7327581606964948</v>
      </c>
      <c r="G5" s="24">
        <f t="shared" si="0"/>
        <v>2.2986472424557753</v>
      </c>
      <c r="H5" s="25" t="s">
        <v>27</v>
      </c>
      <c r="I5" s="25" t="s">
        <v>40</v>
      </c>
      <c r="J5" s="26" t="s">
        <v>41</v>
      </c>
      <c r="K5" s="27"/>
      <c r="L5" s="27" t="s">
        <v>42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5.75" customHeight="1">
      <c r="A6" s="23" t="s">
        <v>43</v>
      </c>
      <c r="B6" s="24">
        <f>marta!F34</f>
        <v>57.586206896551722</v>
      </c>
      <c r="C6" s="24">
        <f>marta!F35</f>
        <v>1.9373549883990719</v>
      </c>
      <c r="D6" s="24">
        <f>marta!F36</f>
        <v>77</v>
      </c>
      <c r="E6" s="24">
        <f>marta!I35</f>
        <v>29.724137931034484</v>
      </c>
      <c r="F6" s="24">
        <f>marta!F37</f>
        <v>10.808453177884534</v>
      </c>
      <c r="G6" s="24">
        <f t="shared" si="0"/>
        <v>1.9373549883990717</v>
      </c>
      <c r="H6" s="25" t="s">
        <v>27</v>
      </c>
      <c r="I6" s="25" t="s">
        <v>44</v>
      </c>
      <c r="J6" s="26" t="s">
        <v>34</v>
      </c>
      <c r="K6" s="27"/>
      <c r="L6" s="27" t="s">
        <v>45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15.75" customHeight="1">
      <c r="A7" s="23" t="s">
        <v>45</v>
      </c>
      <c r="B7" s="24">
        <f>lulu!F35</f>
        <v>58.689655172413794</v>
      </c>
      <c r="C7" s="24">
        <f>lulu!F36</f>
        <v>1.8459869848156183</v>
      </c>
      <c r="D7" s="24">
        <f>lulu!F37</f>
        <v>74</v>
      </c>
      <c r="E7" s="24">
        <f>lulu!J36</f>
        <v>31.793103448275861</v>
      </c>
      <c r="F7" s="24">
        <f>lulu!F38</f>
        <v>5.2841821169563508</v>
      </c>
      <c r="G7" s="24">
        <f t="shared" si="0"/>
        <v>1.8459869848156183</v>
      </c>
      <c r="H7" s="25" t="s">
        <v>27</v>
      </c>
      <c r="I7" s="25" t="s">
        <v>28</v>
      </c>
      <c r="J7" s="26" t="s">
        <v>46</v>
      </c>
      <c r="K7" s="27"/>
      <c r="L7" s="27" t="s">
        <v>29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 customHeight="1">
      <c r="A8" s="23" t="s">
        <v>47</v>
      </c>
      <c r="B8" s="24">
        <f>gabi!F36</f>
        <v>38.774193548387096</v>
      </c>
      <c r="C8" s="24">
        <f>gabi!F37</f>
        <v>4.7698412698412698</v>
      </c>
      <c r="D8" s="24">
        <f>gabi!F38</f>
        <v>64</v>
      </c>
      <c r="E8" s="24">
        <f>gabi!$K36</f>
        <v>8.129032258064516</v>
      </c>
      <c r="F8" s="24">
        <f>gabi!F39</f>
        <v>14.191899097724725</v>
      </c>
      <c r="G8" s="24">
        <f t="shared" si="0"/>
        <v>4.7698412698412698</v>
      </c>
      <c r="H8" s="25" t="s">
        <v>36</v>
      </c>
      <c r="I8" s="25" t="s">
        <v>32</v>
      </c>
      <c r="J8" s="26" t="s">
        <v>33</v>
      </c>
      <c r="K8" s="27"/>
      <c r="L8" s="27" t="s">
        <v>28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5.75" customHeight="1">
      <c r="A9" s="28" t="s">
        <v>48</v>
      </c>
      <c r="B9" s="29">
        <f>dros!F25</f>
        <v>43.4</v>
      </c>
      <c r="C9" s="29">
        <f>dros!F26</f>
        <v>5.8648648648648649</v>
      </c>
      <c r="D9" s="29">
        <f>dros!F27</f>
        <v>75</v>
      </c>
      <c r="E9" s="29">
        <f>dros!J25</f>
        <v>7.4</v>
      </c>
      <c r="F9" s="29">
        <f>dros!F28</f>
        <v>17.16779931538499</v>
      </c>
      <c r="G9" s="29">
        <f t="shared" si="0"/>
        <v>5.864864864864864</v>
      </c>
      <c r="H9" s="30" t="s">
        <v>36</v>
      </c>
      <c r="I9" s="30" t="s">
        <v>28</v>
      </c>
      <c r="J9" s="31"/>
      <c r="L9" s="1" t="s">
        <v>37</v>
      </c>
    </row>
    <row r="10" spans="1:30" ht="15.75" customHeight="1">
      <c r="A10" s="28" t="s">
        <v>49</v>
      </c>
      <c r="B10" s="29">
        <f>gmaul!F25</f>
        <v>40.200000000000003</v>
      </c>
      <c r="C10" s="29">
        <f>gmaul!F26</f>
        <v>5.36</v>
      </c>
      <c r="D10" s="29">
        <f>gmaul!F27</f>
        <v>67</v>
      </c>
      <c r="E10" s="29">
        <f>gmaul!J25</f>
        <v>7.5</v>
      </c>
      <c r="F10" s="29">
        <f>gmaul!F28</f>
        <v>11.727460651536347</v>
      </c>
      <c r="G10" s="29">
        <f t="shared" si="0"/>
        <v>5.36</v>
      </c>
      <c r="H10" s="30" t="s">
        <v>36</v>
      </c>
      <c r="I10" s="30" t="s">
        <v>28</v>
      </c>
      <c r="J10" s="31"/>
      <c r="L10" s="1" t="s">
        <v>50</v>
      </c>
    </row>
    <row r="11" spans="1:30" ht="15.75" customHeight="1">
      <c r="A11" s="23" t="s">
        <v>38</v>
      </c>
      <c r="B11" s="24">
        <f>lola!F28</f>
        <v>40.217391304347828</v>
      </c>
      <c r="C11" s="24">
        <f>lola!F29</f>
        <v>3.7</v>
      </c>
      <c r="D11" s="24">
        <f>lola!F30</f>
        <v>63</v>
      </c>
      <c r="E11" s="24">
        <f>lola!J28</f>
        <v>10.869565217391305</v>
      </c>
      <c r="F11" s="24"/>
      <c r="G11" s="24">
        <f t="shared" si="0"/>
        <v>3.7</v>
      </c>
      <c r="H11" s="25" t="s">
        <v>36</v>
      </c>
      <c r="I11" s="25" t="s">
        <v>28</v>
      </c>
      <c r="J11" s="26"/>
      <c r="K11" s="27"/>
      <c r="L11" s="27" t="s">
        <v>48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5.75" customHeight="1">
      <c r="A12" s="28" t="s">
        <v>51</v>
      </c>
      <c r="B12" s="29"/>
      <c r="C12" s="29"/>
      <c r="D12" s="29"/>
      <c r="E12" s="29">
        <f>kam!H18</f>
        <v>5.1538461538461542</v>
      </c>
      <c r="F12" s="29"/>
      <c r="G12" s="29">
        <f t="shared" si="0"/>
        <v>0</v>
      </c>
      <c r="H12" s="30" t="s">
        <v>36</v>
      </c>
      <c r="I12" s="30" t="s">
        <v>44</v>
      </c>
      <c r="J12" s="31"/>
      <c r="L12" s="1" t="s">
        <v>41</v>
      </c>
    </row>
    <row r="13" spans="1:30" ht="15.75" customHeight="1">
      <c r="A13" s="28" t="s">
        <v>52</v>
      </c>
      <c r="B13" s="29"/>
      <c r="C13" s="29"/>
      <c r="D13" s="29"/>
      <c r="E13" s="29">
        <f>nat!I28</f>
        <v>7.3043478260869561</v>
      </c>
      <c r="F13" s="29"/>
      <c r="G13" s="29">
        <f t="shared" si="0"/>
        <v>0</v>
      </c>
      <c r="H13" s="30" t="s">
        <v>36</v>
      </c>
      <c r="I13" s="30" t="s">
        <v>28</v>
      </c>
      <c r="J13" s="31"/>
      <c r="L13" s="1" t="s">
        <v>53</v>
      </c>
    </row>
    <row r="14" spans="1:30" ht="15.75" customHeight="1">
      <c r="A14" s="28" t="s">
        <v>54</v>
      </c>
      <c r="B14" s="30"/>
      <c r="C14" s="30"/>
      <c r="D14" s="30"/>
      <c r="E14" s="30"/>
      <c r="F14" s="30"/>
      <c r="G14" s="30" t="e">
        <f t="shared" si="0"/>
        <v>#DIV/0!</v>
      </c>
      <c r="H14" s="30" t="s">
        <v>36</v>
      </c>
      <c r="I14" s="30" t="s">
        <v>28</v>
      </c>
      <c r="J14" s="31"/>
      <c r="L14" s="1" t="s">
        <v>55</v>
      </c>
    </row>
    <row r="15" spans="1:30" ht="15.75" customHeight="1">
      <c r="A15" s="28" t="s">
        <v>56</v>
      </c>
      <c r="B15" s="30"/>
      <c r="C15" s="30"/>
      <c r="D15" s="30"/>
      <c r="E15" s="30"/>
      <c r="F15" s="30"/>
      <c r="G15" s="30" t="e">
        <f t="shared" si="0"/>
        <v>#DIV/0!</v>
      </c>
      <c r="H15" s="30" t="s">
        <v>36</v>
      </c>
      <c r="I15" s="30" t="s">
        <v>28</v>
      </c>
      <c r="J15" s="31"/>
    </row>
    <row r="16" spans="1:30" ht="15.75" customHeight="1">
      <c r="A16" s="28"/>
      <c r="B16" s="30"/>
      <c r="C16" s="30"/>
      <c r="D16" s="30"/>
      <c r="E16" s="30"/>
      <c r="F16" s="30"/>
      <c r="G16" s="30"/>
      <c r="H16" s="30"/>
      <c r="I16" s="30"/>
      <c r="J16" s="31"/>
    </row>
    <row r="17" spans="1:10" ht="15.75" customHeight="1">
      <c r="A17" s="28" t="s">
        <v>95</v>
      </c>
      <c r="B17" s="30"/>
      <c r="C17" s="32">
        <f>SUM(B2:B3,B5,B6,B7)</f>
        <v>313.40059325176122</v>
      </c>
      <c r="D17" s="30"/>
      <c r="E17" s="30"/>
      <c r="F17" s="30"/>
      <c r="G17" s="30"/>
      <c r="H17" s="30"/>
      <c r="I17" s="30"/>
      <c r="J17" s="31"/>
    </row>
    <row r="20" spans="1:10" ht="15.75" customHeight="1">
      <c r="A20" s="19" t="s">
        <v>23</v>
      </c>
      <c r="B20" s="20" t="s">
        <v>96</v>
      </c>
      <c r="C20" s="20" t="s">
        <v>91</v>
      </c>
      <c r="D20" s="20" t="s">
        <v>97</v>
      </c>
      <c r="E20" s="20" t="s">
        <v>59</v>
      </c>
      <c r="F20" s="21" t="s">
        <v>20</v>
      </c>
      <c r="G20" s="21" t="s">
        <v>25</v>
      </c>
    </row>
    <row r="21" spans="1:10" ht="15.75" customHeight="1">
      <c r="A21" s="28" t="s">
        <v>61</v>
      </c>
      <c r="B21" s="32">
        <f>C5</f>
        <v>2.2517838939857286</v>
      </c>
      <c r="C21" s="32">
        <f>B5</f>
        <v>71.258064516129039</v>
      </c>
      <c r="D21" s="32">
        <f>D5</f>
        <v>86</v>
      </c>
      <c r="E21" s="29">
        <f t="shared" ref="E21:E25" si="1">C21/B21</f>
        <v>31.645161290322587</v>
      </c>
      <c r="F21" s="32">
        <f>F5</f>
        <v>5.7327581606964948</v>
      </c>
      <c r="G21" s="31" t="s">
        <v>62</v>
      </c>
    </row>
    <row r="22" spans="1:10" ht="15.75" customHeight="1">
      <c r="A22" s="28" t="s">
        <v>63</v>
      </c>
      <c r="B22" s="32">
        <f>AVERAGE(C2,C6,C7)</f>
        <v>1.9268078950923158</v>
      </c>
      <c r="C22" s="32">
        <f>AVERAGE(B2,B6,B7)</f>
        <v>61.569731800766284</v>
      </c>
      <c r="D22" s="32">
        <f>AVERAGE(D2,D6,D7)</f>
        <v>76.666666666666671</v>
      </c>
      <c r="E22" s="29">
        <f t="shared" si="1"/>
        <v>31.954265891056256</v>
      </c>
      <c r="F22" s="32">
        <f>AVERAGE(F2,F6,F7)</f>
        <v>7.031299834278264</v>
      </c>
      <c r="G22" s="31" t="s">
        <v>64</v>
      </c>
    </row>
    <row r="23" spans="1:10" ht="15.75" customHeight="1">
      <c r="A23" s="28" t="s">
        <v>65</v>
      </c>
      <c r="B23" s="32">
        <f>C3</f>
        <v>2.6027190332326282</v>
      </c>
      <c r="C23" s="32">
        <f>B3</f>
        <v>57.43333333333333</v>
      </c>
      <c r="D23" s="32">
        <f>D3</f>
        <v>70</v>
      </c>
      <c r="E23" s="29">
        <f t="shared" si="1"/>
        <v>22.066666666666666</v>
      </c>
      <c r="F23" s="32">
        <f>F3</f>
        <v>6.1492197249575131</v>
      </c>
      <c r="G23" s="31" t="s">
        <v>53</v>
      </c>
    </row>
    <row r="24" spans="1:10" ht="15.75" customHeight="1">
      <c r="A24" s="28" t="s">
        <v>66</v>
      </c>
      <c r="B24" s="32">
        <f>AVERAGE(C4,C11)</f>
        <v>3.4692129629629633</v>
      </c>
      <c r="C24" s="32">
        <f>AVERAGE(B4,B11)</f>
        <v>47.012541806020067</v>
      </c>
      <c r="D24" s="32">
        <f>AVERAGE(D4,D11)</f>
        <v>67.5</v>
      </c>
      <c r="E24" s="29">
        <f t="shared" si="1"/>
        <v>13.551356549143035</v>
      </c>
      <c r="F24" s="32">
        <f>AVERAGE(F4,F11)</f>
        <v>9.4889409314211814</v>
      </c>
      <c r="G24" s="31" t="s">
        <v>67</v>
      </c>
    </row>
    <row r="25" spans="1:10" ht="15.75" customHeight="1">
      <c r="A25" s="28" t="s">
        <v>68</v>
      </c>
      <c r="B25" s="32">
        <f>C8</f>
        <v>4.7698412698412698</v>
      </c>
      <c r="C25" s="32">
        <f>B8</f>
        <v>38.774193548387096</v>
      </c>
      <c r="D25" s="32">
        <f>D8</f>
        <v>64</v>
      </c>
      <c r="E25" s="29">
        <f t="shared" si="1"/>
        <v>8.129032258064516</v>
      </c>
      <c r="F25" s="32">
        <f>F8</f>
        <v>14.191899097724725</v>
      </c>
      <c r="G25" s="31" t="s">
        <v>50</v>
      </c>
    </row>
  </sheetData>
  <pageMargins left="0.7" right="0.7" top="0.75" bottom="0.75" header="0.3" footer="0.3"/>
  <drawing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2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/>
  <cols>
    <col min="1" max="1" width="15.6640625" customWidth="1"/>
    <col min="2" max="2" width="19.83203125" customWidth="1"/>
    <col min="3" max="3" width="14.6640625" customWidth="1"/>
    <col min="4" max="5" width="15.6640625" customWidth="1"/>
    <col min="6" max="6" width="23" customWidth="1"/>
  </cols>
  <sheetData>
    <row r="1" spans="1:29" ht="15.75" customHeight="1">
      <c r="A1" s="19" t="s">
        <v>16</v>
      </c>
      <c r="B1" s="20" t="s">
        <v>98</v>
      </c>
      <c r="C1" s="20" t="s">
        <v>99</v>
      </c>
      <c r="D1" s="20" t="s">
        <v>19</v>
      </c>
      <c r="E1" s="20" t="s">
        <v>20</v>
      </c>
      <c r="F1" s="20" t="s">
        <v>100</v>
      </c>
      <c r="G1" s="20" t="s">
        <v>22</v>
      </c>
      <c r="H1" s="20" t="s">
        <v>23</v>
      </c>
      <c r="I1" s="21" t="s">
        <v>24</v>
      </c>
      <c r="K1" s="22" t="s">
        <v>25</v>
      </c>
    </row>
    <row r="2" spans="1:29" ht="15.75" customHeight="1">
      <c r="A2" s="23" t="s">
        <v>26</v>
      </c>
      <c r="B2" s="24">
        <f>ionna!G$35</f>
        <v>107.43333333333334</v>
      </c>
      <c r="C2" s="24">
        <f>ionna!G36</f>
        <v>3.1352140077821011</v>
      </c>
      <c r="D2" s="24">
        <f>ionna!J35</f>
        <v>34.266666666666666</v>
      </c>
      <c r="E2" s="24">
        <f>ionna!F38</f>
        <v>5.0012642079939074</v>
      </c>
      <c r="F2" s="24">
        <f t="shared" ref="F2:F15" si="0">B2/D2</f>
        <v>3.1352140077821016</v>
      </c>
      <c r="G2" s="25" t="s">
        <v>27</v>
      </c>
      <c r="H2" s="25" t="s">
        <v>28</v>
      </c>
      <c r="I2" s="26" t="s">
        <v>29</v>
      </c>
      <c r="J2" s="27"/>
      <c r="K2" s="27" t="s">
        <v>30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5.75" customHeight="1">
      <c r="A3" s="23" t="s">
        <v>31</v>
      </c>
      <c r="B3" s="24">
        <f>michelle!$G36</f>
        <v>65.233333333333334</v>
      </c>
      <c r="C3" s="24">
        <f>michelle!G37</f>
        <v>2.9561933534743203</v>
      </c>
      <c r="D3" s="24">
        <f>michelle!J36</f>
        <v>22.066666666666666</v>
      </c>
      <c r="E3" s="24">
        <f>michelle!F39</f>
        <v>6.1492197249575131</v>
      </c>
      <c r="F3" s="24">
        <f t="shared" si="0"/>
        <v>2.9561933534743203</v>
      </c>
      <c r="G3" s="25" t="s">
        <v>27</v>
      </c>
      <c r="H3" s="25" t="s">
        <v>32</v>
      </c>
      <c r="I3" s="26" t="s">
        <v>33</v>
      </c>
      <c r="J3" s="27"/>
      <c r="K3" s="27" t="s">
        <v>34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5.75" customHeight="1">
      <c r="A4" s="23" t="s">
        <v>35</v>
      </c>
      <c r="B4" s="24">
        <f>jayda!G30</f>
        <v>56.5</v>
      </c>
      <c r="C4" s="24">
        <f>jayda!G31</f>
        <v>3.4004629629629628</v>
      </c>
      <c r="D4" s="24">
        <f>jayda!J31</f>
        <v>16.615384615384617</v>
      </c>
      <c r="E4" s="24">
        <f>jayda!F33</f>
        <v>9.4889409314211814</v>
      </c>
      <c r="F4" s="24">
        <f t="shared" si="0"/>
        <v>3.4004629629629628</v>
      </c>
      <c r="G4" s="25" t="s">
        <v>36</v>
      </c>
      <c r="H4" s="25" t="s">
        <v>28</v>
      </c>
      <c r="I4" s="26" t="s">
        <v>37</v>
      </c>
      <c r="J4" s="27"/>
      <c r="K4" s="27" t="s">
        <v>38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5.75" customHeight="1">
      <c r="A5" s="23" t="s">
        <v>39</v>
      </c>
      <c r="B5" s="24">
        <f>kayla!G35</f>
        <v>173.74193548387098</v>
      </c>
      <c r="C5" s="24">
        <f>kayla!G36</f>
        <v>5.4903160040774717</v>
      </c>
      <c r="D5" s="24">
        <f>kayla!I34</f>
        <v>31</v>
      </c>
      <c r="E5" s="24">
        <f>kayla!F38</f>
        <v>5.7327581606964948</v>
      </c>
      <c r="F5" s="24">
        <f t="shared" si="0"/>
        <v>5.6045785639958376</v>
      </c>
      <c r="G5" s="25" t="s">
        <v>27</v>
      </c>
      <c r="H5" s="25" t="s">
        <v>40</v>
      </c>
      <c r="I5" s="26" t="s">
        <v>41</v>
      </c>
      <c r="J5" s="27"/>
      <c r="K5" s="27" t="s">
        <v>42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5.75" customHeight="1">
      <c r="A6" s="23" t="s">
        <v>43</v>
      </c>
      <c r="B6" s="24">
        <f>marta!G34</f>
        <v>46.379310344827587</v>
      </c>
      <c r="C6" s="24">
        <f>marta!G35</f>
        <v>1.5603248259860789</v>
      </c>
      <c r="D6" s="24">
        <f>marta!I35</f>
        <v>29.724137931034484</v>
      </c>
      <c r="E6" s="24">
        <f>marta!F37</f>
        <v>10.808453177884534</v>
      </c>
      <c r="F6" s="24">
        <f t="shared" si="0"/>
        <v>1.5603248259860789</v>
      </c>
      <c r="G6" s="25" t="s">
        <v>27</v>
      </c>
      <c r="H6" s="25" t="s">
        <v>44</v>
      </c>
      <c r="I6" s="26" t="s">
        <v>34</v>
      </c>
      <c r="J6" s="27"/>
      <c r="K6" s="27" t="s">
        <v>45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15.75" customHeight="1">
      <c r="A7" s="23" t="s">
        <v>45</v>
      </c>
      <c r="B7" s="24">
        <f>lulu!G35</f>
        <v>85.41379310344827</v>
      </c>
      <c r="C7" s="24">
        <f>lulu!G36</f>
        <v>2.6865509761388284</v>
      </c>
      <c r="D7" s="24">
        <f>lulu!J36</f>
        <v>31.793103448275861</v>
      </c>
      <c r="E7" s="24">
        <f>lulu!F38</f>
        <v>5.2841821169563508</v>
      </c>
      <c r="F7" s="24">
        <f t="shared" si="0"/>
        <v>2.6865509761388284</v>
      </c>
      <c r="G7" s="25" t="s">
        <v>27</v>
      </c>
      <c r="H7" s="25" t="s">
        <v>28</v>
      </c>
      <c r="I7" s="26" t="s">
        <v>46</v>
      </c>
      <c r="J7" s="27"/>
      <c r="K7" s="27" t="s">
        <v>29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15.75" customHeight="1">
      <c r="A8" s="23" t="s">
        <v>47</v>
      </c>
      <c r="B8" s="24">
        <f>gabi!G36</f>
        <v>26.483870967741936</v>
      </c>
      <c r="C8" s="24">
        <f>gabi!G37</f>
        <v>3.2579365079365079</v>
      </c>
      <c r="D8" s="24">
        <f>gabi!$K36</f>
        <v>8.129032258064516</v>
      </c>
      <c r="E8" s="24">
        <f>gabi!F39</f>
        <v>14.191899097724725</v>
      </c>
      <c r="F8" s="24">
        <f t="shared" si="0"/>
        <v>3.2579365079365079</v>
      </c>
      <c r="G8" s="25" t="s">
        <v>36</v>
      </c>
      <c r="H8" s="25" t="s">
        <v>32</v>
      </c>
      <c r="I8" s="26" t="s">
        <v>33</v>
      </c>
      <c r="J8" s="27"/>
      <c r="K8" s="27" t="s">
        <v>28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5.75" customHeight="1">
      <c r="A9" s="28" t="s">
        <v>48</v>
      </c>
      <c r="B9" s="29">
        <f>dros!G25</f>
        <v>28.95</v>
      </c>
      <c r="C9" s="29">
        <f>dros!G26</f>
        <v>3.9121621621621623</v>
      </c>
      <c r="D9" s="29">
        <f>dros!J25</f>
        <v>7.4</v>
      </c>
      <c r="E9" s="29">
        <f>dros!F28</f>
        <v>17.16779931538499</v>
      </c>
      <c r="F9" s="29">
        <f t="shared" si="0"/>
        <v>3.9121621621621618</v>
      </c>
      <c r="G9" s="30" t="s">
        <v>36</v>
      </c>
      <c r="H9" s="30" t="s">
        <v>28</v>
      </c>
      <c r="I9" s="31"/>
      <c r="K9" s="1" t="s">
        <v>37</v>
      </c>
    </row>
    <row r="10" spans="1:29" ht="15.75" customHeight="1">
      <c r="A10" s="28" t="s">
        <v>49</v>
      </c>
      <c r="B10" s="29">
        <f>gmaul!G25</f>
        <v>21.85</v>
      </c>
      <c r="C10" s="29">
        <f>gmaul!G26</f>
        <v>2.9133333333333336</v>
      </c>
      <c r="D10" s="29">
        <f>gmaul!J25</f>
        <v>7.5</v>
      </c>
      <c r="E10" s="29">
        <f>gmaul!F28</f>
        <v>11.727460651536347</v>
      </c>
      <c r="F10" s="29">
        <f t="shared" si="0"/>
        <v>2.9133333333333336</v>
      </c>
      <c r="G10" s="30" t="s">
        <v>36</v>
      </c>
      <c r="H10" s="30" t="s">
        <v>28</v>
      </c>
      <c r="I10" s="31"/>
      <c r="K10" s="1" t="s">
        <v>50</v>
      </c>
    </row>
    <row r="11" spans="1:29" ht="15.75" customHeight="1">
      <c r="A11" s="23" t="s">
        <v>38</v>
      </c>
      <c r="B11" s="24">
        <f>lola!G28</f>
        <v>26.391304347826086</v>
      </c>
      <c r="C11" s="24">
        <f>lola!G29</f>
        <v>2.4279999999999999</v>
      </c>
      <c r="D11" s="24">
        <f>lola!J28</f>
        <v>10.869565217391305</v>
      </c>
      <c r="E11" s="24"/>
      <c r="F11" s="24">
        <f t="shared" si="0"/>
        <v>2.4279999999999999</v>
      </c>
      <c r="G11" s="25" t="s">
        <v>36</v>
      </c>
      <c r="H11" s="25" t="s">
        <v>28</v>
      </c>
      <c r="I11" s="26"/>
      <c r="J11" s="27"/>
      <c r="K11" s="27" t="s">
        <v>48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15.75" customHeight="1">
      <c r="A12" s="28" t="s">
        <v>51</v>
      </c>
      <c r="B12" s="29"/>
      <c r="C12" s="29"/>
      <c r="D12" s="29">
        <f>kam!H18</f>
        <v>5.1538461538461542</v>
      </c>
      <c r="E12" s="29"/>
      <c r="F12" s="29">
        <f t="shared" si="0"/>
        <v>0</v>
      </c>
      <c r="G12" s="30" t="s">
        <v>36</v>
      </c>
      <c r="H12" s="30" t="s">
        <v>44</v>
      </c>
      <c r="I12" s="31"/>
      <c r="K12" s="1" t="s">
        <v>41</v>
      </c>
    </row>
    <row r="13" spans="1:29" ht="15.75" customHeight="1">
      <c r="A13" s="28" t="s">
        <v>52</v>
      </c>
      <c r="B13" s="29"/>
      <c r="C13" s="29"/>
      <c r="D13" s="29">
        <f>nat!I28</f>
        <v>7.3043478260869561</v>
      </c>
      <c r="E13" s="29"/>
      <c r="F13" s="29">
        <f t="shared" si="0"/>
        <v>0</v>
      </c>
      <c r="G13" s="30" t="s">
        <v>36</v>
      </c>
      <c r="H13" s="30" t="s">
        <v>28</v>
      </c>
      <c r="I13" s="31"/>
      <c r="K13" s="1" t="s">
        <v>53</v>
      </c>
    </row>
    <row r="14" spans="1:29" ht="15.75" customHeight="1">
      <c r="A14" s="28" t="s">
        <v>54</v>
      </c>
      <c r="B14" s="30"/>
      <c r="C14" s="30"/>
      <c r="D14" s="30"/>
      <c r="E14" s="30"/>
      <c r="F14" s="30" t="e">
        <f t="shared" si="0"/>
        <v>#DIV/0!</v>
      </c>
      <c r="G14" s="30" t="s">
        <v>36</v>
      </c>
      <c r="H14" s="30" t="s">
        <v>28</v>
      </c>
      <c r="I14" s="31"/>
      <c r="K14" s="1" t="s">
        <v>55</v>
      </c>
    </row>
    <row r="15" spans="1:29" ht="15.75" customHeight="1">
      <c r="A15" s="28" t="s">
        <v>56</v>
      </c>
      <c r="B15" s="30"/>
      <c r="C15" s="30"/>
      <c r="D15" s="30"/>
      <c r="E15" s="30"/>
      <c r="F15" s="30" t="e">
        <f t="shared" si="0"/>
        <v>#DIV/0!</v>
      </c>
      <c r="G15" s="30" t="s">
        <v>36</v>
      </c>
      <c r="H15" s="30" t="s">
        <v>28</v>
      </c>
      <c r="I15" s="31"/>
    </row>
    <row r="16" spans="1:29" ht="15.75" customHeight="1">
      <c r="A16" s="28"/>
      <c r="B16" s="30"/>
      <c r="C16" s="30"/>
      <c r="D16" s="30"/>
      <c r="E16" s="30"/>
      <c r="F16" s="30"/>
      <c r="G16" s="30"/>
      <c r="H16" s="30"/>
      <c r="I16" s="31"/>
    </row>
    <row r="17" spans="1:9" ht="15.75" customHeight="1">
      <c r="A17" s="28" t="s">
        <v>101</v>
      </c>
      <c r="B17" s="30"/>
      <c r="C17" s="32">
        <f>SUM(B2:B3,B5,B6,B7)</f>
        <v>478.20170559881353</v>
      </c>
      <c r="D17" s="30"/>
      <c r="E17" s="30"/>
      <c r="F17" s="30"/>
      <c r="G17" s="30"/>
      <c r="H17" s="30"/>
      <c r="I17" s="31"/>
    </row>
    <row r="20" spans="1:9" ht="15.75" customHeight="1">
      <c r="A20" s="19" t="s">
        <v>23</v>
      </c>
      <c r="B20" s="20" t="s">
        <v>102</v>
      </c>
      <c r="C20" s="20" t="s">
        <v>98</v>
      </c>
      <c r="D20" s="20" t="s">
        <v>59</v>
      </c>
      <c r="E20" s="21" t="str">
        <f>E1</f>
        <v>std dev</v>
      </c>
      <c r="F20" s="21" t="s">
        <v>25</v>
      </c>
    </row>
    <row r="21" spans="1:9" ht="15.75" customHeight="1">
      <c r="A21" s="28" t="s">
        <v>61</v>
      </c>
      <c r="B21" s="32">
        <f>C5</f>
        <v>5.4903160040774717</v>
      </c>
      <c r="C21" s="32">
        <f>B5</f>
        <v>173.74193548387098</v>
      </c>
      <c r="D21" s="29">
        <f t="shared" ref="D21:D25" si="1">C21/B21</f>
        <v>31.645161290322584</v>
      </c>
      <c r="E21" s="32">
        <f>E5</f>
        <v>5.7327581606964948</v>
      </c>
      <c r="F21" s="31" t="s">
        <v>62</v>
      </c>
    </row>
    <row r="22" spans="1:9" ht="15.75" customHeight="1">
      <c r="A22" s="28" t="s">
        <v>63</v>
      </c>
      <c r="B22" s="32">
        <f>AVERAGE(C2,C6,C7)</f>
        <v>2.4606966033023361</v>
      </c>
      <c r="C22" s="32">
        <f>AVERAGE(B2,B6,B7)</f>
        <v>79.742145593869736</v>
      </c>
      <c r="D22" s="29">
        <f t="shared" si="1"/>
        <v>32.406329771355452</v>
      </c>
      <c r="E22" s="32">
        <f>AVERAGE(E2,E6,E7)</f>
        <v>7.031299834278264</v>
      </c>
      <c r="F22" s="31" t="s">
        <v>64</v>
      </c>
    </row>
    <row r="23" spans="1:9" ht="15.75" customHeight="1">
      <c r="A23" s="28" t="s">
        <v>65</v>
      </c>
      <c r="B23" s="32">
        <f>C3</f>
        <v>2.9561933534743203</v>
      </c>
      <c r="C23" s="32">
        <f>B3</f>
        <v>65.233333333333334</v>
      </c>
      <c r="D23" s="29">
        <f t="shared" si="1"/>
        <v>22.066666666666666</v>
      </c>
      <c r="E23" s="32">
        <f>E3</f>
        <v>6.1492197249575131</v>
      </c>
      <c r="F23" s="31" t="s">
        <v>53</v>
      </c>
    </row>
    <row r="24" spans="1:9" ht="15.75" customHeight="1">
      <c r="A24" s="28" t="s">
        <v>66</v>
      </c>
      <c r="B24" s="32">
        <f>AVERAGE(C4,C11)</f>
        <v>2.9142314814814814</v>
      </c>
      <c r="C24" s="32">
        <f>AVERAGE(B4,B11)</f>
        <v>41.445652173913047</v>
      </c>
      <c r="D24" s="29">
        <f t="shared" si="1"/>
        <v>14.221811972480545</v>
      </c>
      <c r="E24" s="32">
        <f>AVERAGE(E4,E11)</f>
        <v>9.4889409314211814</v>
      </c>
      <c r="F24" s="31" t="s">
        <v>67</v>
      </c>
    </row>
    <row r="25" spans="1:9" ht="15.75" customHeight="1">
      <c r="A25" s="28" t="s">
        <v>68</v>
      </c>
      <c r="B25" s="32">
        <f>C8</f>
        <v>3.2579365079365079</v>
      </c>
      <c r="C25" s="32">
        <f>B8</f>
        <v>26.483870967741936</v>
      </c>
      <c r="D25" s="29">
        <f t="shared" si="1"/>
        <v>8.129032258064516</v>
      </c>
      <c r="E25" s="32">
        <f>E8</f>
        <v>14.191899097724725</v>
      </c>
      <c r="F25" s="31" t="s">
        <v>50</v>
      </c>
    </row>
  </sheetData>
  <pageMargins left="0.7" right="0.7" top="0.75" bottom="0.75" header="0.3" footer="0.3"/>
  <drawing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36"/>
  <sheetViews>
    <sheetView workbookViewId="0">
      <selection activeCell="B3" sqref="B3"/>
    </sheetView>
  </sheetViews>
  <sheetFormatPr baseColWidth="10" defaultColWidth="12.6640625" defaultRowHeight="15.75" customHeight="1"/>
  <sheetData>
    <row r="1" spans="1:11" ht="15.75" customHeight="1">
      <c r="A1" s="33" t="s">
        <v>103</v>
      </c>
      <c r="B1" s="33" t="s">
        <v>104</v>
      </c>
      <c r="C1" s="33" t="s">
        <v>105</v>
      </c>
      <c r="D1" s="33" t="s">
        <v>106</v>
      </c>
    </row>
    <row r="2" spans="1:11" ht="15.75" customHeight="1">
      <c r="A2" s="34" t="s">
        <v>107</v>
      </c>
      <c r="B2" s="35">
        <v>45566</v>
      </c>
      <c r="C2" s="36">
        <v>7007</v>
      </c>
      <c r="D2" s="37">
        <v>38</v>
      </c>
    </row>
    <row r="3" spans="1:11" ht="15.75" customHeight="1">
      <c r="A3" s="34" t="s">
        <v>107</v>
      </c>
      <c r="B3" s="35">
        <v>45568</v>
      </c>
      <c r="C3" s="37">
        <v>5524</v>
      </c>
      <c r="D3" s="37">
        <v>39</v>
      </c>
    </row>
    <row r="4" spans="1:11" ht="15.75" customHeight="1">
      <c r="A4" s="34" t="s">
        <v>107</v>
      </c>
      <c r="B4" s="35">
        <v>45569</v>
      </c>
      <c r="C4" s="37">
        <v>6991</v>
      </c>
      <c r="D4" s="37">
        <v>49</v>
      </c>
    </row>
    <row r="5" spans="1:11" ht="15.75" customHeight="1">
      <c r="A5" s="34" t="s">
        <v>107</v>
      </c>
      <c r="B5" s="35">
        <v>45570</v>
      </c>
      <c r="C5" s="37">
        <v>6859</v>
      </c>
      <c r="D5" s="37">
        <v>44</v>
      </c>
    </row>
    <row r="6" spans="1:11" ht="15.75" customHeight="1">
      <c r="A6" s="34" t="s">
        <v>107</v>
      </c>
      <c r="B6" s="35">
        <v>45572</v>
      </c>
      <c r="C6" s="37">
        <v>6291</v>
      </c>
      <c r="D6" s="37">
        <v>44</v>
      </c>
    </row>
    <row r="7" spans="1:11" ht="15.75" customHeight="1">
      <c r="A7" s="34" t="s">
        <v>107</v>
      </c>
      <c r="B7" s="35">
        <v>45573</v>
      </c>
      <c r="C7" s="37">
        <v>6226</v>
      </c>
      <c r="D7" s="37">
        <v>32</v>
      </c>
    </row>
    <row r="8" spans="1:11" ht="15.75" customHeight="1">
      <c r="A8" s="34" t="s">
        <v>107</v>
      </c>
      <c r="B8" s="38">
        <v>45575</v>
      </c>
      <c r="C8" s="37">
        <v>5580</v>
      </c>
      <c r="D8" s="37">
        <v>34</v>
      </c>
    </row>
    <row r="9" spans="1:11" ht="15.75" customHeight="1">
      <c r="A9" s="34" t="s">
        <v>108</v>
      </c>
      <c r="B9" s="38">
        <v>45576</v>
      </c>
      <c r="C9" s="37">
        <v>6683</v>
      </c>
      <c r="D9" s="37">
        <v>48</v>
      </c>
    </row>
    <row r="10" spans="1:11" ht="15.75" customHeight="1">
      <c r="A10" s="34" t="s">
        <v>107</v>
      </c>
      <c r="B10" s="38">
        <v>45579</v>
      </c>
      <c r="C10" s="37">
        <v>5514</v>
      </c>
      <c r="D10" s="37">
        <v>32</v>
      </c>
    </row>
    <row r="11" spans="1:11" ht="15.75" customHeight="1">
      <c r="A11" s="34" t="s">
        <v>107</v>
      </c>
      <c r="B11" s="38">
        <v>45580</v>
      </c>
      <c r="C11" s="37">
        <v>7667</v>
      </c>
      <c r="D11" s="37">
        <v>40</v>
      </c>
      <c r="K11" s="1"/>
    </row>
    <row r="12" spans="1:11" ht="15.75" customHeight="1">
      <c r="A12" s="34" t="s">
        <v>107</v>
      </c>
      <c r="B12" s="38">
        <v>45582</v>
      </c>
      <c r="C12" s="37">
        <v>5733</v>
      </c>
      <c r="D12" s="37">
        <v>36</v>
      </c>
    </row>
    <row r="13" spans="1:11" ht="15.75" customHeight="1">
      <c r="A13" s="34" t="s">
        <v>109</v>
      </c>
      <c r="B13" s="38">
        <v>45583</v>
      </c>
      <c r="C13" s="37">
        <v>420</v>
      </c>
      <c r="D13" s="37">
        <v>30</v>
      </c>
    </row>
    <row r="14" spans="1:11" ht="15.75" customHeight="1">
      <c r="A14" s="34" t="s">
        <v>108</v>
      </c>
      <c r="B14" s="38">
        <v>45583</v>
      </c>
      <c r="C14" s="37">
        <v>6565</v>
      </c>
      <c r="D14" s="37">
        <v>51</v>
      </c>
    </row>
    <row r="15" spans="1:11" ht="15.75" customHeight="1">
      <c r="A15" s="34" t="s">
        <v>107</v>
      </c>
      <c r="B15" s="38">
        <v>45584</v>
      </c>
      <c r="C15" s="37">
        <v>4932</v>
      </c>
      <c r="D15" s="37">
        <v>38</v>
      </c>
    </row>
    <row r="16" spans="1:11" ht="15.75" customHeight="1">
      <c r="A16" s="34" t="s">
        <v>107</v>
      </c>
      <c r="B16" s="38">
        <v>45586</v>
      </c>
      <c r="C16" s="37">
        <v>5693</v>
      </c>
      <c r="D16" s="37">
        <v>65</v>
      </c>
    </row>
    <row r="17" spans="1:4" ht="15.75" customHeight="1">
      <c r="A17" s="34" t="s">
        <v>107</v>
      </c>
      <c r="B17" s="38">
        <v>45587</v>
      </c>
      <c r="C17" s="37">
        <v>7756</v>
      </c>
      <c r="D17" s="37">
        <v>43</v>
      </c>
    </row>
    <row r="18" spans="1:4" ht="15.75" customHeight="1">
      <c r="A18" s="34" t="s">
        <v>107</v>
      </c>
      <c r="B18" s="38">
        <v>45589</v>
      </c>
      <c r="C18" s="37">
        <v>6982</v>
      </c>
      <c r="D18" s="37">
        <v>37</v>
      </c>
    </row>
    <row r="19" spans="1:4" ht="15.75" customHeight="1">
      <c r="A19" s="34" t="s">
        <v>107</v>
      </c>
      <c r="B19" s="38">
        <v>45590</v>
      </c>
      <c r="C19" s="37">
        <v>5774</v>
      </c>
      <c r="D19" s="37">
        <v>39</v>
      </c>
    </row>
    <row r="20" spans="1:4" ht="15.75" customHeight="1">
      <c r="A20" s="34" t="s">
        <v>110</v>
      </c>
      <c r="B20" s="38">
        <v>45591</v>
      </c>
      <c r="C20" s="37">
        <v>7550</v>
      </c>
      <c r="D20" s="37">
        <v>59</v>
      </c>
    </row>
    <row r="21" spans="1:4" ht="15.75" customHeight="1">
      <c r="A21" s="34" t="s">
        <v>107</v>
      </c>
      <c r="B21" s="38">
        <v>45593</v>
      </c>
      <c r="C21" s="37">
        <v>6553</v>
      </c>
      <c r="D21" s="37">
        <v>59</v>
      </c>
    </row>
    <row r="22" spans="1:4" ht="15.75" customHeight="1">
      <c r="A22" s="34" t="s">
        <v>107</v>
      </c>
      <c r="B22" s="38">
        <v>45594</v>
      </c>
      <c r="C22" s="37">
        <v>8588</v>
      </c>
      <c r="D22" s="37">
        <v>55</v>
      </c>
    </row>
    <row r="23" spans="1:4" ht="15.75" customHeight="1">
      <c r="A23" s="34" t="s">
        <v>107</v>
      </c>
      <c r="B23" s="38">
        <v>45595</v>
      </c>
      <c r="C23" s="37">
        <v>4806</v>
      </c>
      <c r="D23" s="37">
        <v>29</v>
      </c>
    </row>
    <row r="24" spans="1:4" ht="15.75" customHeight="1">
      <c r="A24" s="34" t="s">
        <v>111</v>
      </c>
      <c r="B24" s="38">
        <v>45596</v>
      </c>
      <c r="C24" s="37">
        <v>6059</v>
      </c>
      <c r="D24" s="37">
        <v>33</v>
      </c>
    </row>
    <row r="25" spans="1:4" ht="15.75" customHeight="1">
      <c r="A25" s="34" t="s">
        <v>107</v>
      </c>
      <c r="B25" s="35">
        <v>45598</v>
      </c>
      <c r="C25" s="37">
        <v>5574</v>
      </c>
      <c r="D25" s="37">
        <v>40</v>
      </c>
    </row>
    <row r="26" spans="1:4" ht="15.75" customHeight="1">
      <c r="A26" s="34" t="s">
        <v>107</v>
      </c>
      <c r="B26" s="35">
        <v>45599</v>
      </c>
      <c r="C26" s="37">
        <v>5672</v>
      </c>
      <c r="D26" s="37">
        <v>31</v>
      </c>
    </row>
    <row r="27" spans="1:4" ht="15.75" customHeight="1">
      <c r="A27" s="34" t="s">
        <v>112</v>
      </c>
      <c r="B27" s="35">
        <v>45600</v>
      </c>
      <c r="C27" s="37">
        <v>4969</v>
      </c>
      <c r="D27" s="37">
        <v>34</v>
      </c>
    </row>
    <row r="28" spans="1:4" ht="15.75" customHeight="1">
      <c r="A28" s="34" t="s">
        <v>107</v>
      </c>
      <c r="B28" s="35">
        <v>45601</v>
      </c>
      <c r="C28" s="37">
        <v>3065</v>
      </c>
      <c r="D28" s="37">
        <v>17</v>
      </c>
    </row>
    <row r="29" spans="1:4" ht="15.75" customHeight="1">
      <c r="A29" s="34" t="s">
        <v>107</v>
      </c>
      <c r="B29" s="35">
        <v>45602</v>
      </c>
      <c r="C29" s="37">
        <v>5300</v>
      </c>
      <c r="D29" s="37">
        <v>33</v>
      </c>
    </row>
    <row r="30" spans="1:4" ht="15.75" customHeight="1">
      <c r="A30" s="34" t="s">
        <v>113</v>
      </c>
      <c r="B30" s="35">
        <v>45603</v>
      </c>
      <c r="C30" s="37">
        <v>6149</v>
      </c>
      <c r="D30" s="37">
        <v>39</v>
      </c>
    </row>
    <row r="31" spans="1:4" ht="15.75" customHeight="1">
      <c r="A31" s="34" t="s">
        <v>107</v>
      </c>
      <c r="B31" s="35">
        <v>45604</v>
      </c>
      <c r="C31" s="37">
        <v>5144</v>
      </c>
      <c r="D31" s="37">
        <v>37</v>
      </c>
    </row>
    <row r="32" spans="1:4" ht="15.75" customHeight="1">
      <c r="A32" s="34" t="s">
        <v>114</v>
      </c>
      <c r="B32" s="35">
        <v>45605</v>
      </c>
      <c r="C32" s="37">
        <v>5967</v>
      </c>
      <c r="D32" s="37">
        <v>35</v>
      </c>
    </row>
    <row r="33" spans="1:4" ht="15.75" customHeight="1">
      <c r="A33" s="34" t="s">
        <v>107</v>
      </c>
      <c r="B33" s="38">
        <v>45607</v>
      </c>
      <c r="C33" s="37">
        <v>7652</v>
      </c>
      <c r="D33" s="37">
        <v>33</v>
      </c>
    </row>
    <row r="34" spans="1:4" ht="15.75" customHeight="1">
      <c r="A34" s="34" t="s">
        <v>107</v>
      </c>
      <c r="B34" s="38">
        <v>45608</v>
      </c>
      <c r="C34" s="37">
        <v>4492</v>
      </c>
      <c r="D34" s="37">
        <v>30</v>
      </c>
    </row>
    <row r="35" spans="1:4" ht="15.75" customHeight="1">
      <c r="A35" s="34" t="s">
        <v>107</v>
      </c>
      <c r="B35" s="38">
        <v>45609</v>
      </c>
      <c r="C35" s="37">
        <v>4738</v>
      </c>
      <c r="D35" s="37">
        <v>25</v>
      </c>
    </row>
    <row r="36" spans="1:4" ht="15.75" customHeight="1">
      <c r="A36" s="34" t="s">
        <v>115</v>
      </c>
      <c r="B36" s="38">
        <v>45610</v>
      </c>
      <c r="C36" s="37">
        <v>5704</v>
      </c>
      <c r="D36" s="37">
        <v>30</v>
      </c>
    </row>
    <row r="37" spans="1:4" ht="15.75" customHeight="1">
      <c r="A37" s="34" t="s">
        <v>107</v>
      </c>
      <c r="B37" s="38">
        <v>45613</v>
      </c>
      <c r="C37" s="37">
        <v>6736</v>
      </c>
      <c r="D37" s="37">
        <v>41</v>
      </c>
    </row>
    <row r="38" spans="1:4" ht="15.75" customHeight="1">
      <c r="A38" s="34" t="s">
        <v>107</v>
      </c>
      <c r="B38" s="38">
        <v>45614</v>
      </c>
      <c r="C38" s="37">
        <v>7198</v>
      </c>
      <c r="D38" s="37">
        <v>49</v>
      </c>
    </row>
    <row r="39" spans="1:4" ht="15.75" customHeight="1">
      <c r="A39" s="34" t="s">
        <v>107</v>
      </c>
      <c r="B39" s="38">
        <v>45615</v>
      </c>
      <c r="C39" s="37">
        <v>4995</v>
      </c>
      <c r="D39" s="37">
        <v>31</v>
      </c>
    </row>
    <row r="40" spans="1:4" ht="15.75" customHeight="1">
      <c r="A40" s="34" t="s">
        <v>116</v>
      </c>
      <c r="B40" s="38">
        <v>45616</v>
      </c>
      <c r="C40" s="37">
        <v>6258</v>
      </c>
      <c r="D40" s="37">
        <v>39</v>
      </c>
    </row>
    <row r="41" spans="1:4" ht="15.75" customHeight="1">
      <c r="A41" s="34" t="s">
        <v>107</v>
      </c>
      <c r="B41" s="38">
        <v>45617</v>
      </c>
      <c r="C41" s="37">
        <v>4735</v>
      </c>
      <c r="D41" s="37">
        <v>34</v>
      </c>
    </row>
    <row r="42" spans="1:4" ht="15.75" customHeight="1">
      <c r="A42" s="34" t="s">
        <v>117</v>
      </c>
      <c r="B42" s="38">
        <v>45618</v>
      </c>
      <c r="C42" s="37">
        <v>5944</v>
      </c>
      <c r="D42" s="37">
        <v>43</v>
      </c>
    </row>
    <row r="43" spans="1:4" ht="15.75" customHeight="1">
      <c r="A43" s="34" t="s">
        <v>107</v>
      </c>
      <c r="B43" s="38">
        <v>45620</v>
      </c>
      <c r="C43" s="37">
        <v>5626</v>
      </c>
      <c r="D43" s="37">
        <v>42</v>
      </c>
    </row>
    <row r="44" spans="1:4" ht="15.75" customHeight="1">
      <c r="A44" s="34" t="s">
        <v>107</v>
      </c>
      <c r="B44" s="38">
        <v>45621</v>
      </c>
      <c r="C44" s="37">
        <v>5229</v>
      </c>
      <c r="D44" s="37">
        <v>36</v>
      </c>
    </row>
    <row r="45" spans="1:4" ht="15.75" customHeight="1">
      <c r="A45" s="34" t="s">
        <v>118</v>
      </c>
      <c r="B45" s="38">
        <v>45622</v>
      </c>
      <c r="C45" s="37">
        <v>5406</v>
      </c>
      <c r="D45" s="37">
        <v>27</v>
      </c>
    </row>
    <row r="46" spans="1:4" ht="15.75" customHeight="1">
      <c r="A46" s="34" t="s">
        <v>119</v>
      </c>
      <c r="B46" s="38">
        <v>45623</v>
      </c>
      <c r="C46" s="37">
        <v>5654</v>
      </c>
      <c r="D46" s="37">
        <v>38</v>
      </c>
    </row>
    <row r="47" spans="1:4" ht="15.75" customHeight="1">
      <c r="A47" s="34" t="s">
        <v>107</v>
      </c>
      <c r="B47" s="38">
        <v>45626</v>
      </c>
      <c r="C47" s="37">
        <v>7927</v>
      </c>
      <c r="D47" s="37">
        <v>43</v>
      </c>
    </row>
    <row r="48" spans="1:4" ht="15.75" customHeight="1">
      <c r="A48" s="34" t="s">
        <v>109</v>
      </c>
      <c r="B48" s="35">
        <v>45627</v>
      </c>
      <c r="C48" s="37">
        <v>318</v>
      </c>
      <c r="D48" s="37">
        <v>37</v>
      </c>
    </row>
    <row r="49" spans="1:4" ht="15.75" customHeight="1">
      <c r="A49" s="34" t="s">
        <v>107</v>
      </c>
      <c r="B49" s="35">
        <v>45628</v>
      </c>
      <c r="C49" s="37">
        <v>7301</v>
      </c>
      <c r="D49" s="37">
        <v>44</v>
      </c>
    </row>
    <row r="50" spans="1:4" ht="15.75" customHeight="1">
      <c r="A50" s="34" t="s">
        <v>107</v>
      </c>
      <c r="B50" s="35">
        <v>45629</v>
      </c>
      <c r="C50" s="37">
        <v>7998</v>
      </c>
      <c r="D50" s="37">
        <v>50</v>
      </c>
    </row>
    <row r="51" spans="1:4" ht="13">
      <c r="A51" s="34" t="s">
        <v>107</v>
      </c>
      <c r="B51" s="35">
        <v>45630</v>
      </c>
      <c r="C51" s="37">
        <v>4145</v>
      </c>
      <c r="D51" s="37">
        <v>24</v>
      </c>
    </row>
    <row r="52" spans="1:4" ht="13">
      <c r="A52" s="34" t="s">
        <v>120</v>
      </c>
      <c r="B52" s="35">
        <v>45631</v>
      </c>
      <c r="C52" s="37">
        <v>6056</v>
      </c>
      <c r="D52" s="37">
        <v>33</v>
      </c>
    </row>
    <row r="53" spans="1:4" ht="13">
      <c r="A53" s="34" t="s">
        <v>107</v>
      </c>
      <c r="B53" s="35">
        <v>45632</v>
      </c>
      <c r="C53" s="37">
        <v>5501</v>
      </c>
      <c r="D53" s="37">
        <v>33</v>
      </c>
    </row>
    <row r="54" spans="1:4" ht="13">
      <c r="A54" s="34" t="s">
        <v>121</v>
      </c>
      <c r="B54" s="35">
        <v>45633</v>
      </c>
      <c r="C54" s="37">
        <v>6012</v>
      </c>
      <c r="D54" s="37">
        <v>31</v>
      </c>
    </row>
    <row r="55" spans="1:4" ht="13">
      <c r="A55" s="34" t="s">
        <v>109</v>
      </c>
      <c r="B55" s="35">
        <v>45635</v>
      </c>
      <c r="C55" s="37">
        <v>4082</v>
      </c>
      <c r="D55" s="37">
        <v>46</v>
      </c>
    </row>
    <row r="56" spans="1:4" ht="13">
      <c r="A56" s="34" t="s">
        <v>107</v>
      </c>
      <c r="B56" s="38">
        <v>45636</v>
      </c>
      <c r="C56" s="37">
        <v>7827</v>
      </c>
      <c r="D56" s="37">
        <v>47</v>
      </c>
    </row>
    <row r="57" spans="1:4" ht="13">
      <c r="A57" s="34" t="s">
        <v>107</v>
      </c>
      <c r="B57" s="38">
        <v>45637</v>
      </c>
      <c r="C57" s="37">
        <v>5003</v>
      </c>
      <c r="D57" s="37">
        <v>33</v>
      </c>
    </row>
    <row r="58" spans="1:4" ht="13">
      <c r="A58" s="34" t="s">
        <v>107</v>
      </c>
      <c r="B58" s="38">
        <v>45638</v>
      </c>
      <c r="C58" s="37">
        <v>5718</v>
      </c>
      <c r="D58" s="37">
        <v>35</v>
      </c>
    </row>
    <row r="59" spans="1:4" ht="13">
      <c r="A59" s="34" t="s">
        <v>122</v>
      </c>
      <c r="B59" s="38">
        <v>45639</v>
      </c>
      <c r="C59" s="37">
        <v>6542</v>
      </c>
      <c r="D59" s="37">
        <v>34</v>
      </c>
    </row>
    <row r="60" spans="1:4" ht="13">
      <c r="A60" s="34" t="s">
        <v>107</v>
      </c>
      <c r="B60" s="38">
        <v>45640</v>
      </c>
      <c r="C60" s="37">
        <v>3251</v>
      </c>
      <c r="D60" s="37">
        <v>24</v>
      </c>
    </row>
    <row r="61" spans="1:4" ht="13">
      <c r="A61" s="34" t="s">
        <v>123</v>
      </c>
      <c r="B61" s="38">
        <v>45641</v>
      </c>
      <c r="C61" s="37">
        <v>5587</v>
      </c>
      <c r="D61" s="37">
        <v>33</v>
      </c>
    </row>
    <row r="62" spans="1:4" ht="13">
      <c r="A62" s="34" t="s">
        <v>107</v>
      </c>
      <c r="B62" s="38">
        <v>45643</v>
      </c>
      <c r="C62" s="37">
        <v>6281</v>
      </c>
      <c r="D62" s="37">
        <v>38</v>
      </c>
    </row>
    <row r="63" spans="1:4" ht="13">
      <c r="A63" s="34" t="s">
        <v>109</v>
      </c>
      <c r="B63" s="38">
        <v>45644</v>
      </c>
      <c r="C63" s="37">
        <v>3575</v>
      </c>
      <c r="D63" s="37">
        <v>35</v>
      </c>
    </row>
    <row r="64" spans="1:4" ht="13">
      <c r="A64" s="34" t="s">
        <v>107</v>
      </c>
      <c r="B64" s="38">
        <v>45645</v>
      </c>
      <c r="C64" s="37">
        <v>4838</v>
      </c>
      <c r="D64" s="37">
        <v>31</v>
      </c>
    </row>
    <row r="65" spans="1:4" ht="13">
      <c r="A65" s="34" t="s">
        <v>107</v>
      </c>
      <c r="B65" s="38">
        <v>45646</v>
      </c>
      <c r="C65" s="37">
        <v>4447</v>
      </c>
      <c r="D65" s="37">
        <v>20</v>
      </c>
    </row>
    <row r="66" spans="1:4" ht="13">
      <c r="A66" s="34" t="s">
        <v>124</v>
      </c>
      <c r="B66" s="38">
        <v>45647</v>
      </c>
      <c r="C66" s="37">
        <v>5988</v>
      </c>
      <c r="D66" s="37">
        <v>41</v>
      </c>
    </row>
    <row r="67" spans="1:4" ht="13">
      <c r="A67" s="34" t="s">
        <v>125</v>
      </c>
      <c r="B67" s="38">
        <v>45648</v>
      </c>
      <c r="C67" s="37">
        <v>5886</v>
      </c>
      <c r="D67" s="37">
        <v>37</v>
      </c>
    </row>
    <row r="68" spans="1:4" ht="13">
      <c r="A68" s="34" t="s">
        <v>107</v>
      </c>
      <c r="B68" s="38">
        <v>45653</v>
      </c>
      <c r="C68" s="37">
        <v>5597</v>
      </c>
      <c r="D68" s="37">
        <v>55</v>
      </c>
    </row>
    <row r="69" spans="1:4" ht="13">
      <c r="A69" s="34" t="s">
        <v>107</v>
      </c>
      <c r="B69" s="38">
        <v>45654</v>
      </c>
      <c r="C69" s="37">
        <v>9040</v>
      </c>
      <c r="D69" s="37">
        <v>51</v>
      </c>
    </row>
    <row r="70" spans="1:4" ht="13">
      <c r="A70" s="34" t="s">
        <v>107</v>
      </c>
      <c r="B70" s="38">
        <v>45655</v>
      </c>
      <c r="C70" s="37">
        <v>4834</v>
      </c>
      <c r="D70" s="37">
        <v>28</v>
      </c>
    </row>
    <row r="71" spans="1:4" ht="13">
      <c r="A71" s="34" t="s">
        <v>107</v>
      </c>
      <c r="B71" s="38">
        <v>45657</v>
      </c>
      <c r="C71" s="37">
        <v>5559</v>
      </c>
      <c r="D71" s="37">
        <v>39</v>
      </c>
    </row>
    <row r="72" spans="1:4" ht="13">
      <c r="A72" s="34" t="s">
        <v>107</v>
      </c>
      <c r="B72" s="35">
        <v>45658</v>
      </c>
      <c r="C72" s="37">
        <v>3373</v>
      </c>
      <c r="D72" s="37">
        <v>63</v>
      </c>
    </row>
    <row r="73" spans="1:4" ht="13">
      <c r="A73" s="34" t="s">
        <v>126</v>
      </c>
      <c r="B73" s="35">
        <v>45659</v>
      </c>
      <c r="C73" s="37">
        <v>5847</v>
      </c>
      <c r="D73" s="37">
        <v>33</v>
      </c>
    </row>
    <row r="74" spans="1:4" ht="13">
      <c r="A74" s="34" t="s">
        <v>107</v>
      </c>
      <c r="B74" s="35">
        <v>45660</v>
      </c>
      <c r="C74" s="37">
        <v>4894</v>
      </c>
      <c r="D74" s="37">
        <v>41</v>
      </c>
    </row>
    <row r="75" spans="1:4" ht="13">
      <c r="A75" s="34" t="s">
        <v>107</v>
      </c>
      <c r="B75" s="35">
        <v>45661</v>
      </c>
      <c r="C75" s="37">
        <v>4134</v>
      </c>
      <c r="D75" s="37">
        <v>39</v>
      </c>
    </row>
    <row r="76" spans="1:4" ht="13">
      <c r="A76" s="34" t="s">
        <v>127</v>
      </c>
      <c r="B76" s="35">
        <v>45662</v>
      </c>
      <c r="C76" s="37">
        <v>5745</v>
      </c>
      <c r="D76" s="37">
        <v>34</v>
      </c>
    </row>
    <row r="77" spans="1:4" ht="13">
      <c r="A77" s="34" t="s">
        <v>107</v>
      </c>
      <c r="B77" s="35">
        <v>45664</v>
      </c>
      <c r="C77" s="37">
        <v>5599</v>
      </c>
      <c r="D77" s="37">
        <v>46</v>
      </c>
    </row>
    <row r="78" spans="1:4" ht="13">
      <c r="A78" s="34" t="s">
        <v>107</v>
      </c>
      <c r="B78" s="35">
        <v>45665</v>
      </c>
      <c r="C78" s="37">
        <v>3252</v>
      </c>
      <c r="D78" s="37">
        <v>26</v>
      </c>
    </row>
    <row r="79" spans="1:4" ht="13">
      <c r="A79" s="34" t="s">
        <v>128</v>
      </c>
      <c r="B79" s="35">
        <v>45666</v>
      </c>
      <c r="C79" s="37">
        <v>5578</v>
      </c>
      <c r="D79" s="37">
        <v>35</v>
      </c>
    </row>
    <row r="80" spans="1:4" ht="13">
      <c r="A80" s="34" t="s">
        <v>107</v>
      </c>
      <c r="B80" s="35">
        <v>45667</v>
      </c>
      <c r="C80" s="37">
        <v>2678</v>
      </c>
      <c r="D80" s="37">
        <v>22</v>
      </c>
    </row>
    <row r="81" spans="1:4" ht="13">
      <c r="A81" s="34" t="s">
        <v>107</v>
      </c>
      <c r="B81" s="35">
        <v>45668</v>
      </c>
      <c r="C81" s="37">
        <v>2544</v>
      </c>
      <c r="D81" s="37">
        <v>15</v>
      </c>
    </row>
    <row r="82" spans="1:4" ht="13">
      <c r="A82" s="34" t="s">
        <v>129</v>
      </c>
      <c r="B82" s="35">
        <v>45669</v>
      </c>
      <c r="C82" s="37">
        <v>5744</v>
      </c>
      <c r="D82" s="37">
        <v>35</v>
      </c>
    </row>
    <row r="83" spans="1:4" ht="13">
      <c r="A83" s="34" t="s">
        <v>107</v>
      </c>
      <c r="B83" s="35">
        <v>45671</v>
      </c>
      <c r="C83" s="37">
        <v>5048</v>
      </c>
      <c r="D83" s="37">
        <v>33</v>
      </c>
    </row>
    <row r="84" spans="1:4" ht="13">
      <c r="A84" s="34" t="s">
        <v>107</v>
      </c>
      <c r="B84" s="35">
        <v>45672</v>
      </c>
      <c r="C84" s="37">
        <v>3292</v>
      </c>
      <c r="D84" s="37">
        <v>20</v>
      </c>
    </row>
    <row r="85" spans="1:4" ht="13">
      <c r="A85" s="34" t="s">
        <v>130</v>
      </c>
      <c r="B85" s="35">
        <v>45673</v>
      </c>
      <c r="C85" s="37">
        <v>5578</v>
      </c>
      <c r="D85" s="37">
        <v>40</v>
      </c>
    </row>
    <row r="86" spans="1:4" ht="13">
      <c r="A86" s="34" t="s">
        <v>107</v>
      </c>
      <c r="B86" s="35">
        <v>45674</v>
      </c>
      <c r="C86" s="37">
        <v>3411</v>
      </c>
      <c r="D86" s="37">
        <v>28</v>
      </c>
    </row>
    <row r="87" spans="1:4" ht="13">
      <c r="A87" s="34" t="s">
        <v>107</v>
      </c>
      <c r="B87" s="35">
        <v>45675</v>
      </c>
      <c r="C87" s="37">
        <v>4361</v>
      </c>
      <c r="D87" s="37">
        <v>40</v>
      </c>
    </row>
    <row r="88" spans="1:4" ht="13">
      <c r="A88" s="34" t="s">
        <v>131</v>
      </c>
      <c r="B88" s="35">
        <v>45676</v>
      </c>
      <c r="C88" s="37">
        <v>5739</v>
      </c>
      <c r="D88" s="37">
        <v>28</v>
      </c>
    </row>
    <row r="89" spans="1:4" ht="13">
      <c r="A89" s="34" t="s">
        <v>107</v>
      </c>
      <c r="B89" s="35">
        <v>45678</v>
      </c>
      <c r="C89" s="37">
        <v>4449</v>
      </c>
      <c r="D89" s="37">
        <v>41</v>
      </c>
    </row>
    <row r="90" spans="1:4" ht="13">
      <c r="A90" s="34" t="s">
        <v>107</v>
      </c>
      <c r="B90" s="35">
        <v>45679</v>
      </c>
      <c r="C90" s="37">
        <v>2983</v>
      </c>
      <c r="D90" s="37">
        <v>19</v>
      </c>
    </row>
    <row r="91" spans="1:4" ht="13">
      <c r="A91" s="34" t="s">
        <v>122</v>
      </c>
      <c r="B91" s="35">
        <v>45680</v>
      </c>
      <c r="C91" s="37">
        <v>4242</v>
      </c>
      <c r="D91" s="37">
        <v>32</v>
      </c>
    </row>
    <row r="92" spans="1:4" ht="13">
      <c r="A92" s="34" t="s">
        <v>107</v>
      </c>
      <c r="B92" s="35">
        <v>45681</v>
      </c>
      <c r="C92" s="37">
        <v>4600</v>
      </c>
      <c r="D92" s="37">
        <v>29</v>
      </c>
    </row>
    <row r="93" spans="1:4" ht="13">
      <c r="A93" s="34" t="s">
        <v>109</v>
      </c>
      <c r="B93" s="35">
        <v>45684</v>
      </c>
      <c r="C93" s="37">
        <v>2634</v>
      </c>
      <c r="D93" s="37">
        <v>56</v>
      </c>
    </row>
    <row r="94" spans="1:4" ht="13">
      <c r="A94" s="34" t="s">
        <v>107</v>
      </c>
      <c r="B94" s="35">
        <v>45685</v>
      </c>
      <c r="C94" s="37">
        <v>4544</v>
      </c>
      <c r="D94" s="37">
        <v>34</v>
      </c>
    </row>
    <row r="95" spans="1:4" ht="13">
      <c r="A95" s="34" t="s">
        <v>107</v>
      </c>
      <c r="B95" s="35">
        <v>45686</v>
      </c>
      <c r="C95" s="37">
        <v>3018</v>
      </c>
      <c r="D95" s="37">
        <v>24</v>
      </c>
    </row>
    <row r="96" spans="1:4" ht="13">
      <c r="A96" s="34" t="s">
        <v>132</v>
      </c>
      <c r="B96" s="35">
        <v>45687</v>
      </c>
      <c r="C96" s="37">
        <v>5542</v>
      </c>
      <c r="D96" s="37">
        <v>45</v>
      </c>
    </row>
    <row r="97" spans="1:4" ht="13">
      <c r="A97" s="34" t="s">
        <v>107</v>
      </c>
      <c r="B97" s="35">
        <v>45688</v>
      </c>
      <c r="C97" s="37">
        <v>3721</v>
      </c>
      <c r="D97" s="37">
        <v>30</v>
      </c>
    </row>
    <row r="98" spans="1:4" ht="13">
      <c r="A98" s="34" t="s">
        <v>107</v>
      </c>
      <c r="B98" s="35">
        <v>45689</v>
      </c>
      <c r="C98" s="37">
        <v>2659</v>
      </c>
      <c r="D98" s="37">
        <v>21</v>
      </c>
    </row>
    <row r="99" spans="1:4" ht="13">
      <c r="A99" s="34" t="s">
        <v>133</v>
      </c>
      <c r="B99" s="35">
        <v>45690</v>
      </c>
      <c r="C99" s="37">
        <v>6311</v>
      </c>
      <c r="D99" s="37">
        <v>44</v>
      </c>
    </row>
    <row r="100" spans="1:4" ht="13">
      <c r="A100" s="34" t="s">
        <v>107</v>
      </c>
      <c r="B100" s="35">
        <v>45692</v>
      </c>
      <c r="C100" s="37">
        <v>4237</v>
      </c>
      <c r="D100" s="37">
        <v>31</v>
      </c>
    </row>
    <row r="101" spans="1:4" ht="13">
      <c r="A101" s="34" t="s">
        <v>107</v>
      </c>
      <c r="B101" s="35">
        <v>45693</v>
      </c>
      <c r="C101" s="37">
        <v>3424</v>
      </c>
      <c r="D101" s="37">
        <v>23</v>
      </c>
    </row>
    <row r="102" spans="1:4" ht="13">
      <c r="A102" s="34" t="s">
        <v>134</v>
      </c>
      <c r="B102" s="35">
        <v>45694</v>
      </c>
      <c r="C102" s="37">
        <v>5879</v>
      </c>
      <c r="D102" s="37">
        <v>42</v>
      </c>
    </row>
    <row r="103" spans="1:4" ht="13">
      <c r="A103" s="34" t="s">
        <v>107</v>
      </c>
      <c r="B103" s="35">
        <v>45695</v>
      </c>
      <c r="C103" s="37">
        <v>3982</v>
      </c>
      <c r="D103" s="37">
        <v>35</v>
      </c>
    </row>
    <row r="104" spans="1:4" ht="13">
      <c r="A104" s="34" t="s">
        <v>135</v>
      </c>
      <c r="B104" s="35">
        <v>45696</v>
      </c>
      <c r="C104" s="37">
        <v>3</v>
      </c>
      <c r="D104" s="37">
        <v>1</v>
      </c>
    </row>
    <row r="105" spans="1:4" ht="13">
      <c r="A105" s="34" t="s">
        <v>107</v>
      </c>
      <c r="B105" s="35">
        <v>45696</v>
      </c>
      <c r="C105" s="37">
        <v>2498</v>
      </c>
      <c r="D105" s="37">
        <v>36</v>
      </c>
    </row>
    <row r="106" spans="1:4" ht="13">
      <c r="A106" s="34" t="s">
        <v>136</v>
      </c>
      <c r="B106" s="35">
        <v>45697</v>
      </c>
      <c r="C106" s="37">
        <v>6413</v>
      </c>
      <c r="D106" s="37">
        <v>39</v>
      </c>
    </row>
    <row r="107" spans="1:4" ht="13">
      <c r="A107" s="34" t="s">
        <v>107</v>
      </c>
      <c r="B107" s="35">
        <v>45699</v>
      </c>
      <c r="C107" s="37">
        <v>4055</v>
      </c>
      <c r="D107" s="37">
        <v>34</v>
      </c>
    </row>
    <row r="108" spans="1:4" ht="13">
      <c r="A108" s="34" t="s">
        <v>107</v>
      </c>
      <c r="B108" s="35">
        <v>45700</v>
      </c>
      <c r="C108" s="37">
        <v>4018</v>
      </c>
      <c r="D108" s="37">
        <v>29</v>
      </c>
    </row>
    <row r="109" spans="1:4" ht="13">
      <c r="A109" s="34" t="s">
        <v>137</v>
      </c>
      <c r="B109" s="35">
        <v>45701</v>
      </c>
      <c r="C109" s="37">
        <v>5668</v>
      </c>
      <c r="D109" s="37">
        <v>63</v>
      </c>
    </row>
    <row r="110" spans="1:4" ht="13">
      <c r="A110" s="34" t="s">
        <v>107</v>
      </c>
      <c r="B110" s="35">
        <v>45703</v>
      </c>
      <c r="C110" s="37">
        <v>4343</v>
      </c>
      <c r="D110" s="37">
        <v>38</v>
      </c>
    </row>
    <row r="111" spans="1:4" ht="13">
      <c r="A111" s="34" t="s">
        <v>138</v>
      </c>
      <c r="B111" s="35">
        <v>45704</v>
      </c>
      <c r="C111" s="37">
        <v>6974</v>
      </c>
      <c r="D111" s="37">
        <v>44</v>
      </c>
    </row>
    <row r="112" spans="1:4" ht="13">
      <c r="A112" s="34" t="s">
        <v>107</v>
      </c>
      <c r="B112" s="35">
        <v>45706</v>
      </c>
      <c r="C112" s="37">
        <v>5021</v>
      </c>
      <c r="D112" s="37">
        <v>37</v>
      </c>
    </row>
    <row r="113" spans="1:4" ht="13">
      <c r="A113" s="34" t="s">
        <v>107</v>
      </c>
      <c r="B113" s="35">
        <v>45707</v>
      </c>
      <c r="C113" s="37">
        <v>1854</v>
      </c>
      <c r="D113" s="37">
        <v>12</v>
      </c>
    </row>
    <row r="114" spans="1:4" ht="13">
      <c r="A114" s="34" t="s">
        <v>139</v>
      </c>
      <c r="B114" s="35">
        <v>45708</v>
      </c>
      <c r="C114" s="37">
        <v>5149</v>
      </c>
      <c r="D114" s="37">
        <v>35</v>
      </c>
    </row>
    <row r="115" spans="1:4" ht="13">
      <c r="A115" s="34" t="s">
        <v>107</v>
      </c>
      <c r="B115" s="35">
        <v>45710</v>
      </c>
      <c r="C115" s="37">
        <v>3144</v>
      </c>
      <c r="D115" s="37">
        <v>21</v>
      </c>
    </row>
    <row r="116" spans="1:4" ht="13">
      <c r="A116" s="34" t="s">
        <v>140</v>
      </c>
      <c r="B116" s="35">
        <v>45711</v>
      </c>
      <c r="C116" s="37">
        <v>5989</v>
      </c>
      <c r="D116" s="37">
        <v>34</v>
      </c>
    </row>
    <row r="117" spans="1:4" ht="13">
      <c r="A117" s="34" t="s">
        <v>141</v>
      </c>
      <c r="B117" s="35">
        <v>45713</v>
      </c>
      <c r="C117" s="37">
        <v>4915</v>
      </c>
      <c r="D117" s="37">
        <v>24</v>
      </c>
    </row>
    <row r="118" spans="1:4" ht="13">
      <c r="A118" s="34" t="s">
        <v>107</v>
      </c>
      <c r="B118" s="35">
        <v>45714</v>
      </c>
      <c r="C118" s="37">
        <v>3432</v>
      </c>
      <c r="D118" s="37">
        <v>23</v>
      </c>
    </row>
    <row r="119" spans="1:4" ht="13">
      <c r="A119" s="34" t="s">
        <v>142</v>
      </c>
      <c r="B119" s="35">
        <v>45715</v>
      </c>
      <c r="C119" s="37">
        <v>5210</v>
      </c>
      <c r="D119" s="37">
        <v>35</v>
      </c>
    </row>
    <row r="120" spans="1:4" ht="13">
      <c r="A120" s="34" t="s">
        <v>107</v>
      </c>
      <c r="B120" s="35">
        <v>45716</v>
      </c>
      <c r="C120" s="37">
        <v>3126</v>
      </c>
      <c r="D120" s="37">
        <v>36</v>
      </c>
    </row>
    <row r="121" spans="1:4" ht="13">
      <c r="A121" s="34" t="s">
        <v>107</v>
      </c>
      <c r="B121" s="35">
        <v>45717</v>
      </c>
      <c r="C121" s="37">
        <v>3507</v>
      </c>
      <c r="D121" s="37">
        <v>88</v>
      </c>
    </row>
    <row r="122" spans="1:4" ht="13">
      <c r="A122" s="34" t="s">
        <v>143</v>
      </c>
      <c r="B122" s="35">
        <v>45718</v>
      </c>
      <c r="C122" s="37">
        <v>5514</v>
      </c>
      <c r="D122" s="37">
        <v>35</v>
      </c>
    </row>
    <row r="123" spans="1:4" ht="13">
      <c r="A123" s="34" t="s">
        <v>107</v>
      </c>
      <c r="B123" s="35">
        <v>45720</v>
      </c>
      <c r="C123" s="37">
        <v>3695</v>
      </c>
      <c r="D123" s="37">
        <v>22</v>
      </c>
    </row>
    <row r="124" spans="1:4" ht="13">
      <c r="A124" s="34" t="s">
        <v>107</v>
      </c>
      <c r="B124" s="35">
        <v>45721</v>
      </c>
      <c r="C124" s="37">
        <v>2468</v>
      </c>
      <c r="D124" s="37">
        <v>21</v>
      </c>
    </row>
    <row r="125" spans="1:4" ht="13">
      <c r="A125" s="34" t="s">
        <v>139</v>
      </c>
      <c r="B125" s="35">
        <v>45722</v>
      </c>
      <c r="C125" s="37">
        <v>4985</v>
      </c>
      <c r="D125" s="37">
        <v>36</v>
      </c>
    </row>
    <row r="126" spans="1:4" ht="13">
      <c r="A126" s="34" t="s">
        <v>136</v>
      </c>
      <c r="B126" s="35">
        <v>45723</v>
      </c>
      <c r="C126" s="37">
        <v>5144</v>
      </c>
      <c r="D126" s="37">
        <v>35</v>
      </c>
    </row>
    <row r="127" spans="1:4" ht="13">
      <c r="A127" s="34" t="s">
        <v>107</v>
      </c>
      <c r="B127" s="35">
        <v>45726</v>
      </c>
      <c r="C127" s="37">
        <v>3870</v>
      </c>
      <c r="D127" s="37">
        <v>20</v>
      </c>
    </row>
    <row r="128" spans="1:4" ht="13">
      <c r="A128" s="34" t="s">
        <v>107</v>
      </c>
      <c r="B128" s="35">
        <v>45727</v>
      </c>
      <c r="C128" s="37">
        <v>5976</v>
      </c>
      <c r="D128" s="37">
        <v>35</v>
      </c>
    </row>
    <row r="129" spans="1:4" ht="13">
      <c r="A129" s="34" t="s">
        <v>109</v>
      </c>
      <c r="B129" s="35">
        <v>45729</v>
      </c>
      <c r="C129" s="37">
        <v>286</v>
      </c>
      <c r="D129" s="37">
        <v>17</v>
      </c>
    </row>
    <row r="130" spans="1:4" ht="13">
      <c r="A130" s="34" t="s">
        <v>107</v>
      </c>
      <c r="B130" s="35">
        <v>45729</v>
      </c>
      <c r="C130" s="37">
        <v>3097</v>
      </c>
      <c r="D130" s="37">
        <v>16</v>
      </c>
    </row>
    <row r="131" spans="1:4" ht="13">
      <c r="A131" s="34" t="s">
        <v>107</v>
      </c>
      <c r="B131" s="35">
        <v>45730</v>
      </c>
      <c r="C131" s="37">
        <v>7130</v>
      </c>
      <c r="D131" s="37">
        <v>28</v>
      </c>
    </row>
    <row r="132" spans="1:4" ht="13">
      <c r="A132" s="34" t="s">
        <v>107</v>
      </c>
      <c r="B132" s="35">
        <v>45732</v>
      </c>
      <c r="C132" s="37">
        <v>4367</v>
      </c>
      <c r="D132" s="37">
        <v>31</v>
      </c>
    </row>
    <row r="133" spans="1:4" ht="13">
      <c r="A133" s="34" t="s">
        <v>107</v>
      </c>
      <c r="B133" s="35">
        <v>45733</v>
      </c>
      <c r="C133" s="37">
        <v>5192</v>
      </c>
      <c r="D133" s="37">
        <v>43</v>
      </c>
    </row>
    <row r="134" spans="1:4" ht="13">
      <c r="A134" s="34" t="s">
        <v>107</v>
      </c>
      <c r="B134" s="35">
        <v>45734</v>
      </c>
      <c r="C134" s="37">
        <v>6559</v>
      </c>
      <c r="D134" s="37">
        <v>165</v>
      </c>
    </row>
    <row r="135" spans="1:4" ht="13">
      <c r="A135" s="34" t="s">
        <v>107</v>
      </c>
      <c r="B135" s="35">
        <v>45736</v>
      </c>
      <c r="C135" s="37">
        <v>3557</v>
      </c>
      <c r="D135" s="37">
        <v>24</v>
      </c>
    </row>
    <row r="136" spans="1:4" ht="13">
      <c r="A136" s="34" t="s">
        <v>107</v>
      </c>
      <c r="B136" s="35">
        <v>45737</v>
      </c>
      <c r="C136" s="37">
        <v>4593</v>
      </c>
      <c r="D136" s="3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KPI Summary</vt:lpstr>
      <vt:lpstr>Cheung_Morgan_Work_Sample</vt:lpstr>
      <vt:lpstr>scrimmage and game numbers</vt:lpstr>
      <vt:lpstr>warmup numbers</vt:lpstr>
      <vt:lpstr>games</vt:lpstr>
      <vt:lpstr>ionna</vt:lpstr>
      <vt:lpstr>michelle</vt:lpstr>
      <vt:lpstr>jayda</vt:lpstr>
      <vt:lpstr>marta</vt:lpstr>
      <vt:lpstr>kayla</vt:lpstr>
      <vt:lpstr>gabi</vt:lpstr>
      <vt:lpstr>lulu</vt:lpstr>
      <vt:lpstr>lola</vt:lpstr>
      <vt:lpstr>dros</vt:lpstr>
      <vt:lpstr>gmaul</vt:lpstr>
      <vt:lpstr>kam</vt:lpstr>
      <vt:lpstr>nat</vt:lpstr>
      <vt:lpstr>sof</vt:lpstr>
      <vt:lpstr>zahra</vt:lpstr>
      <vt:lpstr>post scrimmage numbers</vt:lpstr>
      <vt:lpstr>gamemins_west</vt:lpstr>
      <vt:lpstr>gamemins_sac</vt:lpstr>
      <vt:lpstr>gamemins_pac</vt:lpstr>
      <vt:lpstr>gamemins_charlotte</vt:lpstr>
      <vt:lpstr>gamemins_harvard</vt:lpstr>
      <vt:lpstr>gamemins_smc</vt:lpstr>
      <vt:lpstr>gamemins_sjsu</vt:lpstr>
      <vt:lpstr>gamemins_idaho</vt:lpstr>
      <vt:lpstr>gamemins_stanford</vt:lpstr>
      <vt:lpstr>vandy boxquarter</vt:lpstr>
      <vt:lpstr>sac boxquarter</vt:lpstr>
      <vt:lpstr>pac boxquarter</vt:lpstr>
      <vt:lpstr>move_prof</vt:lpstr>
      <vt:lpstr>move_prof_visuals</vt:lpstr>
      <vt:lpstr>Sheet27</vt:lpstr>
      <vt:lpstr>PL numbers</vt:lpstr>
      <vt:lpstr>High IMA numbers</vt:lpstr>
      <vt:lpstr>MII 1 numbers</vt:lpstr>
      <vt:lpstr>MII 2 numbers</vt:lpstr>
      <vt:lpstr>MII 3 numbers</vt:lpstr>
      <vt:lpstr>PL 3+ numbers</vt:lpstr>
      <vt:lpstr>PL vs High 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Cheung</cp:lastModifiedBy>
  <dcterms:created xsi:type="dcterms:W3CDTF">2026-01-24T03:34:36Z</dcterms:created>
  <dcterms:modified xsi:type="dcterms:W3CDTF">2026-01-29T04:10:31Z</dcterms:modified>
</cp:coreProperties>
</file>